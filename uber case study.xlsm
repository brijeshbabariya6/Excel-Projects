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rijesh\Desktop\Projects\Excel Projects\Uber Rides\"/>
    </mc:Choice>
  </mc:AlternateContent>
  <xr:revisionPtr revIDLastSave="0" documentId="13_ncr:1_{671E002A-6498-4B51-B536-02E2E45B915C}" xr6:coauthVersionLast="47" xr6:coauthVersionMax="47" xr10:uidLastSave="{00000000-0000-0000-0000-000000000000}"/>
  <bookViews>
    <workbookView xWindow="-108" yWindow="-108" windowWidth="23256" windowHeight="12456" tabRatio="603" firstSheet="1" activeTab="1" xr2:uid="{00000000-000D-0000-FFFF-FFFF00000000}"/>
  </bookViews>
  <sheets>
    <sheet name="My Uber Drives - 2016" sheetId="1" r:id="rId1"/>
    <sheet name="Dashboard" sheetId="16" r:id="rId2"/>
    <sheet name="Case" sheetId="13" r:id="rId3"/>
    <sheet name="Days" sheetId="17" r:id="rId4"/>
    <sheet name="Time" sheetId="18" r:id="rId5"/>
    <sheet name="Start Point" sheetId="7" r:id="rId6"/>
    <sheet name="Stop Point" sheetId="8" r:id="rId7"/>
    <sheet name="Purpose" sheetId="21" r:id="rId8"/>
    <sheet name="Category" sheetId="5" r:id="rId9"/>
    <sheet name="Trend" sheetId="12" r:id="rId10"/>
  </sheets>
  <definedNames>
    <definedName name="_xlnm._FilterDatabase" localSheetId="0" hidden="1">'My Uber Drives - 2016'!$A$1:$O$1</definedName>
    <definedName name="Category">'My Uber Drives - 2016'!$G$2:$G$1150</definedName>
    <definedName name="count" localSheetId="6">#REF!</definedName>
    <definedName name="count">#REF!</definedName>
    <definedName name="Count_days" localSheetId="6">#REF!</definedName>
    <definedName name="Count_days">#REF!</definedName>
    <definedName name="countDays" localSheetId="6">#REF!</definedName>
    <definedName name="countDays">#REF!</definedName>
    <definedName name="counthours" localSheetId="6">#REF!</definedName>
    <definedName name="counthours">#REF!</definedName>
    <definedName name="EndPoint">'My Uber Drives - 2016'!$K$2:$K$1150</definedName>
    <definedName name="HourDiff">'My Uber Drives - 2016'!$I$2:$I$1150</definedName>
    <definedName name="Miles">'My Uber Drives - 2016'!$L$2:$L$1150</definedName>
    <definedName name="Purpose">'My Uber Drives - 2016'!$O$2:$O$1150</definedName>
    <definedName name="Slicer_Months__End_Date">#N/A</definedName>
    <definedName name="Slicer_Start_Date2">#N/A</definedName>
    <definedName name="Speed">'My Uber Drives - 2016'!$M$2:$M$1150</definedName>
    <definedName name="StartDate">'My Uber Drives - 2016'!$B$2:$B$1150</definedName>
    <definedName name="StartPoint">'My Uber Drives - 2016'!$J$2:$J$1150</definedName>
    <definedName name="StartTime">'My Uber Drives - 2016'!$C$2:$C$1150</definedName>
    <definedName name="TimeDiff">'My Uber Drives - 2016'!$H$2:$H$1150</definedName>
    <definedName name="Weekdays">'My Uber Drives - 2016'!#REF!</definedName>
  </definedNames>
  <calcPr calcId="191029" iterate="1"/>
  <pivotCaches>
    <pivotCache cacheId="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782" i="1" l="1"/>
  <c r="O446" i="1"/>
  <c r="O506" i="1"/>
  <c r="O422" i="1"/>
  <c r="O659" i="1"/>
  <c r="O347" i="1"/>
  <c r="O183" i="1"/>
  <c r="O348" i="1"/>
  <c r="O423" i="1"/>
  <c r="O184" i="1"/>
  <c r="O349" i="1"/>
  <c r="O185" i="1"/>
  <c r="O402" i="1"/>
  <c r="O447" i="1"/>
  <c r="O55" i="1"/>
  <c r="O660" i="1"/>
  <c r="O310" i="1"/>
  <c r="O661" i="1"/>
  <c r="O448" i="1"/>
  <c r="O28" i="1"/>
  <c r="O617" i="1"/>
  <c r="O186" i="1"/>
  <c r="O187" i="1"/>
  <c r="O507" i="1"/>
  <c r="O130" i="1"/>
  <c r="O618" i="1"/>
  <c r="O1115" i="1"/>
  <c r="O311" i="1"/>
  <c r="O312" i="1"/>
  <c r="O662" i="1"/>
  <c r="O663" i="1"/>
  <c r="O783" i="1"/>
  <c r="O237" i="1"/>
  <c r="O508" i="1"/>
  <c r="O509" i="1"/>
  <c r="O131" i="1"/>
  <c r="O619" i="1"/>
  <c r="O664" i="1"/>
  <c r="O665" i="1"/>
  <c r="O666" i="1"/>
  <c r="O620" i="1"/>
  <c r="O621" i="1"/>
  <c r="O622" i="1"/>
  <c r="O623" i="1"/>
  <c r="O188" i="1"/>
  <c r="O260" i="1"/>
  <c r="O261" i="1"/>
  <c r="O262" i="1"/>
  <c r="O263" i="1"/>
  <c r="O238" i="1"/>
  <c r="O350" i="1"/>
  <c r="O687" i="1"/>
  <c r="O606" i="1"/>
  <c r="O510" i="1"/>
  <c r="O511" i="1"/>
  <c r="O351" i="1"/>
  <c r="O624" i="1"/>
  <c r="O667" i="1"/>
  <c r="O625" i="1"/>
  <c r="O1102" i="1"/>
  <c r="O424" i="1"/>
  <c r="O425" i="1"/>
  <c r="O56" i="1"/>
  <c r="O189" i="1"/>
  <c r="O626" i="1"/>
  <c r="O449" i="1"/>
  <c r="O627" i="1"/>
  <c r="O57" i="1"/>
  <c r="O471" i="1"/>
  <c r="O668" i="1"/>
  <c r="O669" i="1"/>
  <c r="O190" i="1"/>
  <c r="O352" i="1"/>
  <c r="O512" i="1"/>
  <c r="O353" i="1"/>
  <c r="O414" i="1"/>
  <c r="O146" i="1"/>
  <c r="O670" i="1"/>
  <c r="O147" i="1"/>
  <c r="O29" i="1"/>
  <c r="O239" i="1"/>
  <c r="O354" i="1"/>
  <c r="O159" i="1"/>
  <c r="O313" i="1"/>
  <c r="O784" i="1"/>
  <c r="O369" i="1"/>
  <c r="O785" i="1"/>
  <c r="O786" i="1"/>
  <c r="O787" i="1"/>
  <c r="O58" i="1"/>
  <c r="O671" i="1"/>
  <c r="O672" i="1"/>
  <c r="O403" i="1"/>
  <c r="O240" i="1"/>
  <c r="O241" i="1"/>
  <c r="O404" i="1"/>
  <c r="O132" i="1"/>
  <c r="O80" i="1"/>
  <c r="O688" i="1"/>
  <c r="O264" i="1"/>
  <c r="O513" i="1"/>
  <c r="O788" i="1"/>
  <c r="O514" i="1"/>
  <c r="O191" i="1"/>
  <c r="O14" i="1"/>
  <c r="O15" i="1"/>
  <c r="O265" i="1"/>
  <c r="O789" i="1"/>
  <c r="O790" i="1"/>
  <c r="O791" i="1"/>
  <c r="O405" i="1"/>
  <c r="O792" i="1"/>
  <c r="O673" i="1"/>
  <c r="O628" i="1"/>
  <c r="O406" i="1"/>
  <c r="O674" i="1"/>
  <c r="O119" i="1"/>
  <c r="O148" i="1"/>
  <c r="O120" i="1"/>
  <c r="O121" i="1"/>
  <c r="O594" i="1"/>
  <c r="O266" i="1"/>
  <c r="O81" i="1"/>
  <c r="O689" i="1"/>
  <c r="O355" i="1"/>
  <c r="O690" i="1"/>
  <c r="O793" i="1"/>
  <c r="O794" i="1"/>
  <c r="O1147" i="1"/>
  <c r="O795" i="1"/>
  <c r="O542" i="1"/>
  <c r="O796" i="1"/>
  <c r="O797" i="1"/>
  <c r="O798" i="1"/>
  <c r="O799" i="1"/>
  <c r="O800" i="1"/>
  <c r="O801" i="1"/>
  <c r="O691" i="1"/>
  <c r="O802" i="1"/>
  <c r="O149" i="1"/>
  <c r="O281" i="1"/>
  <c r="O803" i="1"/>
  <c r="O1116" i="1"/>
  <c r="O1117" i="1"/>
  <c r="O675" i="1"/>
  <c r="O407" i="1"/>
  <c r="O408" i="1"/>
  <c r="O122" i="1"/>
  <c r="O595" i="1"/>
  <c r="O676" i="1"/>
  <c r="O804" i="1"/>
  <c r="O692" i="1"/>
  <c r="O133" i="1"/>
  <c r="O805" i="1"/>
  <c r="O1118" i="1"/>
  <c r="O1119" i="1"/>
  <c r="O282" i="1"/>
  <c r="O677" i="1"/>
  <c r="O678" i="1"/>
  <c r="O806" i="1"/>
  <c r="O807" i="1"/>
  <c r="O693" i="1"/>
  <c r="O694" i="1"/>
  <c r="O85" i="1"/>
  <c r="O808" i="1"/>
  <c r="O370" i="1"/>
  <c r="O695" i="1"/>
  <c r="O696" i="1"/>
  <c r="O809" i="1"/>
  <c r="O697" i="1"/>
  <c r="O698" i="1"/>
  <c r="O810" i="1"/>
  <c r="O134" i="1"/>
  <c r="O679" i="1"/>
  <c r="O699" i="1"/>
  <c r="O86" i="1"/>
  <c r="O629" i="1"/>
  <c r="O314" i="1"/>
  <c r="O135" i="1"/>
  <c r="O356" i="1"/>
  <c r="O357" i="1"/>
  <c r="O136" i="1"/>
  <c r="O358" i="1"/>
  <c r="O192" i="1"/>
  <c r="O426" i="1"/>
  <c r="O1121" i="1"/>
  <c r="O450" i="1"/>
  <c r="O193" i="1"/>
  <c r="O123" i="1"/>
  <c r="O315" i="1"/>
  <c r="O472" i="1"/>
  <c r="O811" i="1"/>
  <c r="O87" i="1"/>
  <c r="O59" i="1"/>
  <c r="O473" i="1"/>
  <c r="O680" i="1"/>
  <c r="O43" i="1"/>
  <c r="O30" i="1"/>
  <c r="O31" i="1"/>
  <c r="O194" i="1"/>
  <c r="O25" i="1"/>
  <c r="O255" i="1"/>
  <c r="O681" i="1"/>
  <c r="O812" i="1"/>
  <c r="O1125" i="1"/>
  <c r="O700" i="1"/>
  <c r="O813" i="1"/>
  <c r="O814" i="1"/>
  <c r="O682" i="1"/>
  <c r="O815" i="1"/>
  <c r="O816" i="1"/>
  <c r="O817" i="1"/>
  <c r="O818" i="1"/>
  <c r="O819" i="1"/>
  <c r="O820" i="1"/>
  <c r="O60" i="1"/>
  <c r="O61" i="1"/>
  <c r="O62" i="1"/>
  <c r="O474" i="1"/>
  <c r="O475" i="1"/>
  <c r="O821" i="1"/>
  <c r="O630" i="1"/>
  <c r="O822" i="1"/>
  <c r="O316" i="1"/>
  <c r="O317" i="1"/>
  <c r="O318" i="1"/>
  <c r="O823" i="1"/>
  <c r="O160" i="1"/>
  <c r="O824" i="1"/>
  <c r="O32" i="1"/>
  <c r="O701" i="1"/>
  <c r="O476" i="1"/>
  <c r="O825" i="1"/>
  <c r="O543" i="1"/>
  <c r="O826" i="1"/>
  <c r="O319" i="1"/>
  <c r="O161" i="1"/>
  <c r="O16" i="1"/>
  <c r="O150" i="1"/>
  <c r="O33" i="1"/>
  <c r="O477" i="1"/>
  <c r="O1103" i="1"/>
  <c r="O427" i="1"/>
  <c r="O478" i="1"/>
  <c r="O162" i="1"/>
  <c r="O151" i="1"/>
  <c r="O827" i="1"/>
  <c r="O195" i="1"/>
  <c r="O428" i="1"/>
  <c r="O359" i="1"/>
  <c r="O515" i="1"/>
  <c r="O828" i="1"/>
  <c r="O1128" i="1"/>
  <c r="O34" i="1"/>
  <c r="O829" i="1"/>
  <c r="O479" i="1"/>
  <c r="O830" i="1"/>
  <c r="O63" i="1"/>
  <c r="O480" i="1"/>
  <c r="O831" i="1"/>
  <c r="O832" i="1"/>
  <c r="O833" i="1"/>
  <c r="O1129" i="1"/>
  <c r="O834" i="1"/>
  <c r="O835" i="1"/>
  <c r="O429" i="1"/>
  <c r="O430" i="1"/>
  <c r="O516" i="1"/>
  <c r="O836" i="1"/>
  <c r="O837" i="1"/>
  <c r="O838" i="1"/>
  <c r="O152" i="1"/>
  <c r="O320" i="1"/>
  <c r="O431" i="1"/>
  <c r="O839" i="1"/>
  <c r="O840" i="1"/>
  <c r="O841" i="1"/>
  <c r="O1130" i="1"/>
  <c r="O1131" i="1"/>
  <c r="O842" i="1"/>
  <c r="O843" i="1"/>
  <c r="O844" i="1"/>
  <c r="O845" i="1"/>
  <c r="O1122" i="1"/>
  <c r="O409" i="1"/>
  <c r="O1123" i="1"/>
  <c r="O702" i="1"/>
  <c r="O137" i="1"/>
  <c r="O703" i="1"/>
  <c r="O846" i="1"/>
  <c r="O847" i="1"/>
  <c r="O848" i="1"/>
  <c r="O267" i="1"/>
  <c r="O138" i="1"/>
  <c r="O35" i="1"/>
  <c r="O517" i="1"/>
  <c r="O704" i="1"/>
  <c r="O1124" i="1"/>
  <c r="O163" i="1"/>
  <c r="O481" i="1"/>
  <c r="O283" i="1"/>
  <c r="O705" i="1"/>
  <c r="O164" i="1"/>
  <c r="O284" i="1"/>
  <c r="O706" i="1"/>
  <c r="O707" i="1"/>
  <c r="O631" i="1"/>
  <c r="O708" i="1"/>
  <c r="O36" i="1"/>
  <c r="O709" i="1"/>
  <c r="O321" i="1"/>
  <c r="O242" i="1"/>
  <c r="O243" i="1"/>
  <c r="O410" i="1"/>
  <c r="O632" i="1"/>
  <c r="O710" i="1"/>
  <c r="O451" i="1"/>
  <c r="O322" i="1"/>
  <c r="O323" i="1"/>
  <c r="O482" i="1"/>
  <c r="O711" i="1"/>
  <c r="O712" i="1"/>
  <c r="O713" i="1"/>
  <c r="O714" i="1"/>
  <c r="O483" i="1"/>
  <c r="O484" i="1"/>
  <c r="O452" i="1"/>
  <c r="O633" i="1"/>
  <c r="O415" i="1"/>
  <c r="O416" i="1"/>
  <c r="O417" i="1"/>
  <c r="O37" i="1"/>
  <c r="O268" i="1"/>
  <c r="O432" i="1"/>
  <c r="O715" i="1"/>
  <c r="O716" i="1"/>
  <c r="O139" i="1"/>
  <c r="O717" i="1"/>
  <c r="O485" i="1"/>
  <c r="O2" i="1"/>
  <c r="O324" i="1"/>
  <c r="O849" i="1"/>
  <c r="O26" i="1"/>
  <c r="O82" i="1"/>
  <c r="O634" i="1"/>
  <c r="O635" i="1"/>
  <c r="O325" i="1"/>
  <c r="O165" i="1"/>
  <c r="O166" i="1"/>
  <c r="O453" i="1"/>
  <c r="O8" i="1"/>
  <c r="O9" i="1"/>
  <c r="O10" i="1"/>
  <c r="O454" i="1"/>
  <c r="O518" i="1"/>
  <c r="O519" i="1"/>
  <c r="O520" i="1"/>
  <c r="O140" i="1"/>
  <c r="O141" i="1"/>
  <c r="O418" i="1"/>
  <c r="O269" i="1"/>
  <c r="O270" i="1"/>
  <c r="O271" i="1"/>
  <c r="O272" i="1"/>
  <c r="O718" i="1"/>
  <c r="O719" i="1"/>
  <c r="O64" i="1"/>
  <c r="O65" i="1"/>
  <c r="O636" i="1"/>
  <c r="O455" i="1"/>
  <c r="O456" i="1"/>
  <c r="O433" i="1"/>
  <c r="O434" i="1"/>
  <c r="O66" i="1"/>
  <c r="O720" i="1"/>
  <c r="O486" i="1"/>
  <c r="O487" i="1"/>
  <c r="O67" i="1"/>
  <c r="O488" i="1"/>
  <c r="O637" i="1"/>
  <c r="O44" i="1"/>
  <c r="O850" i="1"/>
  <c r="O285" i="1"/>
  <c r="O457" i="1"/>
  <c r="O326" i="1"/>
  <c r="O435" i="1"/>
  <c r="O721" i="1"/>
  <c r="O521" i="1"/>
  <c r="O851" i="1"/>
  <c r="O436" i="1"/>
  <c r="O522" i="1"/>
  <c r="O523" i="1"/>
  <c r="O524" i="1"/>
  <c r="O683" i="1"/>
  <c r="O638" i="1"/>
  <c r="O153" i="1"/>
  <c r="O286" i="1"/>
  <c r="O419" i="1"/>
  <c r="O5" i="1"/>
  <c r="O142" i="1"/>
  <c r="O327" i="1"/>
  <c r="O684" i="1"/>
  <c r="O525" i="1"/>
  <c r="O526" i="1"/>
  <c r="O45" i="1"/>
  <c r="O458" i="1"/>
  <c r="O11" i="1"/>
  <c r="O489" i="1"/>
  <c r="O527" i="1"/>
  <c r="O528" i="1"/>
  <c r="O529" i="1"/>
  <c r="O530" i="1"/>
  <c r="O167" i="1"/>
  <c r="O459" i="1"/>
  <c r="O168" i="1"/>
  <c r="O46" i="1"/>
  <c r="O328" i="1"/>
  <c r="O460" i="1"/>
  <c r="O461" i="1"/>
  <c r="O47" i="1"/>
  <c r="O196" i="1"/>
  <c r="O197" i="1"/>
  <c r="O531" i="1"/>
  <c r="O287" i="1"/>
  <c r="O329" i="1"/>
  <c r="O852" i="1"/>
  <c r="O532" i="1"/>
  <c r="O533" i="1"/>
  <c r="O330" i="1"/>
  <c r="O154" i="1"/>
  <c r="O462" i="1"/>
  <c r="O169" i="1"/>
  <c r="O1126" i="1"/>
  <c r="O331" i="1"/>
  <c r="O332" i="1"/>
  <c r="O273" i="1"/>
  <c r="O853" i="1"/>
  <c r="O534" i="1"/>
  <c r="O198" i="1"/>
  <c r="O1120" i="1"/>
  <c r="O420" i="1"/>
  <c r="O1101" i="1"/>
  <c r="O143" i="1"/>
  <c r="O854" i="1"/>
  <c r="O333" i="1"/>
  <c r="O855" i="1"/>
  <c r="O856" i="1"/>
  <c r="O857" i="1"/>
  <c r="O858" i="1"/>
  <c r="O859" i="1"/>
  <c r="O860" i="1"/>
  <c r="O861" i="1"/>
  <c r="O862" i="1"/>
  <c r="O863" i="1"/>
  <c r="O864" i="1"/>
  <c r="O170" i="1"/>
  <c r="O490" i="1"/>
  <c r="O491" i="1"/>
  <c r="O288" i="1"/>
  <c r="O289" i="1"/>
  <c r="O639" i="1"/>
  <c r="O244" i="1"/>
  <c r="O865" i="1"/>
  <c r="O866" i="1"/>
  <c r="O127" i="1"/>
  <c r="O640" i="1"/>
  <c r="O492" i="1"/>
  <c r="O535" i="1"/>
  <c r="O199" i="1"/>
  <c r="O867" i="1"/>
  <c r="O868" i="1"/>
  <c r="O722" i="1"/>
  <c r="O869" i="1"/>
  <c r="O870" i="1"/>
  <c r="O871" i="1"/>
  <c r="O872" i="1"/>
  <c r="O873" i="1"/>
  <c r="O874" i="1"/>
  <c r="O875" i="1"/>
  <c r="O876" i="1"/>
  <c r="O877" i="1"/>
  <c r="O878" i="1"/>
  <c r="O879" i="1"/>
  <c r="O880" i="1"/>
  <c r="O881" i="1"/>
  <c r="O882" i="1"/>
  <c r="O38" i="1"/>
  <c r="O723" i="1"/>
  <c r="O360" i="1"/>
  <c r="O536" i="1"/>
  <c r="O883" i="1"/>
  <c r="O884" i="1"/>
  <c r="O885" i="1"/>
  <c r="O886" i="1"/>
  <c r="O724" i="1"/>
  <c r="O361" i="1"/>
  <c r="O83" i="1"/>
  <c r="O1127" i="1"/>
  <c r="O725" i="1"/>
  <c r="O726" i="1"/>
  <c r="O727" i="1"/>
  <c r="O728" i="1"/>
  <c r="O729" i="1"/>
  <c r="O730" i="1"/>
  <c r="O290" i="1"/>
  <c r="O291" i="1"/>
  <c r="O731" i="1"/>
  <c r="O732" i="1"/>
  <c r="O733" i="1"/>
  <c r="O245" i="1"/>
  <c r="O734" i="1"/>
  <c r="O292" i="1"/>
  <c r="O735" i="1"/>
  <c r="O155" i="1"/>
  <c r="O887" i="1"/>
  <c r="O888" i="1"/>
  <c r="O68" i="1"/>
  <c r="O736" i="1"/>
  <c r="O889" i="1"/>
  <c r="O69" i="1"/>
  <c r="O1104" i="1"/>
  <c r="O246" i="1"/>
  <c r="O890" i="1"/>
  <c r="O891" i="1"/>
  <c r="O892" i="1"/>
  <c r="O893" i="1"/>
  <c r="O894" i="1"/>
  <c r="O895" i="1"/>
  <c r="O896" i="1"/>
  <c r="O897" i="1"/>
  <c r="O898" i="1"/>
  <c r="O899" i="1"/>
  <c r="O1132" i="1"/>
  <c r="O900" i="1"/>
  <c r="O901" i="1"/>
  <c r="O902" i="1"/>
  <c r="O903" i="1"/>
  <c r="O904" i="1"/>
  <c r="O905" i="1"/>
  <c r="O906" i="1"/>
  <c r="O907" i="1"/>
  <c r="O908" i="1"/>
  <c r="O48" i="1"/>
  <c r="O909" i="1"/>
  <c r="O910" i="1"/>
  <c r="O911" i="1"/>
  <c r="O912" i="1"/>
  <c r="O913" i="1"/>
  <c r="O914" i="1"/>
  <c r="O915" i="1"/>
  <c r="O916" i="1"/>
  <c r="O917" i="1"/>
  <c r="O918" i="1"/>
  <c r="O919" i="1"/>
  <c r="O49" i="1"/>
  <c r="O129" i="1"/>
  <c r="O421" i="1"/>
  <c r="O367" i="1"/>
  <c r="O368" i="1"/>
  <c r="O780" i="1"/>
  <c r="O781" i="1"/>
  <c r="O737" i="1"/>
  <c r="O12" i="1"/>
  <c r="O70" i="1"/>
  <c r="O463" i="1"/>
  <c r="O71" i="1"/>
  <c r="O437" i="1"/>
  <c r="O738" i="1"/>
  <c r="O72" i="1"/>
  <c r="O6" i="1"/>
  <c r="O920" i="1"/>
  <c r="O921" i="1"/>
  <c r="O922" i="1"/>
  <c r="O923" i="1"/>
  <c r="O924" i="1"/>
  <c r="O925" i="1"/>
  <c r="O926" i="1"/>
  <c r="O927" i="1"/>
  <c r="O928" i="1"/>
  <c r="O929" i="1"/>
  <c r="O930" i="1"/>
  <c r="O931" i="1"/>
  <c r="O739" i="1"/>
  <c r="O73" i="1"/>
  <c r="O932" i="1"/>
  <c r="O933" i="1"/>
  <c r="O934" i="1"/>
  <c r="O935" i="1"/>
  <c r="O936" i="1"/>
  <c r="O937" i="1"/>
  <c r="O740" i="1"/>
  <c r="O741" i="1"/>
  <c r="O938" i="1"/>
  <c r="O939" i="1"/>
  <c r="O940" i="1"/>
  <c r="O941" i="1"/>
  <c r="O942" i="1"/>
  <c r="O943" i="1"/>
  <c r="O493" i="1"/>
  <c r="O494" i="1"/>
  <c r="O944" i="1"/>
  <c r="O945" i="1"/>
  <c r="O946" i="1"/>
  <c r="O947" i="1"/>
  <c r="O948" i="1"/>
  <c r="O334" i="1"/>
  <c r="O949" i="1"/>
  <c r="O950" i="1"/>
  <c r="O951" i="1"/>
  <c r="O952" i="1"/>
  <c r="O953" i="1"/>
  <c r="O954" i="1"/>
  <c r="O955" i="1"/>
  <c r="O956" i="1"/>
  <c r="O957" i="1"/>
  <c r="O958" i="1"/>
  <c r="O959" i="1"/>
  <c r="O742" i="1"/>
  <c r="O960" i="1"/>
  <c r="O1133" i="1"/>
  <c r="O961" i="1"/>
  <c r="O962" i="1"/>
  <c r="O544" i="1"/>
  <c r="O963" i="1"/>
  <c r="O964" i="1"/>
  <c r="O965" i="1"/>
  <c r="O966" i="1"/>
  <c r="O967" i="1"/>
  <c r="O968" i="1"/>
  <c r="O969" i="1"/>
  <c r="O274" i="1"/>
  <c r="O970" i="1"/>
  <c r="O335" i="1"/>
  <c r="O545" i="1"/>
  <c r="O971" i="1"/>
  <c r="O275" i="1"/>
  <c r="O972" i="1"/>
  <c r="O607" i="1"/>
  <c r="O546" i="1"/>
  <c r="O973" i="1"/>
  <c r="O974" i="1"/>
  <c r="O547" i="1"/>
  <c r="O975" i="1"/>
  <c r="O371" i="1"/>
  <c r="O976" i="1"/>
  <c r="O977" i="1"/>
  <c r="O978" i="1"/>
  <c r="O979" i="1"/>
  <c r="O980" i="1"/>
  <c r="O981" i="1"/>
  <c r="O982" i="1"/>
  <c r="O1134" i="1"/>
  <c r="O743" i="1"/>
  <c r="O983" i="1"/>
  <c r="O984" i="1"/>
  <c r="O985" i="1"/>
  <c r="O247" i="1"/>
  <c r="O986" i="1"/>
  <c r="O987" i="1"/>
  <c r="O988" i="1"/>
  <c r="O989" i="1"/>
  <c r="O990" i="1"/>
  <c r="O411" i="1"/>
  <c r="O991" i="1"/>
  <c r="O992" i="1"/>
  <c r="O993" i="1"/>
  <c r="O994" i="1"/>
  <c r="O995" i="1"/>
  <c r="O996" i="1"/>
  <c r="O997" i="1"/>
  <c r="O998" i="1"/>
  <c r="O412" i="1"/>
  <c r="O248" i="1"/>
  <c r="O999" i="1"/>
  <c r="O1000" i="1"/>
  <c r="O1001" i="1"/>
  <c r="O372" i="1"/>
  <c r="O88" i="1"/>
  <c r="O1002" i="1"/>
  <c r="O1003" i="1"/>
  <c r="O254" i="1"/>
  <c r="O1004" i="1"/>
  <c r="O1005" i="1"/>
  <c r="O1006" i="1"/>
  <c r="O1007" i="1"/>
  <c r="O373" i="1"/>
  <c r="O1008" i="1"/>
  <c r="O204" i="1"/>
  <c r="O548" i="1"/>
  <c r="O1009" i="1"/>
  <c r="O549" i="1"/>
  <c r="O1010" i="1"/>
  <c r="O1011" i="1"/>
  <c r="O1012" i="1"/>
  <c r="O1013" i="1"/>
  <c r="O550" i="1"/>
  <c r="O551" i="1"/>
  <c r="O552" i="1"/>
  <c r="O553" i="1"/>
  <c r="O554" i="1"/>
  <c r="O555" i="1"/>
  <c r="O1014" i="1"/>
  <c r="O1015" i="1"/>
  <c r="O1016" i="1"/>
  <c r="O1017" i="1"/>
  <c r="O1018" i="1"/>
  <c r="O1019" i="1"/>
  <c r="O1020" i="1"/>
  <c r="O1021" i="1"/>
  <c r="O1022" i="1"/>
  <c r="O1023" i="1"/>
  <c r="O1024" i="1"/>
  <c r="O1025" i="1"/>
  <c r="O1026" i="1"/>
  <c r="O205" i="1"/>
  <c r="O1027" i="1"/>
  <c r="O1028" i="1"/>
  <c r="O1029" i="1"/>
  <c r="O1030" i="1"/>
  <c r="O1031" i="1"/>
  <c r="O374" i="1"/>
  <c r="O1032" i="1"/>
  <c r="O1033" i="1"/>
  <c r="O556" i="1"/>
  <c r="O1034" i="1"/>
  <c r="O1035" i="1"/>
  <c r="O1036" i="1"/>
  <c r="O1037" i="1"/>
  <c r="O1038" i="1"/>
  <c r="O1039" i="1"/>
  <c r="O375" i="1"/>
  <c r="O89" i="1"/>
  <c r="O249" i="1"/>
  <c r="O1135" i="1"/>
  <c r="O1040" i="1"/>
  <c r="O1041" i="1"/>
  <c r="O1042" i="1"/>
  <c r="O1043" i="1"/>
  <c r="O1044" i="1"/>
  <c r="O1045" i="1"/>
  <c r="O1046" i="1"/>
  <c r="O557" i="1"/>
  <c r="O90" i="1"/>
  <c r="O1047" i="1"/>
  <c r="O1048" i="1"/>
  <c r="O17" i="1"/>
  <c r="O18" i="1"/>
  <c r="O19" i="1"/>
  <c r="O558" i="1"/>
  <c r="O1049" i="1"/>
  <c r="O1050" i="1"/>
  <c r="O1051" i="1"/>
  <c r="O1052" i="1"/>
  <c r="O1053" i="1"/>
  <c r="O1054" i="1"/>
  <c r="O559" i="1"/>
  <c r="O91" i="1"/>
  <c r="O1055" i="1"/>
  <c r="O1056" i="1"/>
  <c r="O1136" i="1"/>
  <c r="O1057" i="1"/>
  <c r="O1058" i="1"/>
  <c r="O1137" i="1"/>
  <c r="O560" i="1"/>
  <c r="O1059" i="1"/>
  <c r="O92" i="1"/>
  <c r="O1060" i="1"/>
  <c r="O1061" i="1"/>
  <c r="O93" i="1"/>
  <c r="O1062" i="1"/>
  <c r="O1063" i="1"/>
  <c r="O1064" i="1"/>
  <c r="O1065" i="1"/>
  <c r="O1066" i="1"/>
  <c r="O1067" i="1"/>
  <c r="O561" i="1"/>
  <c r="O1068" i="1"/>
  <c r="O1069" i="1"/>
  <c r="O206" i="1"/>
  <c r="O1070" i="1"/>
  <c r="O1071" i="1"/>
  <c r="O1072" i="1"/>
  <c r="O1073" i="1"/>
  <c r="O562" i="1"/>
  <c r="O1074" i="1"/>
  <c r="O1075" i="1"/>
  <c r="O1076" i="1"/>
  <c r="O1077" i="1"/>
  <c r="O1078" i="1"/>
  <c r="O94" i="1"/>
  <c r="O95" i="1"/>
  <c r="O1079" i="1"/>
  <c r="O207" i="1"/>
  <c r="O1080" i="1"/>
  <c r="O4" i="1"/>
  <c r="O1138" i="1"/>
  <c r="O1139" i="1"/>
  <c r="O744" i="1"/>
  <c r="O1140" i="1"/>
  <c r="O376" i="1"/>
  <c r="O96" i="1"/>
  <c r="O377" i="1"/>
  <c r="O378" i="1"/>
  <c r="O563" i="1"/>
  <c r="O564" i="1"/>
  <c r="O565" i="1"/>
  <c r="O200" i="1"/>
  <c r="O1081" i="1"/>
  <c r="O1082" i="1"/>
  <c r="O745" i="1"/>
  <c r="O208" i="1"/>
  <c r="O97" i="1"/>
  <c r="O746" i="1"/>
  <c r="O20" i="1"/>
  <c r="O171" i="1"/>
  <c r="O98" i="1"/>
  <c r="O566" i="1"/>
  <c r="O209" i="1"/>
  <c r="O379" i="1"/>
  <c r="O380" i="1"/>
  <c r="O210" i="1"/>
  <c r="O381" i="1"/>
  <c r="O22" i="1"/>
  <c r="O211" i="1"/>
  <c r="O567" i="1"/>
  <c r="O568" i="1"/>
  <c r="O99" i="1"/>
  <c r="O382" i="1"/>
  <c r="O100" i="1"/>
  <c r="O383" i="1"/>
  <c r="O1083" i="1"/>
  <c r="O1084" i="1"/>
  <c r="O1085" i="1"/>
  <c r="O569" i="1"/>
  <c r="O570" i="1"/>
  <c r="O1086" i="1"/>
  <c r="O571" i="1"/>
  <c r="O572" i="1"/>
  <c r="O21" i="1"/>
  <c r="O212" i="1"/>
  <c r="O384" i="1"/>
  <c r="O1087" i="1"/>
  <c r="O172" i="1"/>
  <c r="O608" i="1"/>
  <c r="O101" i="1"/>
  <c r="O1141" i="1"/>
  <c r="O1088" i="1"/>
  <c r="O573" i="1"/>
  <c r="O213" i="1"/>
  <c r="O385" i="1"/>
  <c r="O173" i="1"/>
  <c r="O102" i="1"/>
  <c r="O7" i="1"/>
  <c r="O747" i="1"/>
  <c r="O386" i="1"/>
  <c r="O748" i="1"/>
  <c r="O103" i="1"/>
  <c r="O387" i="1"/>
  <c r="O104" i="1"/>
  <c r="O214" i="1"/>
  <c r="O749" i="1"/>
  <c r="O750" i="1"/>
  <c r="O751" i="1"/>
  <c r="O752" i="1"/>
  <c r="O753" i="1"/>
  <c r="O754" i="1"/>
  <c r="O1089" i="1"/>
  <c r="O105" i="1"/>
  <c r="O388" i="1"/>
  <c r="O106" i="1"/>
  <c r="O1090" i="1"/>
  <c r="O389" i="1"/>
  <c r="O574" i="1"/>
  <c r="O575" i="1"/>
  <c r="O107" i="1"/>
  <c r="O390" i="1"/>
  <c r="O215" i="1"/>
  <c r="O216" i="1"/>
  <c r="O576" i="1"/>
  <c r="O293" i="1"/>
  <c r="O217" i="1"/>
  <c r="O218" i="1"/>
  <c r="O1142" i="1"/>
  <c r="O577" i="1"/>
  <c r="O108" i="1"/>
  <c r="O74" i="1"/>
  <c r="O578" i="1"/>
  <c r="O219" i="1"/>
  <c r="O755" i="1"/>
  <c r="O391" i="1"/>
  <c r="O109" i="1"/>
  <c r="O392" i="1"/>
  <c r="O220" i="1"/>
  <c r="O221" i="1"/>
  <c r="O222" i="1"/>
  <c r="O75" i="1"/>
  <c r="O609" i="1"/>
  <c r="O250" i="1"/>
  <c r="O393" i="1"/>
  <c r="O110" i="1"/>
  <c r="O394" i="1"/>
  <c r="O111" i="1"/>
  <c r="O223" i="1"/>
  <c r="O395" i="1"/>
  <c r="O1091" i="1"/>
  <c r="O201" i="1"/>
  <c r="O610" i="1"/>
  <c r="O1092" i="1"/>
  <c r="O396" i="1"/>
  <c r="O256" i="1"/>
  <c r="O257" i="1"/>
  <c r="O258" i="1"/>
  <c r="O23" i="1"/>
  <c r="O112" i="1"/>
  <c r="O579" i="1"/>
  <c r="O3" i="1"/>
  <c r="O1143" i="1"/>
  <c r="O224" i="1"/>
  <c r="O225" i="1"/>
  <c r="O24" i="1"/>
  <c r="O611" i="1"/>
  <c r="O1093" i="1"/>
  <c r="O226" i="1"/>
  <c r="O413" i="1"/>
  <c r="O1144" i="1"/>
  <c r="O227" i="1"/>
  <c r="O124" i="1"/>
  <c r="O601" i="1"/>
  <c r="O1094" i="1"/>
  <c r="O276" i="1"/>
  <c r="O1095" i="1"/>
  <c r="O1096" i="1"/>
  <c r="O277" i="1"/>
  <c r="O1097" i="1"/>
  <c r="O113" i="1"/>
  <c r="O114" i="1"/>
  <c r="O1098" i="1"/>
  <c r="O580" i="1"/>
  <c r="O1099" i="1"/>
  <c r="O602" i="1"/>
  <c r="O228" i="1"/>
  <c r="O581" i="1"/>
  <c r="O641" i="1"/>
  <c r="O229" i="1"/>
  <c r="O1145" i="1"/>
  <c r="O230" i="1"/>
  <c r="O231" i="1"/>
  <c r="O603" i="1"/>
  <c r="O115" i="1"/>
  <c r="O582" i="1"/>
  <c r="O232" i="1"/>
  <c r="O397" i="1"/>
  <c r="O583" i="1"/>
  <c r="O278" i="1"/>
  <c r="O1105" i="1"/>
  <c r="O233" i="1"/>
  <c r="O464" i="1"/>
  <c r="O234" i="1"/>
  <c r="O596" i="1"/>
  <c r="O1100" i="1"/>
  <c r="O597" i="1"/>
  <c r="O336" i="1"/>
  <c r="O1106" i="1"/>
  <c r="O495" i="1"/>
  <c r="O337" i="1"/>
  <c r="O604" i="1"/>
  <c r="O537" i="1"/>
  <c r="O362" i="1"/>
  <c r="O584" i="1"/>
  <c r="O116" i="1"/>
  <c r="O465" i="1"/>
  <c r="O1107" i="1"/>
  <c r="O259" i="1"/>
  <c r="O1108" i="1"/>
  <c r="O363" i="1"/>
  <c r="O642" i="1"/>
  <c r="O338" i="1"/>
  <c r="O339" i="1"/>
  <c r="O643" i="1"/>
  <c r="O340" i="1"/>
  <c r="O294" i="1"/>
  <c r="O202" i="1"/>
  <c r="O364" i="1"/>
  <c r="O39" i="1"/>
  <c r="O174" i="1"/>
  <c r="O438" i="1"/>
  <c r="O175" i="1"/>
  <c r="O585" i="1"/>
  <c r="O586" i="1"/>
  <c r="O587" i="1"/>
  <c r="O84" i="1"/>
  <c r="O538" i="1"/>
  <c r="O117" i="1"/>
  <c r="O365" i="1"/>
  <c r="O203" i="1"/>
  <c r="O128" i="1"/>
  <c r="O644" i="1"/>
  <c r="O685" i="1"/>
  <c r="O588" i="1"/>
  <c r="O439" i="1"/>
  <c r="O251" i="1"/>
  <c r="O589" i="1"/>
  <c r="O756" i="1"/>
  <c r="O645" i="1"/>
  <c r="O176" i="1"/>
  <c r="O40" i="1"/>
  <c r="O177" i="1"/>
  <c r="O440" i="1"/>
  <c r="O341" i="1"/>
  <c r="O612" i="1"/>
  <c r="O646" i="1"/>
  <c r="O235" i="1"/>
  <c r="O441" i="1"/>
  <c r="O76" i="1"/>
  <c r="O442" i="1"/>
  <c r="O1146" i="1"/>
  <c r="O496" i="1"/>
  <c r="O757" i="1"/>
  <c r="O758" i="1"/>
  <c r="O443" i="1"/>
  <c r="O497" i="1"/>
  <c r="O647" i="1"/>
  <c r="O648" i="1"/>
  <c r="O759" i="1"/>
  <c r="O649" i="1"/>
  <c r="O295" i="1"/>
  <c r="O252" i="1"/>
  <c r="O760" i="1"/>
  <c r="O444" i="1"/>
  <c r="O761" i="1"/>
  <c r="O296" i="1"/>
  <c r="O686" i="1"/>
  <c r="O41" i="1"/>
  <c r="O77" i="1"/>
  <c r="O297" i="1"/>
  <c r="O298" i="1"/>
  <c r="O299" i="1"/>
  <c r="O498" i="1"/>
  <c r="O613" i="1"/>
  <c r="O499" i="1"/>
  <c r="O614" i="1"/>
  <c r="O650" i="1"/>
  <c r="O500" i="1"/>
  <c r="O590" i="1"/>
  <c r="O398" i="1"/>
  <c r="O342" i="1"/>
  <c r="O615" i="1"/>
  <c r="O762" i="1"/>
  <c r="O605" i="1"/>
  <c r="O253" i="1"/>
  <c r="O156" i="1"/>
  <c r="O651" i="1"/>
  <c r="O118" i="1"/>
  <c r="O300" i="1"/>
  <c r="O598" i="1"/>
  <c r="O301" i="1"/>
  <c r="O591" i="1"/>
  <c r="O592" i="1"/>
  <c r="O593" i="1"/>
  <c r="O236" i="1"/>
  <c r="O1109" i="1"/>
  <c r="O616" i="1"/>
  <c r="O399" i="1"/>
  <c r="O763" i="1"/>
  <c r="O400" i="1"/>
  <c r="O302" i="1"/>
  <c r="O764" i="1"/>
  <c r="O652" i="1"/>
  <c r="O125" i="1"/>
  <c r="O303" i="1"/>
  <c r="O653" i="1"/>
  <c r="O279" i="1"/>
  <c r="O765" i="1"/>
  <c r="O50" i="1"/>
  <c r="O178" i="1"/>
  <c r="O766" i="1"/>
  <c r="O466" i="1"/>
  <c r="O304" i="1"/>
  <c r="O767" i="1"/>
  <c r="O144" i="1"/>
  <c r="O539" i="1"/>
  <c r="O366" i="1"/>
  <c r="O768" i="1"/>
  <c r="O1110" i="1"/>
  <c r="O769" i="1"/>
  <c r="O770" i="1"/>
  <c r="O654" i="1"/>
  <c r="O599" i="1"/>
  <c r="O771" i="1"/>
  <c r="O179" i="1"/>
  <c r="O280" i="1"/>
  <c r="O772" i="1"/>
  <c r="O773" i="1"/>
  <c r="O540" i="1"/>
  <c r="O655" i="1"/>
  <c r="O180" i="1"/>
  <c r="O13" i="1"/>
  <c r="O78" i="1"/>
  <c r="O79" i="1"/>
  <c r="O656" i="1"/>
  <c r="O305" i="1"/>
  <c r="O306" i="1"/>
  <c r="O343" i="1"/>
  <c r="O467" i="1"/>
  <c r="O157" i="1"/>
  <c r="O344" i="1"/>
  <c r="O501" i="1"/>
  <c r="O502" i="1"/>
  <c r="O1111" i="1"/>
  <c r="O145" i="1"/>
  <c r="O1112" i="1"/>
  <c r="O541" i="1"/>
  <c r="O1148" i="1"/>
  <c r="O181" i="1"/>
  <c r="O182" i="1"/>
  <c r="O1113" i="1"/>
  <c r="O774" i="1"/>
  <c r="O1114" i="1"/>
  <c r="O345" i="1"/>
  <c r="O51" i="1"/>
  <c r="O307" i="1"/>
  <c r="O346" i="1"/>
  <c r="O52" i="1"/>
  <c r="O53" i="1"/>
  <c r="O308" i="1"/>
  <c r="O309" i="1"/>
  <c r="O503" i="1"/>
  <c r="O504" i="1"/>
  <c r="O158" i="1"/>
  <c r="O657" i="1"/>
  <c r="O126" i="1"/>
  <c r="O27" i="1"/>
  <c r="O468" i="1"/>
  <c r="O505" i="1"/>
  <c r="O42" i="1"/>
  <c r="O775" i="1"/>
  <c r="O401" i="1"/>
  <c r="O776" i="1"/>
  <c r="O54" i="1"/>
  <c r="O469" i="1"/>
  <c r="O470" i="1"/>
  <c r="O777" i="1"/>
  <c r="O445" i="1"/>
  <c r="O778" i="1"/>
  <c r="O600" i="1"/>
  <c r="O779" i="1"/>
  <c r="O1149" i="1"/>
  <c r="O1150" i="1"/>
  <c r="O658" i="1"/>
  <c r="H422" i="1"/>
  <c r="I422" i="1" s="1"/>
  <c r="H423" i="1"/>
  <c r="I423" i="1" s="1"/>
  <c r="H28" i="1"/>
  <c r="I28" i="1" s="1"/>
  <c r="M28" i="1" s="1"/>
  <c r="H130" i="1"/>
  <c r="I130" i="1" s="1"/>
  <c r="M130" i="1" s="1"/>
  <c r="H131" i="1"/>
  <c r="I131" i="1" s="1"/>
  <c r="M131" i="1" s="1"/>
  <c r="H260" i="1"/>
  <c r="I260" i="1" s="1"/>
  <c r="H261" i="1"/>
  <c r="I261" i="1" s="1"/>
  <c r="M261" i="1" s="1"/>
  <c r="H262" i="1"/>
  <c r="I262" i="1" s="1"/>
  <c r="M262" i="1" s="1"/>
  <c r="H263" i="1"/>
  <c r="I263" i="1" s="1"/>
  <c r="H606" i="1"/>
  <c r="I606" i="1" s="1"/>
  <c r="H1102" i="1"/>
  <c r="I1102" i="1" s="1"/>
  <c r="M1102" i="1" s="1"/>
  <c r="H424" i="1"/>
  <c r="I424" i="1" s="1"/>
  <c r="M424" i="1" s="1"/>
  <c r="H425" i="1"/>
  <c r="I425" i="1" s="1"/>
  <c r="M425" i="1" s="1"/>
  <c r="H29" i="1"/>
  <c r="I29" i="1" s="1"/>
  <c r="H132" i="1"/>
  <c r="I132" i="1" s="1"/>
  <c r="H264" i="1"/>
  <c r="I264" i="1" s="1"/>
  <c r="M264" i="1" s="1"/>
  <c r="H265" i="1"/>
  <c r="I265" i="1" s="1"/>
  <c r="H266" i="1"/>
  <c r="I266" i="1" s="1"/>
  <c r="H133" i="1"/>
  <c r="I133" i="1" s="1"/>
  <c r="M133" i="1" s="1"/>
  <c r="H134" i="1"/>
  <c r="I134" i="1" s="1"/>
  <c r="M134" i="1" s="1"/>
  <c r="H135" i="1"/>
  <c r="I135" i="1" s="1"/>
  <c r="M135" i="1" s="1"/>
  <c r="H136" i="1"/>
  <c r="I136" i="1" s="1"/>
  <c r="H426" i="1"/>
  <c r="I426" i="1" s="1"/>
  <c r="H30" i="1"/>
  <c r="I30" i="1" s="1"/>
  <c r="M30" i="1" s="1"/>
  <c r="H31" i="1"/>
  <c r="I31" i="1" s="1"/>
  <c r="H32" i="1"/>
  <c r="I32" i="1" s="1"/>
  <c r="H33" i="1"/>
  <c r="I33" i="1" s="1"/>
  <c r="M33" i="1" s="1"/>
  <c r="H1103" i="1"/>
  <c r="I1103" i="1" s="1"/>
  <c r="M1103" i="1" s="1"/>
  <c r="H427" i="1"/>
  <c r="I427" i="1" s="1"/>
  <c r="M427" i="1" s="1"/>
  <c r="H428" i="1"/>
  <c r="I428" i="1" s="1"/>
  <c r="H34" i="1"/>
  <c r="I34" i="1" s="1"/>
  <c r="H429" i="1"/>
  <c r="I429" i="1" s="1"/>
  <c r="H430" i="1"/>
  <c r="I430" i="1" s="1"/>
  <c r="H431" i="1"/>
  <c r="I431" i="1" s="1"/>
  <c r="H137" i="1"/>
  <c r="I137" i="1" s="1"/>
  <c r="M137" i="1" s="1"/>
  <c r="H267" i="1"/>
  <c r="I267" i="1" s="1"/>
  <c r="M267" i="1" s="1"/>
  <c r="H138" i="1"/>
  <c r="I138" i="1" s="1"/>
  <c r="M138" i="1" s="1"/>
  <c r="H35" i="1"/>
  <c r="I35" i="1" s="1"/>
  <c r="H440" i="1"/>
  <c r="I440" i="1" s="1"/>
  <c r="H612" i="1"/>
  <c r="I612" i="1" s="1"/>
  <c r="H441" i="1"/>
  <c r="I441" i="1" s="1"/>
  <c r="H442" i="1"/>
  <c r="I442" i="1" s="1"/>
  <c r="M442" i="1" s="1"/>
  <c r="H443" i="1"/>
  <c r="I443" i="1" s="1"/>
  <c r="M443" i="1" s="1"/>
  <c r="H444" i="1"/>
  <c r="I444" i="1" s="1"/>
  <c r="M444" i="1" s="1"/>
  <c r="H41" i="1"/>
  <c r="I41" i="1" s="1"/>
  <c r="H613" i="1"/>
  <c r="I613" i="1" s="1"/>
  <c r="H614" i="1"/>
  <c r="I614" i="1" s="1"/>
  <c r="H615" i="1"/>
  <c r="I615" i="1" s="1"/>
  <c r="H1109" i="1"/>
  <c r="I1109" i="1" s="1"/>
  <c r="M1109" i="1" s="1"/>
  <c r="H616" i="1"/>
  <c r="I616" i="1" s="1"/>
  <c r="M616" i="1" s="1"/>
  <c r="H279" i="1"/>
  <c r="I279" i="1" s="1"/>
  <c r="M279" i="1" s="1"/>
  <c r="H144" i="1"/>
  <c r="I144" i="1" s="1"/>
  <c r="H1110" i="1"/>
  <c r="I1110" i="1" s="1"/>
  <c r="H280" i="1"/>
  <c r="I280" i="1" s="1"/>
  <c r="H1111" i="1"/>
  <c r="I1111" i="1" s="1"/>
  <c r="H145" i="1"/>
  <c r="I145" i="1" s="1"/>
  <c r="H1112" i="1"/>
  <c r="I1112" i="1" s="1"/>
  <c r="M1112" i="1" s="1"/>
  <c r="H1113" i="1"/>
  <c r="I1113" i="1" s="1"/>
  <c r="M1113" i="1" s="1"/>
  <c r="H1114" i="1"/>
  <c r="I1114" i="1" s="1"/>
  <c r="M1114" i="1" s="1"/>
  <c r="H42" i="1"/>
  <c r="I42" i="1" s="1"/>
  <c r="H445" i="1"/>
  <c r="I445" i="1" s="1"/>
  <c r="H446" i="1"/>
  <c r="I446" i="1" s="1"/>
  <c r="H447" i="1"/>
  <c r="I447" i="1" s="1"/>
  <c r="H448" i="1"/>
  <c r="I448" i="1" s="1"/>
  <c r="H617" i="1"/>
  <c r="I617" i="1" s="1"/>
  <c r="M617" i="1" s="1"/>
  <c r="H618" i="1"/>
  <c r="I618" i="1" s="1"/>
  <c r="M618" i="1" s="1"/>
  <c r="H1115" i="1"/>
  <c r="I1115" i="1" s="1"/>
  <c r="M1115" i="1" s="1"/>
  <c r="H619" i="1"/>
  <c r="I619" i="1" s="1"/>
  <c r="H620" i="1"/>
  <c r="I620" i="1" s="1"/>
  <c r="H621" i="1"/>
  <c r="I621" i="1" s="1"/>
  <c r="H622" i="1"/>
  <c r="I622" i="1" s="1"/>
  <c r="H623" i="1"/>
  <c r="I623" i="1" s="1"/>
  <c r="H624" i="1"/>
  <c r="I624" i="1" s="1"/>
  <c r="M624" i="1" s="1"/>
  <c r="H625" i="1"/>
  <c r="I625" i="1" s="1"/>
  <c r="M625" i="1" s="1"/>
  <c r="H626" i="1"/>
  <c r="I626" i="1" s="1"/>
  <c r="M626" i="1" s="1"/>
  <c r="H449" i="1"/>
  <c r="I449" i="1" s="1"/>
  <c r="H627" i="1"/>
  <c r="I627" i="1" s="1"/>
  <c r="H146" i="1"/>
  <c r="I146" i="1" s="1"/>
  <c r="H147" i="1"/>
  <c r="I147" i="1" s="1"/>
  <c r="H628" i="1"/>
  <c r="I628" i="1" s="1"/>
  <c r="H148" i="1"/>
  <c r="I148" i="1" s="1"/>
  <c r="M148" i="1" s="1"/>
  <c r="H149" i="1"/>
  <c r="I149" i="1" s="1"/>
  <c r="M149" i="1" s="1"/>
  <c r="H281" i="1"/>
  <c r="I281" i="1" s="1"/>
  <c r="M281" i="1" s="1"/>
  <c r="H1116" i="1"/>
  <c r="I1116" i="1" s="1"/>
  <c r="H1117" i="1"/>
  <c r="I1117" i="1" s="1"/>
  <c r="H1118" i="1"/>
  <c r="I1118" i="1" s="1"/>
  <c r="M1118" i="1" s="1"/>
  <c r="H1119" i="1"/>
  <c r="I1119" i="1" s="1"/>
  <c r="H282" i="1"/>
  <c r="I282" i="1" s="1"/>
  <c r="H629" i="1"/>
  <c r="I629" i="1" s="1"/>
  <c r="M629" i="1" s="1"/>
  <c r="H450" i="1"/>
  <c r="I450" i="1" s="1"/>
  <c r="M450" i="1" s="1"/>
  <c r="H43" i="1"/>
  <c r="I43" i="1" s="1"/>
  <c r="M43" i="1" s="1"/>
  <c r="H630" i="1"/>
  <c r="I630" i="1" s="1"/>
  <c r="H150" i="1"/>
  <c r="I150" i="1" s="1"/>
  <c r="H151" i="1"/>
  <c r="I151" i="1" s="1"/>
  <c r="H152" i="1"/>
  <c r="I152" i="1" s="1"/>
  <c r="H283" i="1"/>
  <c r="I283" i="1" s="1"/>
  <c r="H284" i="1"/>
  <c r="I284" i="1" s="1"/>
  <c r="M284" i="1" s="1"/>
  <c r="H631" i="1"/>
  <c r="I631" i="1" s="1"/>
  <c r="M631" i="1" s="1"/>
  <c r="H632" i="1"/>
  <c r="I632" i="1" s="1"/>
  <c r="M632" i="1" s="1"/>
  <c r="H451" i="1"/>
  <c r="I451" i="1" s="1"/>
  <c r="H452" i="1"/>
  <c r="I452" i="1" s="1"/>
  <c r="H633" i="1"/>
  <c r="I633" i="1" s="1"/>
  <c r="M633" i="1" s="1"/>
  <c r="H634" i="1"/>
  <c r="I634" i="1" s="1"/>
  <c r="H635" i="1"/>
  <c r="I635" i="1" s="1"/>
  <c r="H453" i="1"/>
  <c r="I453" i="1" s="1"/>
  <c r="M453" i="1" s="1"/>
  <c r="H454" i="1"/>
  <c r="I454" i="1" s="1"/>
  <c r="M454" i="1" s="1"/>
  <c r="H636" i="1"/>
  <c r="I636" i="1" s="1"/>
  <c r="M636" i="1" s="1"/>
  <c r="H455" i="1"/>
  <c r="I455" i="1" s="1"/>
  <c r="H456" i="1"/>
  <c r="I456" i="1" s="1"/>
  <c r="H637" i="1"/>
  <c r="I637" i="1" s="1"/>
  <c r="H44" i="1"/>
  <c r="I44" i="1" s="1"/>
  <c r="H295" i="1"/>
  <c r="I295" i="1" s="1"/>
  <c r="M295" i="1" s="1"/>
  <c r="H296" i="1"/>
  <c r="I296" i="1" s="1"/>
  <c r="M296" i="1" s="1"/>
  <c r="H297" i="1"/>
  <c r="I297" i="1" s="1"/>
  <c r="M297" i="1" s="1"/>
  <c r="H298" i="1"/>
  <c r="I298" i="1" s="1"/>
  <c r="H299" i="1"/>
  <c r="I299" i="1" s="1"/>
  <c r="H650" i="1"/>
  <c r="I650" i="1" s="1"/>
  <c r="H156" i="1"/>
  <c r="I156" i="1" s="1"/>
  <c r="H651" i="1"/>
  <c r="I651" i="1" s="1"/>
  <c r="M651" i="1" s="1"/>
  <c r="H300" i="1"/>
  <c r="I300" i="1" s="1"/>
  <c r="M300" i="1" s="1"/>
  <c r="H301" i="1"/>
  <c r="I301" i="1" s="1"/>
  <c r="M301" i="1" s="1"/>
  <c r="H302" i="1"/>
  <c r="I302" i="1" s="1"/>
  <c r="M302" i="1" s="1"/>
  <c r="H652" i="1"/>
  <c r="I652" i="1" s="1"/>
  <c r="H303" i="1"/>
  <c r="I303" i="1" s="1"/>
  <c r="H653" i="1"/>
  <c r="I653" i="1" s="1"/>
  <c r="H50" i="1"/>
  <c r="I50" i="1" s="1"/>
  <c r="H466" i="1"/>
  <c r="I466" i="1" s="1"/>
  <c r="M466" i="1" s="1"/>
  <c r="H304" i="1"/>
  <c r="I304" i="1" s="1"/>
  <c r="M304" i="1" s="1"/>
  <c r="H654" i="1"/>
  <c r="I654" i="1" s="1"/>
  <c r="M654" i="1" s="1"/>
  <c r="H655" i="1"/>
  <c r="I655" i="1" s="1"/>
  <c r="M655" i="1" s="1"/>
  <c r="H656" i="1"/>
  <c r="I656" i="1" s="1"/>
  <c r="H305" i="1"/>
  <c r="I305" i="1" s="1"/>
  <c r="H306" i="1"/>
  <c r="I306" i="1" s="1"/>
  <c r="H467" i="1"/>
  <c r="I467" i="1" s="1"/>
  <c r="H157" i="1"/>
  <c r="I157" i="1" s="1"/>
  <c r="M157" i="1" s="1"/>
  <c r="H51" i="1"/>
  <c r="I51" i="1" s="1"/>
  <c r="M51" i="1" s="1"/>
  <c r="H307" i="1"/>
  <c r="I307" i="1" s="1"/>
  <c r="M307" i="1" s="1"/>
  <c r="H52" i="1"/>
  <c r="I52" i="1" s="1"/>
  <c r="M52" i="1" s="1"/>
  <c r="H53" i="1"/>
  <c r="I53" i="1" s="1"/>
  <c r="H308" i="1"/>
  <c r="I308" i="1" s="1"/>
  <c r="H309" i="1"/>
  <c r="I309" i="1" s="1"/>
  <c r="H158" i="1"/>
  <c r="I158" i="1" s="1"/>
  <c r="H657" i="1"/>
  <c r="I657" i="1" s="1"/>
  <c r="M657" i="1" s="1"/>
  <c r="H468" i="1"/>
  <c r="I468" i="1" s="1"/>
  <c r="M468" i="1" s="1"/>
  <c r="H54" i="1"/>
  <c r="I54" i="1" s="1"/>
  <c r="M54" i="1" s="1"/>
  <c r="H469" i="1"/>
  <c r="I469" i="1" s="1"/>
  <c r="H470" i="1"/>
  <c r="I470" i="1" s="1"/>
  <c r="H658" i="1"/>
  <c r="I658" i="1" s="1"/>
  <c r="H659" i="1"/>
  <c r="I659" i="1" s="1"/>
  <c r="H55" i="1"/>
  <c r="I55" i="1" s="1"/>
  <c r="H660" i="1"/>
  <c r="I660" i="1" s="1"/>
  <c r="M660" i="1" s="1"/>
  <c r="H310" i="1"/>
  <c r="I310" i="1" s="1"/>
  <c r="M310" i="1" s="1"/>
  <c r="H661" i="1"/>
  <c r="I661" i="1" s="1"/>
  <c r="M661" i="1" s="1"/>
  <c r="H311" i="1"/>
  <c r="I311" i="1" s="1"/>
  <c r="M311" i="1" s="1"/>
  <c r="H312" i="1"/>
  <c r="I312" i="1" s="1"/>
  <c r="H662" i="1"/>
  <c r="I662" i="1" s="1"/>
  <c r="H663" i="1"/>
  <c r="I663" i="1" s="1"/>
  <c r="H664" i="1"/>
  <c r="I664" i="1" s="1"/>
  <c r="H665" i="1"/>
  <c r="I665" i="1" s="1"/>
  <c r="M665" i="1" s="1"/>
  <c r="H666" i="1"/>
  <c r="I666" i="1" s="1"/>
  <c r="M666" i="1" s="1"/>
  <c r="H667" i="1"/>
  <c r="I667" i="1" s="1"/>
  <c r="M667" i="1" s="1"/>
  <c r="H56" i="1"/>
  <c r="I56" i="1" s="1"/>
  <c r="H57" i="1"/>
  <c r="I57" i="1" s="1"/>
  <c r="H471" i="1"/>
  <c r="I471" i="1" s="1"/>
  <c r="H668" i="1"/>
  <c r="I668" i="1" s="1"/>
  <c r="H669" i="1"/>
  <c r="I669" i="1" s="1"/>
  <c r="H670" i="1"/>
  <c r="I670" i="1" s="1"/>
  <c r="M670" i="1" s="1"/>
  <c r="H159" i="1"/>
  <c r="I159" i="1" s="1"/>
  <c r="M159" i="1" s="1"/>
  <c r="H313" i="1"/>
  <c r="I313" i="1" s="1"/>
  <c r="M313" i="1" s="1"/>
  <c r="H58" i="1"/>
  <c r="I58" i="1" s="1"/>
  <c r="M58" i="1" s="1"/>
  <c r="H671" i="1"/>
  <c r="I671" i="1" s="1"/>
  <c r="H672" i="1"/>
  <c r="I672" i="1" s="1"/>
  <c r="H673" i="1"/>
  <c r="I673" i="1" s="1"/>
  <c r="H674" i="1"/>
  <c r="I674" i="1" s="1"/>
  <c r="H675" i="1"/>
  <c r="I675" i="1" s="1"/>
  <c r="M675" i="1" s="1"/>
  <c r="H676" i="1"/>
  <c r="I676" i="1" s="1"/>
  <c r="M676" i="1" s="1"/>
  <c r="H677" i="1"/>
  <c r="I677" i="1" s="1"/>
  <c r="M677" i="1" s="1"/>
  <c r="H678" i="1"/>
  <c r="I678" i="1" s="1"/>
  <c r="M678" i="1" s="1"/>
  <c r="H679" i="1"/>
  <c r="I679" i="1" s="1"/>
  <c r="H314" i="1"/>
  <c r="I314" i="1" s="1"/>
  <c r="H1121" i="1"/>
  <c r="I1121" i="1" s="1"/>
  <c r="H315" i="1"/>
  <c r="I315" i="1" s="1"/>
  <c r="H1122" i="1"/>
  <c r="I1122" i="1" s="1"/>
  <c r="M1122" i="1" s="1"/>
  <c r="H1123" i="1"/>
  <c r="I1123" i="1" s="1"/>
  <c r="M1123" i="1" s="1"/>
  <c r="H1124" i="1"/>
  <c r="I1124" i="1" s="1"/>
  <c r="M1124" i="1" s="1"/>
  <c r="H163" i="1"/>
  <c r="I163" i="1" s="1"/>
  <c r="M163" i="1" s="1"/>
  <c r="H481" i="1"/>
  <c r="I481" i="1" s="1"/>
  <c r="H164" i="1"/>
  <c r="I164" i="1" s="1"/>
  <c r="H321" i="1"/>
  <c r="I321" i="1" s="1"/>
  <c r="H322" i="1"/>
  <c r="I322" i="1" s="1"/>
  <c r="M322" i="1" s="1"/>
  <c r="H323" i="1"/>
  <c r="I323" i="1" s="1"/>
  <c r="M323" i="1" s="1"/>
  <c r="H482" i="1"/>
  <c r="I482" i="1" s="1"/>
  <c r="M482" i="1" s="1"/>
  <c r="H483" i="1"/>
  <c r="I483" i="1" s="1"/>
  <c r="M483" i="1" s="1"/>
  <c r="H484" i="1"/>
  <c r="I484" i="1" s="1"/>
  <c r="M484" i="1" s="1"/>
  <c r="H485" i="1"/>
  <c r="I485" i="1" s="1"/>
  <c r="H324" i="1"/>
  <c r="I324" i="1" s="1"/>
  <c r="H325" i="1"/>
  <c r="I325" i="1" s="1"/>
  <c r="H165" i="1"/>
  <c r="I165" i="1" s="1"/>
  <c r="M165" i="1" s="1"/>
  <c r="H166" i="1"/>
  <c r="I166" i="1" s="1"/>
  <c r="M166" i="1" s="1"/>
  <c r="H8" i="1"/>
  <c r="I8" i="1" s="1"/>
  <c r="M8" i="1" s="1"/>
  <c r="H9" i="1"/>
  <c r="I9" i="1" s="1"/>
  <c r="M9" i="1" s="1"/>
  <c r="H10" i="1"/>
  <c r="I10" i="1" s="1"/>
  <c r="M10" i="1" s="1"/>
  <c r="H64" i="1"/>
  <c r="I64" i="1" s="1"/>
  <c r="H65" i="1"/>
  <c r="I65" i="1" s="1"/>
  <c r="H66" i="1"/>
  <c r="I66" i="1" s="1"/>
  <c r="H486" i="1"/>
  <c r="I486" i="1" s="1"/>
  <c r="M486" i="1" s="1"/>
  <c r="H487" i="1"/>
  <c r="I487" i="1" s="1"/>
  <c r="M487" i="1" s="1"/>
  <c r="H67" i="1"/>
  <c r="I67" i="1" s="1"/>
  <c r="M67" i="1" s="1"/>
  <c r="H488" i="1"/>
  <c r="I488" i="1" s="1"/>
  <c r="M488" i="1" s="1"/>
  <c r="H326" i="1"/>
  <c r="I326" i="1" s="1"/>
  <c r="M326" i="1" s="1"/>
  <c r="H683" i="1"/>
  <c r="I683" i="1" s="1"/>
  <c r="H334" i="1"/>
  <c r="I334" i="1" s="1"/>
  <c r="M334" i="1" s="1"/>
  <c r="H335" i="1"/>
  <c r="I335" i="1" s="1"/>
  <c r="M335" i="1" s="1"/>
  <c r="H171" i="1"/>
  <c r="I171" i="1" s="1"/>
  <c r="M171" i="1" s="1"/>
  <c r="H172" i="1"/>
  <c r="I172" i="1" s="1"/>
  <c r="H173" i="1"/>
  <c r="I173" i="1" s="1"/>
  <c r="H74" i="1"/>
  <c r="I74" i="1" s="1"/>
  <c r="M74" i="1" s="1"/>
  <c r="H75" i="1"/>
  <c r="I75" i="1" s="1"/>
  <c r="H336" i="1"/>
  <c r="I336" i="1" s="1"/>
  <c r="H495" i="1"/>
  <c r="I495" i="1" s="1"/>
  <c r="M495" i="1" s="1"/>
  <c r="H337" i="1"/>
  <c r="I337" i="1" s="1"/>
  <c r="M337" i="1" s="1"/>
  <c r="H338" i="1"/>
  <c r="I338" i="1" s="1"/>
  <c r="M338" i="1" s="1"/>
  <c r="H339" i="1"/>
  <c r="I339" i="1" s="1"/>
  <c r="H340" i="1"/>
  <c r="I340" i="1" s="1"/>
  <c r="H174" i="1"/>
  <c r="I174" i="1" s="1"/>
  <c r="H175" i="1"/>
  <c r="I175" i="1" s="1"/>
  <c r="M175" i="1" s="1"/>
  <c r="H685" i="1"/>
  <c r="I685" i="1" s="1"/>
  <c r="H176" i="1"/>
  <c r="I176" i="1" s="1"/>
  <c r="M176" i="1" s="1"/>
  <c r="H177" i="1"/>
  <c r="I177" i="1" s="1"/>
  <c r="M177" i="1" s="1"/>
  <c r="H341" i="1"/>
  <c r="I341" i="1" s="1"/>
  <c r="M341" i="1" s="1"/>
  <c r="H76" i="1"/>
  <c r="I76" i="1" s="1"/>
  <c r="H496" i="1"/>
  <c r="I496" i="1" s="1"/>
  <c r="M496" i="1" s="1"/>
  <c r="H497" i="1"/>
  <c r="I497" i="1" s="1"/>
  <c r="M497" i="1" s="1"/>
  <c r="H686" i="1"/>
  <c r="I686" i="1" s="1"/>
  <c r="H352" i="1"/>
  <c r="I352" i="1" s="1"/>
  <c r="M352" i="1" s="1"/>
  <c r="H512" i="1"/>
  <c r="I512" i="1" s="1"/>
  <c r="M512" i="1" s="1"/>
  <c r="H353" i="1"/>
  <c r="I353" i="1" s="1"/>
  <c r="H354" i="1"/>
  <c r="I354" i="1" s="1"/>
  <c r="H80" i="1"/>
  <c r="I80" i="1" s="1"/>
  <c r="M80" i="1" s="1"/>
  <c r="H688" i="1"/>
  <c r="I688" i="1" s="1"/>
  <c r="H513" i="1"/>
  <c r="I513" i="1" s="1"/>
  <c r="H514" i="1"/>
  <c r="I514" i="1" s="1"/>
  <c r="M514" i="1" s="1"/>
  <c r="H191" i="1"/>
  <c r="I191" i="1" s="1"/>
  <c r="M191" i="1" s="1"/>
  <c r="H14" i="1"/>
  <c r="I14" i="1" s="1"/>
  <c r="M14" i="1" s="1"/>
  <c r="H15" i="1"/>
  <c r="I15" i="1" s="1"/>
  <c r="H81" i="1"/>
  <c r="I81" i="1" s="1"/>
  <c r="H689" i="1"/>
  <c r="I689" i="1" s="1"/>
  <c r="M689" i="1" s="1"/>
  <c r="H355" i="1"/>
  <c r="I355" i="1" s="1"/>
  <c r="H690" i="1"/>
  <c r="I690" i="1" s="1"/>
  <c r="H691" i="1"/>
  <c r="I691" i="1" s="1"/>
  <c r="M691" i="1" s="1"/>
  <c r="H692" i="1"/>
  <c r="I692" i="1" s="1"/>
  <c r="M692" i="1" s="1"/>
  <c r="H693" i="1"/>
  <c r="I693" i="1" s="1"/>
  <c r="M693" i="1" s="1"/>
  <c r="H694" i="1"/>
  <c r="I694" i="1" s="1"/>
  <c r="H695" i="1"/>
  <c r="I695" i="1" s="1"/>
  <c r="H696" i="1"/>
  <c r="I696" i="1" s="1"/>
  <c r="M696" i="1" s="1"/>
  <c r="H697" i="1"/>
  <c r="I697" i="1" s="1"/>
  <c r="H698" i="1"/>
  <c r="I698" i="1" s="1"/>
  <c r="H699" i="1"/>
  <c r="I699" i="1" s="1"/>
  <c r="M699" i="1" s="1"/>
  <c r="H356" i="1"/>
  <c r="I356" i="1" s="1"/>
  <c r="M356" i="1" s="1"/>
  <c r="H357" i="1"/>
  <c r="I357" i="1" s="1"/>
  <c r="M357" i="1" s="1"/>
  <c r="H358" i="1"/>
  <c r="I358" i="1" s="1"/>
  <c r="H192" i="1"/>
  <c r="I192" i="1" s="1"/>
  <c r="H193" i="1"/>
  <c r="I193" i="1" s="1"/>
  <c r="M193" i="1" s="1"/>
  <c r="H194" i="1"/>
  <c r="I194" i="1" s="1"/>
  <c r="H1125" i="1"/>
  <c r="I1125" i="1" s="1"/>
  <c r="H700" i="1"/>
  <c r="I700" i="1" s="1"/>
  <c r="M700" i="1" s="1"/>
  <c r="H701" i="1"/>
  <c r="I701" i="1" s="1"/>
  <c r="M701" i="1" s="1"/>
  <c r="H16" i="1"/>
  <c r="I16" i="1" s="1"/>
  <c r="M16" i="1" s="1"/>
  <c r="H195" i="1"/>
  <c r="I195" i="1" s="1"/>
  <c r="H359" i="1"/>
  <c r="I359" i="1" s="1"/>
  <c r="H515" i="1"/>
  <c r="I515" i="1" s="1"/>
  <c r="M515" i="1" s="1"/>
  <c r="H516" i="1"/>
  <c r="I516" i="1" s="1"/>
  <c r="H702" i="1"/>
  <c r="I702" i="1" s="1"/>
  <c r="H703" i="1"/>
  <c r="I703" i="1" s="1"/>
  <c r="M703" i="1" s="1"/>
  <c r="H517" i="1"/>
  <c r="I517" i="1" s="1"/>
  <c r="M517" i="1" s="1"/>
  <c r="H704" i="1"/>
  <c r="I704" i="1" s="1"/>
  <c r="M704" i="1" s="1"/>
  <c r="H705" i="1"/>
  <c r="I705" i="1" s="1"/>
  <c r="H706" i="1"/>
  <c r="I706" i="1" s="1"/>
  <c r="H707" i="1"/>
  <c r="I707" i="1" s="1"/>
  <c r="M707" i="1" s="1"/>
  <c r="H708" i="1"/>
  <c r="I708" i="1" s="1"/>
  <c r="H709" i="1"/>
  <c r="I709" i="1" s="1"/>
  <c r="H710" i="1"/>
  <c r="I710" i="1" s="1"/>
  <c r="M710" i="1" s="1"/>
  <c r="H711" i="1"/>
  <c r="I711" i="1" s="1"/>
  <c r="M711" i="1" s="1"/>
  <c r="H712" i="1"/>
  <c r="I712" i="1" s="1"/>
  <c r="M712" i="1" s="1"/>
  <c r="H713" i="1"/>
  <c r="I713" i="1" s="1"/>
  <c r="H714" i="1"/>
  <c r="I714" i="1" s="1"/>
  <c r="H715" i="1"/>
  <c r="I715" i="1" s="1"/>
  <c r="M715" i="1" s="1"/>
  <c r="H716" i="1"/>
  <c r="I716" i="1" s="1"/>
  <c r="H717" i="1"/>
  <c r="I717" i="1" s="1"/>
  <c r="H82" i="1"/>
  <c r="I82" i="1" s="1"/>
  <c r="M82" i="1" s="1"/>
  <c r="H518" i="1"/>
  <c r="I518" i="1" s="1"/>
  <c r="M518" i="1" s="1"/>
  <c r="H519" i="1"/>
  <c r="I519" i="1" s="1"/>
  <c r="M519" i="1" s="1"/>
  <c r="H520" i="1"/>
  <c r="I520" i="1" s="1"/>
  <c r="H718" i="1"/>
  <c r="I718" i="1" s="1"/>
  <c r="H719" i="1"/>
  <c r="I719" i="1" s="1"/>
  <c r="M719" i="1" s="1"/>
  <c r="H720" i="1"/>
  <c r="I720" i="1" s="1"/>
  <c r="H721" i="1"/>
  <c r="I721" i="1" s="1"/>
  <c r="H521" i="1"/>
  <c r="I521" i="1" s="1"/>
  <c r="M521" i="1" s="1"/>
  <c r="H522" i="1"/>
  <c r="I522" i="1" s="1"/>
  <c r="M522" i="1" s="1"/>
  <c r="H523" i="1"/>
  <c r="I523" i="1" s="1"/>
  <c r="M523" i="1" s="1"/>
  <c r="H741" i="1"/>
  <c r="I741" i="1" s="1"/>
  <c r="H742" i="1"/>
  <c r="I742" i="1" s="1"/>
  <c r="M742" i="1" s="1"/>
  <c r="H743" i="1"/>
  <c r="I743" i="1" s="1"/>
  <c r="H744" i="1"/>
  <c r="I744" i="1" s="1"/>
  <c r="H200" i="1"/>
  <c r="I200" i="1" s="1"/>
  <c r="M200" i="1" s="1"/>
  <c r="H745" i="1"/>
  <c r="I745" i="1" s="1"/>
  <c r="M745" i="1" s="1"/>
  <c r="H746" i="1"/>
  <c r="I746" i="1" s="1"/>
  <c r="M746" i="1" s="1"/>
  <c r="H747" i="1"/>
  <c r="I747" i="1" s="1"/>
  <c r="H748" i="1"/>
  <c r="I748" i="1" s="1"/>
  <c r="H749" i="1"/>
  <c r="I749" i="1" s="1"/>
  <c r="M749" i="1" s="1"/>
  <c r="H750" i="1"/>
  <c r="I750" i="1" s="1"/>
  <c r="H751" i="1"/>
  <c r="I751" i="1" s="1"/>
  <c r="H752" i="1"/>
  <c r="I752" i="1" s="1"/>
  <c r="M752" i="1" s="1"/>
  <c r="H753" i="1"/>
  <c r="I753" i="1" s="1"/>
  <c r="M753" i="1" s="1"/>
  <c r="H754" i="1"/>
  <c r="I754" i="1" s="1"/>
  <c r="M754" i="1" s="1"/>
  <c r="H755" i="1"/>
  <c r="I755" i="1" s="1"/>
  <c r="H201" i="1"/>
  <c r="I201" i="1" s="1"/>
  <c r="H23" i="1"/>
  <c r="I23" i="1" s="1"/>
  <c r="M23" i="1" s="1"/>
  <c r="H24" i="1"/>
  <c r="I24" i="1" s="1"/>
  <c r="H601" i="1"/>
  <c r="I601" i="1" s="1"/>
  <c r="H602" i="1"/>
  <c r="I602" i="1" s="1"/>
  <c r="M602" i="1" s="1"/>
  <c r="H603" i="1"/>
  <c r="I603" i="1" s="1"/>
  <c r="M603" i="1" s="1"/>
  <c r="H604" i="1"/>
  <c r="I604" i="1" s="1"/>
  <c r="M604" i="1" s="1"/>
  <c r="H537" i="1"/>
  <c r="I537" i="1" s="1"/>
  <c r="H362" i="1"/>
  <c r="I362" i="1" s="1"/>
  <c r="H363" i="1"/>
  <c r="I363" i="1" s="1"/>
  <c r="M363" i="1" s="1"/>
  <c r="H202" i="1"/>
  <c r="I202" i="1" s="1"/>
  <c r="H364" i="1"/>
  <c r="I364" i="1" s="1"/>
  <c r="H84" i="1"/>
  <c r="I84" i="1" s="1"/>
  <c r="M84" i="1" s="1"/>
  <c r="H538" i="1"/>
  <c r="I538" i="1" s="1"/>
  <c r="M538" i="1" s="1"/>
  <c r="H365" i="1"/>
  <c r="I365" i="1" s="1"/>
  <c r="M365" i="1" s="1"/>
  <c r="H203" i="1"/>
  <c r="I203" i="1" s="1"/>
  <c r="H756" i="1"/>
  <c r="I756" i="1" s="1"/>
  <c r="H757" i="1"/>
  <c r="I757" i="1" s="1"/>
  <c r="H758" i="1"/>
  <c r="I758" i="1" s="1"/>
  <c r="H759" i="1"/>
  <c r="I759" i="1" s="1"/>
  <c r="H760" i="1"/>
  <c r="I760" i="1" s="1"/>
  <c r="M760" i="1" s="1"/>
  <c r="H761" i="1"/>
  <c r="I761" i="1" s="1"/>
  <c r="M761" i="1" s="1"/>
  <c r="H762" i="1"/>
  <c r="I762" i="1" s="1"/>
  <c r="M762" i="1" s="1"/>
  <c r="H763" i="1"/>
  <c r="I763" i="1" s="1"/>
  <c r="H764" i="1"/>
  <c r="I764" i="1" s="1"/>
  <c r="H765" i="1"/>
  <c r="I765" i="1" s="1"/>
  <c r="M765" i="1" s="1"/>
  <c r="H766" i="1"/>
  <c r="I766" i="1" s="1"/>
  <c r="H767" i="1"/>
  <c r="I767" i="1" s="1"/>
  <c r="H539" i="1"/>
  <c r="I539" i="1" s="1"/>
  <c r="M539" i="1" s="1"/>
  <c r="H366" i="1"/>
  <c r="I366" i="1" s="1"/>
  <c r="M366" i="1" s="1"/>
  <c r="H768" i="1"/>
  <c r="I768" i="1" s="1"/>
  <c r="M768" i="1" s="1"/>
  <c r="H769" i="1"/>
  <c r="I769" i="1" s="1"/>
  <c r="H770" i="1"/>
  <c r="I770" i="1" s="1"/>
  <c r="H771" i="1"/>
  <c r="I771" i="1" s="1"/>
  <c r="M771" i="1" s="1"/>
  <c r="H772" i="1"/>
  <c r="I772" i="1" s="1"/>
  <c r="H773" i="1"/>
  <c r="I773" i="1" s="1"/>
  <c r="H540" i="1"/>
  <c r="I540" i="1" s="1"/>
  <c r="M540" i="1" s="1"/>
  <c r="H541" i="1"/>
  <c r="I541" i="1" s="1"/>
  <c r="M541" i="1" s="1"/>
  <c r="H774" i="1"/>
  <c r="I774" i="1" s="1"/>
  <c r="M774" i="1" s="1"/>
  <c r="H775" i="1"/>
  <c r="I775" i="1" s="1"/>
  <c r="H776" i="1"/>
  <c r="I776" i="1" s="1"/>
  <c r="H777" i="1"/>
  <c r="I777" i="1" s="1"/>
  <c r="M777" i="1" s="1"/>
  <c r="H778" i="1"/>
  <c r="I778" i="1" s="1"/>
  <c r="H779" i="1"/>
  <c r="I779" i="1" s="1"/>
  <c r="H367" i="1"/>
  <c r="I367" i="1" s="1"/>
  <c r="M367" i="1" s="1"/>
  <c r="H368" i="1"/>
  <c r="I368" i="1" s="1"/>
  <c r="M368" i="1" s="1"/>
  <c r="H780" i="1"/>
  <c r="I780" i="1" s="1"/>
  <c r="M780" i="1" s="1"/>
  <c r="H781" i="1"/>
  <c r="I781" i="1" s="1"/>
  <c r="H782" i="1"/>
  <c r="I782" i="1" s="1"/>
  <c r="H783" i="1"/>
  <c r="I783" i="1" s="1"/>
  <c r="M783" i="1" s="1"/>
  <c r="H784" i="1"/>
  <c r="I784" i="1" s="1"/>
  <c r="H369" i="1"/>
  <c r="I369" i="1" s="1"/>
  <c r="H785" i="1"/>
  <c r="I785" i="1" s="1"/>
  <c r="M785" i="1" s="1"/>
  <c r="H786" i="1"/>
  <c r="I786" i="1" s="1"/>
  <c r="M786" i="1" s="1"/>
  <c r="H787" i="1"/>
  <c r="I787" i="1" s="1"/>
  <c r="M787" i="1" s="1"/>
  <c r="H543" i="1"/>
  <c r="I543" i="1" s="1"/>
  <c r="H826" i="1"/>
  <c r="I826" i="1" s="1"/>
  <c r="H827" i="1"/>
  <c r="I827" i="1" s="1"/>
  <c r="M827" i="1" s="1"/>
  <c r="H828" i="1"/>
  <c r="I828" i="1" s="1"/>
  <c r="M828" i="1" s="1"/>
  <c r="H1128" i="1"/>
  <c r="I1128" i="1" s="1"/>
  <c r="M1128" i="1" s="1"/>
  <c r="H829" i="1"/>
  <c r="I829" i="1" s="1"/>
  <c r="M829" i="1" s="1"/>
  <c r="H830" i="1"/>
  <c r="I830" i="1" s="1"/>
  <c r="M830" i="1" s="1"/>
  <c r="H831" i="1"/>
  <c r="I831" i="1" s="1"/>
  <c r="H832" i="1"/>
  <c r="I832" i="1" s="1"/>
  <c r="H833" i="1"/>
  <c r="I833" i="1" s="1"/>
  <c r="H1129" i="1"/>
  <c r="I1129" i="1" s="1"/>
  <c r="M1129" i="1" s="1"/>
  <c r="H834" i="1"/>
  <c r="I834" i="1" s="1"/>
  <c r="M834" i="1" s="1"/>
  <c r="H835" i="1"/>
  <c r="I835" i="1" s="1"/>
  <c r="M835" i="1" s="1"/>
  <c r="H836" i="1"/>
  <c r="I836" i="1" s="1"/>
  <c r="M836" i="1" s="1"/>
  <c r="H837" i="1"/>
  <c r="I837" i="1" s="1"/>
  <c r="M837" i="1" s="1"/>
  <c r="H838" i="1"/>
  <c r="I838" i="1" s="1"/>
  <c r="M838" i="1" s="1"/>
  <c r="H839" i="1"/>
  <c r="I839" i="1" s="1"/>
  <c r="H840" i="1"/>
  <c r="I840" i="1" s="1"/>
  <c r="H841" i="1"/>
  <c r="I841" i="1" s="1"/>
  <c r="M841" i="1" s="1"/>
  <c r="H1130" i="1"/>
  <c r="I1130" i="1" s="1"/>
  <c r="M1130" i="1" s="1"/>
  <c r="H1131" i="1"/>
  <c r="I1131" i="1" s="1"/>
  <c r="M1131" i="1" s="1"/>
  <c r="H842" i="1"/>
  <c r="I842" i="1" s="1"/>
  <c r="M842" i="1" s="1"/>
  <c r="H843" i="1"/>
  <c r="I843" i="1" s="1"/>
  <c r="M843" i="1" s="1"/>
  <c r="H844" i="1"/>
  <c r="I844" i="1" s="1"/>
  <c r="M844" i="1" s="1"/>
  <c r="H845" i="1"/>
  <c r="I845" i="1" s="1"/>
  <c r="H846" i="1"/>
  <c r="I846" i="1" s="1"/>
  <c r="H847" i="1"/>
  <c r="I847" i="1" s="1"/>
  <c r="M847" i="1" s="1"/>
  <c r="H848" i="1"/>
  <c r="I848" i="1" s="1"/>
  <c r="M848" i="1" s="1"/>
  <c r="H2" i="1"/>
  <c r="I2" i="1" s="1"/>
  <c r="M2" i="1" s="1"/>
  <c r="H849" i="1"/>
  <c r="I849" i="1" s="1"/>
  <c r="M849" i="1" s="1"/>
  <c r="H850" i="1"/>
  <c r="I850" i="1" s="1"/>
  <c r="M850" i="1" s="1"/>
  <c r="H851" i="1"/>
  <c r="I851" i="1" s="1"/>
  <c r="M851" i="1" s="1"/>
  <c r="H852" i="1"/>
  <c r="I852" i="1" s="1"/>
  <c r="H853" i="1"/>
  <c r="I853" i="1" s="1"/>
  <c r="H854" i="1"/>
  <c r="I854" i="1" s="1"/>
  <c r="M854" i="1" s="1"/>
  <c r="H855" i="1"/>
  <c r="I855" i="1" s="1"/>
  <c r="M855" i="1" s="1"/>
  <c r="H856" i="1"/>
  <c r="I856" i="1" s="1"/>
  <c r="M856" i="1" s="1"/>
  <c r="H857" i="1"/>
  <c r="I857" i="1" s="1"/>
  <c r="M857" i="1" s="1"/>
  <c r="H858" i="1"/>
  <c r="I858" i="1" s="1"/>
  <c r="M858" i="1" s="1"/>
  <c r="H859" i="1"/>
  <c r="I859" i="1" s="1"/>
  <c r="H860" i="1"/>
  <c r="I860" i="1" s="1"/>
  <c r="H861" i="1"/>
  <c r="I861" i="1" s="1"/>
  <c r="H862" i="1"/>
  <c r="I862" i="1" s="1"/>
  <c r="M862" i="1" s="1"/>
  <c r="H863" i="1"/>
  <c r="I863" i="1" s="1"/>
  <c r="M863" i="1" s="1"/>
  <c r="H864" i="1"/>
  <c r="I864" i="1" s="1"/>
  <c r="M864" i="1" s="1"/>
  <c r="H865" i="1"/>
  <c r="I865" i="1" s="1"/>
  <c r="M865" i="1" s="1"/>
  <c r="H866" i="1"/>
  <c r="I866" i="1" s="1"/>
  <c r="M866" i="1" s="1"/>
  <c r="H867" i="1"/>
  <c r="I867" i="1" s="1"/>
  <c r="M867" i="1" s="1"/>
  <c r="H868" i="1"/>
  <c r="I868" i="1" s="1"/>
  <c r="H869" i="1"/>
  <c r="I869" i="1" s="1"/>
  <c r="H870" i="1"/>
  <c r="I870" i="1" s="1"/>
  <c r="M870" i="1" s="1"/>
  <c r="H871" i="1"/>
  <c r="I871" i="1" s="1"/>
  <c r="M871" i="1" s="1"/>
  <c r="H872" i="1"/>
  <c r="I872" i="1" s="1"/>
  <c r="M872" i="1" s="1"/>
  <c r="H873" i="1"/>
  <c r="I873" i="1" s="1"/>
  <c r="M873" i="1" s="1"/>
  <c r="H874" i="1"/>
  <c r="I874" i="1" s="1"/>
  <c r="M874" i="1" s="1"/>
  <c r="H875" i="1"/>
  <c r="I875" i="1" s="1"/>
  <c r="M875" i="1" s="1"/>
  <c r="H876" i="1"/>
  <c r="I876" i="1" s="1"/>
  <c r="H877" i="1"/>
  <c r="I877" i="1" s="1"/>
  <c r="H878" i="1"/>
  <c r="I878" i="1" s="1"/>
  <c r="M878" i="1" s="1"/>
  <c r="H879" i="1"/>
  <c r="I879" i="1" s="1"/>
  <c r="M879" i="1" s="1"/>
  <c r="H880" i="1"/>
  <c r="I880" i="1" s="1"/>
  <c r="M880" i="1" s="1"/>
  <c r="H881" i="1"/>
  <c r="I881" i="1" s="1"/>
  <c r="M881" i="1" s="1"/>
  <c r="H882" i="1"/>
  <c r="I882" i="1" s="1"/>
  <c r="M882" i="1" s="1"/>
  <c r="H883" i="1"/>
  <c r="I883" i="1" s="1"/>
  <c r="H884" i="1"/>
  <c r="I884" i="1" s="1"/>
  <c r="H885" i="1"/>
  <c r="I885" i="1" s="1"/>
  <c r="H886" i="1"/>
  <c r="I886" i="1" s="1"/>
  <c r="M886" i="1" s="1"/>
  <c r="H887" i="1"/>
  <c r="I887" i="1" s="1"/>
  <c r="M887" i="1" s="1"/>
  <c r="H888" i="1"/>
  <c r="I888" i="1" s="1"/>
  <c r="M888" i="1" s="1"/>
  <c r="H889" i="1"/>
  <c r="I889" i="1" s="1"/>
  <c r="M889" i="1" s="1"/>
  <c r="H890" i="1"/>
  <c r="I890" i="1" s="1"/>
  <c r="M890" i="1" s="1"/>
  <c r="H891" i="1"/>
  <c r="I891" i="1" s="1"/>
  <c r="M891" i="1" s="1"/>
  <c r="H892" i="1"/>
  <c r="I892" i="1" s="1"/>
  <c r="H893" i="1"/>
  <c r="I893" i="1" s="1"/>
  <c r="H894" i="1"/>
  <c r="I894" i="1" s="1"/>
  <c r="M894" i="1" s="1"/>
  <c r="H895" i="1"/>
  <c r="I895" i="1" s="1"/>
  <c r="M895" i="1" s="1"/>
  <c r="H896" i="1"/>
  <c r="I896" i="1" s="1"/>
  <c r="M896" i="1" s="1"/>
  <c r="H897" i="1"/>
  <c r="I897" i="1" s="1"/>
  <c r="M897" i="1" s="1"/>
  <c r="H898" i="1"/>
  <c r="I898" i="1" s="1"/>
  <c r="M898" i="1" s="1"/>
  <c r="H899" i="1"/>
  <c r="I899" i="1" s="1"/>
  <c r="H1132" i="1"/>
  <c r="I1132" i="1" s="1"/>
  <c r="H900" i="1"/>
  <c r="I900" i="1" s="1"/>
  <c r="H901" i="1"/>
  <c r="I901" i="1" s="1"/>
  <c r="M901" i="1" s="1"/>
  <c r="H902" i="1"/>
  <c r="I902" i="1" s="1"/>
  <c r="M902" i="1" s="1"/>
  <c r="H903" i="1"/>
  <c r="I903" i="1" s="1"/>
  <c r="M903" i="1" s="1"/>
  <c r="H904" i="1"/>
  <c r="I904" i="1" s="1"/>
  <c r="M904" i="1" s="1"/>
  <c r="H905" i="1"/>
  <c r="I905" i="1" s="1"/>
  <c r="M905" i="1" s="1"/>
  <c r="H906" i="1"/>
  <c r="I906" i="1" s="1"/>
  <c r="M906" i="1" s="1"/>
  <c r="H907" i="1"/>
  <c r="I907" i="1" s="1"/>
  <c r="H908" i="1"/>
  <c r="I908" i="1" s="1"/>
  <c r="H921" i="1"/>
  <c r="I921" i="1" s="1"/>
  <c r="H922" i="1"/>
  <c r="I922" i="1" s="1"/>
  <c r="H923" i="1"/>
  <c r="I923" i="1" s="1"/>
  <c r="H924" i="1"/>
  <c r="I924" i="1" s="1"/>
  <c r="M924" i="1" s="1"/>
  <c r="H925" i="1"/>
  <c r="I925" i="1" s="1"/>
  <c r="M925" i="1" s="1"/>
  <c r="H926" i="1"/>
  <c r="I926" i="1" s="1"/>
  <c r="H927" i="1"/>
  <c r="I927" i="1" s="1"/>
  <c r="H928" i="1"/>
  <c r="I928" i="1" s="1"/>
  <c r="M928" i="1" s="1"/>
  <c r="H929" i="1"/>
  <c r="I929" i="1" s="1"/>
  <c r="H930" i="1"/>
  <c r="I930" i="1" s="1"/>
  <c r="H931" i="1"/>
  <c r="I931" i="1" s="1"/>
  <c r="M931" i="1" s="1"/>
  <c r="H932" i="1"/>
  <c r="I932" i="1" s="1"/>
  <c r="M932" i="1" s="1"/>
  <c r="H933" i="1"/>
  <c r="I933" i="1" s="1"/>
  <c r="M933" i="1" s="1"/>
  <c r="H934" i="1"/>
  <c r="I934" i="1" s="1"/>
  <c r="H935" i="1"/>
  <c r="I935" i="1" s="1"/>
  <c r="H936" i="1"/>
  <c r="I936" i="1" s="1"/>
  <c r="M936" i="1" s="1"/>
  <c r="H937" i="1"/>
  <c r="I937" i="1" s="1"/>
  <c r="H938" i="1"/>
  <c r="I938" i="1" s="1"/>
  <c r="H939" i="1"/>
  <c r="I939" i="1" s="1"/>
  <c r="M939" i="1" s="1"/>
  <c r="H940" i="1"/>
  <c r="I940" i="1" s="1"/>
  <c r="M940" i="1" s="1"/>
  <c r="H941" i="1"/>
  <c r="I941" i="1" s="1"/>
  <c r="M941" i="1" s="1"/>
  <c r="H942" i="1"/>
  <c r="I942" i="1" s="1"/>
  <c r="H964" i="1"/>
  <c r="I964" i="1" s="1"/>
  <c r="H965" i="1"/>
  <c r="I965" i="1" s="1"/>
  <c r="H966" i="1"/>
  <c r="I966" i="1" s="1"/>
  <c r="H967" i="1"/>
  <c r="I967" i="1" s="1"/>
  <c r="M967" i="1" s="1"/>
  <c r="H968" i="1"/>
  <c r="I968" i="1" s="1"/>
  <c r="M968" i="1" s="1"/>
  <c r="H969" i="1"/>
  <c r="I969" i="1" s="1"/>
  <c r="M969" i="1" s="1"/>
  <c r="H970" i="1"/>
  <c r="I970" i="1" s="1"/>
  <c r="H545" i="1"/>
  <c r="I545" i="1" s="1"/>
  <c r="H971" i="1"/>
  <c r="I971" i="1" s="1"/>
  <c r="H972" i="1"/>
  <c r="I972" i="1" s="1"/>
  <c r="M972" i="1" s="1"/>
  <c r="H546" i="1"/>
  <c r="I546" i="1" s="1"/>
  <c r="H973" i="1"/>
  <c r="I973" i="1" s="1"/>
  <c r="M973" i="1" s="1"/>
  <c r="H974" i="1"/>
  <c r="I974" i="1" s="1"/>
  <c r="M974" i="1" s="1"/>
  <c r="H547" i="1"/>
  <c r="I547" i="1" s="1"/>
  <c r="M547" i="1" s="1"/>
  <c r="H975" i="1"/>
  <c r="I975" i="1" s="1"/>
  <c r="H371" i="1"/>
  <c r="I371" i="1" s="1"/>
  <c r="H976" i="1"/>
  <c r="I976" i="1" s="1"/>
  <c r="M976" i="1" s="1"/>
  <c r="H977" i="1"/>
  <c r="I977" i="1" s="1"/>
  <c r="M977" i="1" s="1"/>
  <c r="H978" i="1"/>
  <c r="I978" i="1" s="1"/>
  <c r="H979" i="1"/>
  <c r="I979" i="1" s="1"/>
  <c r="M979" i="1" s="1"/>
  <c r="H980" i="1"/>
  <c r="I980" i="1" s="1"/>
  <c r="M980" i="1" s="1"/>
  <c r="H981" i="1"/>
  <c r="I981" i="1" s="1"/>
  <c r="M981" i="1" s="1"/>
  <c r="H982" i="1"/>
  <c r="I982" i="1" s="1"/>
  <c r="H1134" i="1"/>
  <c r="I1134" i="1" s="1"/>
  <c r="H983" i="1"/>
  <c r="I983" i="1" s="1"/>
  <c r="H984" i="1"/>
  <c r="I984" i="1" s="1"/>
  <c r="H985" i="1"/>
  <c r="I985" i="1" s="1"/>
  <c r="H986" i="1"/>
  <c r="I986" i="1" s="1"/>
  <c r="M986" i="1" s="1"/>
  <c r="H987" i="1"/>
  <c r="I987" i="1" s="1"/>
  <c r="M987" i="1" s="1"/>
  <c r="H988" i="1"/>
  <c r="I988" i="1" s="1"/>
  <c r="M988" i="1" s="1"/>
  <c r="H989" i="1"/>
  <c r="I989" i="1" s="1"/>
  <c r="H990" i="1"/>
  <c r="I990" i="1" s="1"/>
  <c r="H991" i="1"/>
  <c r="I991" i="1" s="1"/>
  <c r="H992" i="1"/>
  <c r="I992" i="1" s="1"/>
  <c r="H993" i="1"/>
  <c r="I993" i="1" s="1"/>
  <c r="H994" i="1"/>
  <c r="I994" i="1" s="1"/>
  <c r="M994" i="1" s="1"/>
  <c r="H995" i="1"/>
  <c r="I995" i="1" s="1"/>
  <c r="M995" i="1" s="1"/>
  <c r="H996" i="1"/>
  <c r="I996" i="1" s="1"/>
  <c r="M996" i="1" s="1"/>
  <c r="H997" i="1"/>
  <c r="I997" i="1" s="1"/>
  <c r="H998" i="1"/>
  <c r="I998" i="1" s="1"/>
  <c r="H999" i="1"/>
  <c r="I999" i="1" s="1"/>
  <c r="H1000" i="1"/>
  <c r="I1000" i="1" s="1"/>
  <c r="H1001" i="1"/>
  <c r="I1001" i="1" s="1"/>
  <c r="H372" i="1"/>
  <c r="I372" i="1" s="1"/>
  <c r="M372" i="1" s="1"/>
  <c r="H88" i="1"/>
  <c r="I88" i="1" s="1"/>
  <c r="M88" i="1" s="1"/>
  <c r="H1002" i="1"/>
  <c r="I1002" i="1" s="1"/>
  <c r="M1002" i="1" s="1"/>
  <c r="H1003" i="1"/>
  <c r="I1003" i="1" s="1"/>
  <c r="H1004" i="1"/>
  <c r="I1004" i="1" s="1"/>
  <c r="H1005" i="1"/>
  <c r="I1005" i="1" s="1"/>
  <c r="H1006" i="1"/>
  <c r="I1006" i="1" s="1"/>
  <c r="M1006" i="1" s="1"/>
  <c r="H1007" i="1"/>
  <c r="I1007" i="1" s="1"/>
  <c r="H373" i="1"/>
  <c r="I373" i="1" s="1"/>
  <c r="M373" i="1" s="1"/>
  <c r="H1008" i="1"/>
  <c r="I1008" i="1" s="1"/>
  <c r="M1008" i="1" s="1"/>
  <c r="H204" i="1"/>
  <c r="I204" i="1" s="1"/>
  <c r="M204" i="1" s="1"/>
  <c r="H548" i="1"/>
  <c r="I548" i="1" s="1"/>
  <c r="H1009" i="1"/>
  <c r="I1009" i="1" s="1"/>
  <c r="H549" i="1"/>
  <c r="I549" i="1" s="1"/>
  <c r="H1010" i="1"/>
  <c r="I1010" i="1" s="1"/>
  <c r="H1011" i="1"/>
  <c r="I1011" i="1" s="1"/>
  <c r="H1012" i="1"/>
  <c r="I1012" i="1" s="1"/>
  <c r="M1012" i="1" s="1"/>
  <c r="H1013" i="1"/>
  <c r="I1013" i="1" s="1"/>
  <c r="M1013" i="1" s="1"/>
  <c r="H550" i="1"/>
  <c r="I550" i="1" s="1"/>
  <c r="M550" i="1" s="1"/>
  <c r="H551" i="1"/>
  <c r="I551" i="1" s="1"/>
  <c r="H552" i="1"/>
  <c r="I552" i="1" s="1"/>
  <c r="H553" i="1"/>
  <c r="I553" i="1" s="1"/>
  <c r="H554" i="1"/>
  <c r="I554" i="1" s="1"/>
  <c r="H555" i="1"/>
  <c r="I555" i="1" s="1"/>
  <c r="H1014" i="1"/>
  <c r="I1014" i="1" s="1"/>
  <c r="M1014" i="1" s="1"/>
  <c r="H1015" i="1"/>
  <c r="I1015" i="1" s="1"/>
  <c r="M1015" i="1" s="1"/>
  <c r="H1016" i="1"/>
  <c r="I1016" i="1" s="1"/>
  <c r="M1016" i="1" s="1"/>
  <c r="H1017" i="1"/>
  <c r="I1017" i="1" s="1"/>
  <c r="H1018" i="1"/>
  <c r="I1018" i="1" s="1"/>
  <c r="H1019" i="1"/>
  <c r="I1019" i="1" s="1"/>
  <c r="H1020" i="1"/>
  <c r="I1020" i="1" s="1"/>
  <c r="H1021" i="1"/>
  <c r="I1021" i="1" s="1"/>
  <c r="H1022" i="1"/>
  <c r="I1022" i="1" s="1"/>
  <c r="M1022" i="1" s="1"/>
  <c r="H1023" i="1"/>
  <c r="I1023" i="1" s="1"/>
  <c r="M1023" i="1" s="1"/>
  <c r="H1024" i="1"/>
  <c r="I1024" i="1" s="1"/>
  <c r="M1024" i="1" s="1"/>
  <c r="H1025" i="1"/>
  <c r="I1025" i="1" s="1"/>
  <c r="H1026" i="1"/>
  <c r="I1026" i="1" s="1"/>
  <c r="H205" i="1"/>
  <c r="I205" i="1" s="1"/>
  <c r="H1070" i="1"/>
  <c r="I1070" i="1" s="1"/>
  <c r="M1070" i="1" s="1"/>
  <c r="H1071" i="1"/>
  <c r="I1071" i="1" s="1"/>
  <c r="H1072" i="1"/>
  <c r="I1072" i="1" s="1"/>
  <c r="H1073" i="1"/>
  <c r="I1073" i="1" s="1"/>
  <c r="M1073" i="1" s="1"/>
  <c r="H562" i="1"/>
  <c r="I562" i="1" s="1"/>
  <c r="M562" i="1" s="1"/>
  <c r="H1074" i="1"/>
  <c r="I1074" i="1" s="1"/>
  <c r="M1074" i="1" s="1"/>
  <c r="H1075" i="1"/>
  <c r="I1075" i="1" s="1"/>
  <c r="H1076" i="1"/>
  <c r="I1076" i="1" s="1"/>
  <c r="H1077" i="1"/>
  <c r="I1077" i="1" s="1"/>
  <c r="H1078" i="1"/>
  <c r="I1078" i="1" s="1"/>
  <c r="H94" i="1"/>
  <c r="I94" i="1" s="1"/>
  <c r="H95" i="1"/>
  <c r="I95" i="1" s="1"/>
  <c r="M95" i="1" s="1"/>
  <c r="H1079" i="1"/>
  <c r="I1079" i="1" s="1"/>
  <c r="M1079" i="1" s="1"/>
  <c r="H207" i="1"/>
  <c r="I207" i="1" s="1"/>
  <c r="M207" i="1" s="1"/>
  <c r="H1080" i="1"/>
  <c r="I1080" i="1" s="1"/>
  <c r="H1138" i="1"/>
  <c r="I1138" i="1" s="1"/>
  <c r="H1139" i="1"/>
  <c r="I1139" i="1" s="1"/>
  <c r="H1140" i="1"/>
  <c r="I1140" i="1" s="1"/>
  <c r="H376" i="1"/>
  <c r="I376" i="1" s="1"/>
  <c r="H96" i="1"/>
  <c r="I96" i="1" s="1"/>
  <c r="M96" i="1" s="1"/>
  <c r="H377" i="1"/>
  <c r="I377" i="1" s="1"/>
  <c r="M377" i="1" s="1"/>
  <c r="H378" i="1"/>
  <c r="I378" i="1" s="1"/>
  <c r="M378" i="1" s="1"/>
  <c r="H563" i="1"/>
  <c r="I563" i="1" s="1"/>
  <c r="H564" i="1"/>
  <c r="I564" i="1" s="1"/>
  <c r="M564" i="1" s="1"/>
  <c r="H565" i="1"/>
  <c r="I565" i="1" s="1"/>
  <c r="H1081" i="1"/>
  <c r="I1081" i="1" s="1"/>
  <c r="H1082" i="1"/>
  <c r="I1082" i="1" s="1"/>
  <c r="H208" i="1"/>
  <c r="I208" i="1" s="1"/>
  <c r="M208" i="1" s="1"/>
  <c r="H97" i="1"/>
  <c r="I97" i="1" s="1"/>
  <c r="M97" i="1" s="1"/>
  <c r="H20" i="1"/>
  <c r="I20" i="1" s="1"/>
  <c r="M20" i="1" s="1"/>
  <c r="H98" i="1"/>
  <c r="I98" i="1" s="1"/>
  <c r="H566" i="1"/>
  <c r="I566" i="1" s="1"/>
  <c r="H209" i="1"/>
  <c r="I209" i="1" s="1"/>
  <c r="H379" i="1"/>
  <c r="I379" i="1" s="1"/>
  <c r="H380" i="1"/>
  <c r="I380" i="1" s="1"/>
  <c r="H210" i="1"/>
  <c r="I210" i="1" s="1"/>
  <c r="M210" i="1" s="1"/>
  <c r="H381" i="1"/>
  <c r="I381" i="1" s="1"/>
  <c r="M381" i="1" s="1"/>
  <c r="H211" i="1"/>
  <c r="I211" i="1" s="1"/>
  <c r="M211" i="1" s="1"/>
  <c r="H567" i="1"/>
  <c r="I567" i="1" s="1"/>
  <c r="H568" i="1"/>
  <c r="I568" i="1" s="1"/>
  <c r="H99" i="1"/>
  <c r="I99" i="1" s="1"/>
  <c r="H382" i="1"/>
  <c r="I382" i="1" s="1"/>
  <c r="H100" i="1"/>
  <c r="I100" i="1" s="1"/>
  <c r="H383" i="1"/>
  <c r="I383" i="1" s="1"/>
  <c r="M383" i="1" s="1"/>
  <c r="H1083" i="1"/>
  <c r="I1083" i="1" s="1"/>
  <c r="M1083" i="1" s="1"/>
  <c r="H1084" i="1"/>
  <c r="I1084" i="1" s="1"/>
  <c r="M1084" i="1" s="1"/>
  <c r="H1085" i="1"/>
  <c r="I1085" i="1" s="1"/>
  <c r="H569" i="1"/>
  <c r="I569" i="1" s="1"/>
  <c r="H570" i="1"/>
  <c r="I570" i="1" s="1"/>
  <c r="H1086" i="1"/>
  <c r="I1086" i="1" s="1"/>
  <c r="H571" i="1"/>
  <c r="I571" i="1" s="1"/>
  <c r="H572" i="1"/>
  <c r="I572" i="1" s="1"/>
  <c r="M572" i="1" s="1"/>
  <c r="H21" i="1"/>
  <c r="I21" i="1" s="1"/>
  <c r="M21" i="1" s="1"/>
  <c r="H212" i="1"/>
  <c r="I212" i="1" s="1"/>
  <c r="M212" i="1" s="1"/>
  <c r="H384" i="1"/>
  <c r="I384" i="1" s="1"/>
  <c r="H1087" i="1"/>
  <c r="I1087" i="1" s="1"/>
  <c r="M1087" i="1" s="1"/>
  <c r="H101" i="1"/>
  <c r="I101" i="1" s="1"/>
  <c r="H1141" i="1"/>
  <c r="I1141" i="1" s="1"/>
  <c r="H1088" i="1"/>
  <c r="I1088" i="1" s="1"/>
  <c r="H223" i="1"/>
  <c r="I223" i="1" s="1"/>
  <c r="H395" i="1"/>
  <c r="I395" i="1" s="1"/>
  <c r="M395" i="1" s="1"/>
  <c r="H1091" i="1"/>
  <c r="I1091" i="1" s="1"/>
  <c r="M1091" i="1" s="1"/>
  <c r="H1092" i="1"/>
  <c r="I1092" i="1" s="1"/>
  <c r="M1092" i="1" s="1"/>
  <c r="H396" i="1"/>
  <c r="I396" i="1" s="1"/>
  <c r="H112" i="1"/>
  <c r="I112" i="1" s="1"/>
  <c r="H579" i="1"/>
  <c r="I579" i="1" s="1"/>
  <c r="H3" i="1"/>
  <c r="I3" i="1" s="1"/>
  <c r="H1143" i="1"/>
  <c r="I1143" i="1" s="1"/>
  <c r="H224" i="1"/>
  <c r="I224" i="1" s="1"/>
  <c r="M224" i="1" s="1"/>
  <c r="H225" i="1"/>
  <c r="I225" i="1" s="1"/>
  <c r="M225" i="1" s="1"/>
  <c r="H1093" i="1"/>
  <c r="I1093" i="1" s="1"/>
  <c r="M1093" i="1" s="1"/>
  <c r="H226" i="1"/>
  <c r="I226" i="1" s="1"/>
  <c r="H1144" i="1"/>
  <c r="I1144" i="1" s="1"/>
  <c r="H227" i="1"/>
  <c r="I227" i="1" s="1"/>
  <c r="H1094" i="1"/>
  <c r="I1094" i="1" s="1"/>
  <c r="H1095" i="1"/>
  <c r="I1095" i="1" s="1"/>
  <c r="H1096" i="1"/>
  <c r="I1096" i="1" s="1"/>
  <c r="M1096" i="1" s="1"/>
  <c r="H1097" i="1"/>
  <c r="I1097" i="1" s="1"/>
  <c r="M1097" i="1" s="1"/>
  <c r="H113" i="1"/>
  <c r="I113" i="1" s="1"/>
  <c r="M113" i="1" s="1"/>
  <c r="H114" i="1"/>
  <c r="I114" i="1" s="1"/>
  <c r="H1098" i="1"/>
  <c r="I1098" i="1" s="1"/>
  <c r="H580" i="1"/>
  <c r="I580" i="1" s="1"/>
  <c r="H1099" i="1"/>
  <c r="I1099" i="1" s="1"/>
  <c r="H228" i="1"/>
  <c r="I228" i="1" s="1"/>
  <c r="H581" i="1"/>
  <c r="I581" i="1" s="1"/>
  <c r="M581" i="1" s="1"/>
  <c r="H229" i="1"/>
  <c r="I229" i="1" s="1"/>
  <c r="M229" i="1" s="1"/>
  <c r="H1145" i="1"/>
  <c r="I1145" i="1" s="1"/>
  <c r="M1145" i="1" s="1"/>
  <c r="H230" i="1"/>
  <c r="I230" i="1" s="1"/>
  <c r="H231" i="1"/>
  <c r="I231" i="1" s="1"/>
  <c r="H115" i="1"/>
  <c r="I115" i="1" s="1"/>
  <c r="H582" i="1"/>
  <c r="I582" i="1" s="1"/>
  <c r="H232" i="1"/>
  <c r="I232" i="1" s="1"/>
  <c r="H397" i="1"/>
  <c r="I397" i="1" s="1"/>
  <c r="M397" i="1" s="1"/>
  <c r="H583" i="1"/>
  <c r="I583" i="1" s="1"/>
  <c r="M583" i="1" s="1"/>
  <c r="H233" i="1"/>
  <c r="I233" i="1" s="1"/>
  <c r="M233" i="1" s="1"/>
  <c r="H234" i="1"/>
  <c r="I234" i="1" s="1"/>
  <c r="H584" i="1"/>
  <c r="I584" i="1" s="1"/>
  <c r="H116" i="1"/>
  <c r="I116" i="1" s="1"/>
  <c r="H585" i="1"/>
  <c r="I585" i="1" s="1"/>
  <c r="H586" i="1"/>
  <c r="I586" i="1" s="1"/>
  <c r="H587" i="1"/>
  <c r="I587" i="1" s="1"/>
  <c r="M587" i="1" s="1"/>
  <c r="H117" i="1"/>
  <c r="I117" i="1" s="1"/>
  <c r="M117" i="1" s="1"/>
  <c r="H588" i="1"/>
  <c r="I588" i="1" s="1"/>
  <c r="M588" i="1" s="1"/>
  <c r="H589" i="1"/>
  <c r="I589" i="1" s="1"/>
  <c r="H235" i="1"/>
  <c r="I235" i="1" s="1"/>
  <c r="H1146" i="1"/>
  <c r="I1146" i="1" s="1"/>
  <c r="H590" i="1"/>
  <c r="I590" i="1" s="1"/>
  <c r="H398" i="1"/>
  <c r="I398" i="1" s="1"/>
  <c r="H118" i="1"/>
  <c r="I118" i="1" s="1"/>
  <c r="M118" i="1" s="1"/>
  <c r="H591" i="1"/>
  <c r="I591" i="1" s="1"/>
  <c r="M591" i="1" s="1"/>
  <c r="H592" i="1"/>
  <c r="I592" i="1" s="1"/>
  <c r="M592" i="1" s="1"/>
  <c r="H593" i="1"/>
  <c r="I593" i="1" s="1"/>
  <c r="H236" i="1"/>
  <c r="I236" i="1" s="1"/>
  <c r="H399" i="1"/>
  <c r="I399" i="1" s="1"/>
  <c r="H400" i="1"/>
  <c r="I400" i="1" s="1"/>
  <c r="H401" i="1"/>
  <c r="I401" i="1" s="1"/>
  <c r="H402" i="1"/>
  <c r="I402" i="1" s="1"/>
  <c r="M402" i="1" s="1"/>
  <c r="H237" i="1"/>
  <c r="I237" i="1" s="1"/>
  <c r="M237" i="1" s="1"/>
  <c r="H238" i="1"/>
  <c r="I238" i="1" s="1"/>
  <c r="M238" i="1" s="1"/>
  <c r="H239" i="1"/>
  <c r="I239" i="1" s="1"/>
  <c r="H403" i="1"/>
  <c r="I403" i="1" s="1"/>
  <c r="H240" i="1"/>
  <c r="I240" i="1" s="1"/>
  <c r="H241" i="1"/>
  <c r="I241" i="1" s="1"/>
  <c r="H404" i="1"/>
  <c r="I404" i="1" s="1"/>
  <c r="H405" i="1"/>
  <c r="I405" i="1" s="1"/>
  <c r="M405" i="1" s="1"/>
  <c r="H406" i="1"/>
  <c r="I406" i="1" s="1"/>
  <c r="M406" i="1" s="1"/>
  <c r="H119" i="1"/>
  <c r="I119" i="1" s="1"/>
  <c r="M119" i="1" s="1"/>
  <c r="H120" i="1"/>
  <c r="I120" i="1" s="1"/>
  <c r="H121" i="1"/>
  <c r="I121" i="1" s="1"/>
  <c r="H594" i="1"/>
  <c r="I594" i="1" s="1"/>
  <c r="H1147" i="1"/>
  <c r="I1147" i="1" s="1"/>
  <c r="H407" i="1"/>
  <c r="I407" i="1" s="1"/>
  <c r="H408" i="1"/>
  <c r="I408" i="1" s="1"/>
  <c r="M408" i="1" s="1"/>
  <c r="H122" i="1"/>
  <c r="I122" i="1" s="1"/>
  <c r="M122" i="1" s="1"/>
  <c r="H595" i="1"/>
  <c r="I595" i="1" s="1"/>
  <c r="M595" i="1" s="1"/>
  <c r="H123" i="1"/>
  <c r="I123" i="1" s="1"/>
  <c r="H409" i="1"/>
  <c r="I409" i="1" s="1"/>
  <c r="H242" i="1"/>
  <c r="I242" i="1" s="1"/>
  <c r="H243" i="1"/>
  <c r="I243" i="1" s="1"/>
  <c r="H410" i="1"/>
  <c r="I410" i="1" s="1"/>
  <c r="H244" i="1"/>
  <c r="I244" i="1" s="1"/>
  <c r="M244" i="1" s="1"/>
  <c r="H245" i="1"/>
  <c r="I245" i="1" s="1"/>
  <c r="M245" i="1" s="1"/>
  <c r="H246" i="1"/>
  <c r="I246" i="1" s="1"/>
  <c r="M246" i="1" s="1"/>
  <c r="H247" i="1"/>
  <c r="I247" i="1" s="1"/>
  <c r="H411" i="1"/>
  <c r="I411" i="1" s="1"/>
  <c r="H412" i="1"/>
  <c r="I412" i="1" s="1"/>
  <c r="H248" i="1"/>
  <c r="I248" i="1" s="1"/>
  <c r="H249" i="1"/>
  <c r="I249" i="1" s="1"/>
  <c r="H4" i="1"/>
  <c r="I4" i="1" s="1"/>
  <c r="M4" i="1" s="1"/>
  <c r="H22" i="1"/>
  <c r="I22" i="1" s="1"/>
  <c r="M22" i="1" s="1"/>
  <c r="H250" i="1"/>
  <c r="I250" i="1" s="1"/>
  <c r="M250" i="1" s="1"/>
  <c r="H413" i="1"/>
  <c r="I413" i="1" s="1"/>
  <c r="H124" i="1"/>
  <c r="I124" i="1" s="1"/>
  <c r="H596" i="1"/>
  <c r="I596" i="1" s="1"/>
  <c r="H1100" i="1"/>
  <c r="I1100" i="1" s="1"/>
  <c r="H597" i="1"/>
  <c r="I597" i="1" s="1"/>
  <c r="H251" i="1"/>
  <c r="I251" i="1" s="1"/>
  <c r="M251" i="1" s="1"/>
  <c r="H252" i="1"/>
  <c r="I252" i="1" s="1"/>
  <c r="M252" i="1" s="1"/>
  <c r="H253" i="1"/>
  <c r="I253" i="1" s="1"/>
  <c r="M253" i="1" s="1"/>
  <c r="H598" i="1"/>
  <c r="I598" i="1" s="1"/>
  <c r="H125" i="1"/>
  <c r="I125" i="1" s="1"/>
  <c r="H599" i="1"/>
  <c r="I599" i="1" s="1"/>
  <c r="H1148" i="1"/>
  <c r="I1148" i="1" s="1"/>
  <c r="H600" i="1"/>
  <c r="I600" i="1" s="1"/>
  <c r="H1149" i="1"/>
  <c r="I1149" i="1" s="1"/>
  <c r="M1149" i="1" s="1"/>
  <c r="H1150" i="1"/>
  <c r="I1150" i="1" s="1"/>
  <c r="M1150" i="1" s="1"/>
  <c r="M469" i="1"/>
  <c r="M56" i="1"/>
  <c r="B963" i="1"/>
  <c r="C963" i="1" s="1"/>
  <c r="E963" i="1"/>
  <c r="F963" i="1" s="1"/>
  <c r="B953" i="1"/>
  <c r="C953" i="1" s="1"/>
  <c r="E953" i="1"/>
  <c r="F953" i="1" s="1"/>
  <c r="B951" i="1"/>
  <c r="C951" i="1" s="1"/>
  <c r="E951" i="1"/>
  <c r="F951" i="1" s="1"/>
  <c r="B950" i="1"/>
  <c r="C950" i="1" s="1"/>
  <c r="E950" i="1"/>
  <c r="F950" i="1" s="1"/>
  <c r="B948" i="1"/>
  <c r="C948" i="1" s="1"/>
  <c r="E948" i="1"/>
  <c r="F948" i="1" s="1"/>
  <c r="B917" i="1"/>
  <c r="C917" i="1" s="1"/>
  <c r="E917" i="1"/>
  <c r="F917" i="1" s="1"/>
  <c r="B943" i="1"/>
  <c r="C943" i="1" s="1"/>
  <c r="E943" i="1"/>
  <c r="F943" i="1" s="1"/>
  <c r="B740" i="1"/>
  <c r="C740" i="1" s="1"/>
  <c r="H740" i="1" s="1"/>
  <c r="I740" i="1" s="1"/>
  <c r="B528" i="1"/>
  <c r="C528" i="1" s="1"/>
  <c r="E528" i="1"/>
  <c r="F528" i="1" s="1"/>
  <c r="E1137" i="1"/>
  <c r="F1137" i="1" s="1"/>
  <c r="E638" i="1"/>
  <c r="F638" i="1" s="1"/>
  <c r="E153" i="1"/>
  <c r="F153" i="1" s="1"/>
  <c r="E286" i="1"/>
  <c r="F286" i="1" s="1"/>
  <c r="E45" i="1"/>
  <c r="F45" i="1" s="1"/>
  <c r="E458" i="1"/>
  <c r="F458" i="1" s="1"/>
  <c r="E459" i="1"/>
  <c r="F459" i="1" s="1"/>
  <c r="E46" i="1"/>
  <c r="F46" i="1" s="1"/>
  <c r="E460" i="1"/>
  <c r="F460" i="1" s="1"/>
  <c r="E461" i="1"/>
  <c r="F461" i="1" s="1"/>
  <c r="E47" i="1"/>
  <c r="F47" i="1" s="1"/>
  <c r="E287" i="1"/>
  <c r="F287" i="1" s="1"/>
  <c r="E154" i="1"/>
  <c r="F154" i="1" s="1"/>
  <c r="E462" i="1"/>
  <c r="F462" i="1" s="1"/>
  <c r="E1120" i="1"/>
  <c r="F1120" i="1" s="1"/>
  <c r="E288" i="1"/>
  <c r="F288" i="1" s="1"/>
  <c r="E289" i="1"/>
  <c r="F289" i="1" s="1"/>
  <c r="E639" i="1"/>
  <c r="F639" i="1" s="1"/>
  <c r="E640" i="1"/>
  <c r="F640" i="1" s="1"/>
  <c r="E290" i="1"/>
  <c r="F290" i="1" s="1"/>
  <c r="E291" i="1"/>
  <c r="F291" i="1" s="1"/>
  <c r="E292" i="1"/>
  <c r="F292" i="1" s="1"/>
  <c r="E155" i="1"/>
  <c r="F155" i="1" s="1"/>
  <c r="E48" i="1"/>
  <c r="F48" i="1" s="1"/>
  <c r="E49" i="1"/>
  <c r="F49" i="1" s="1"/>
  <c r="E463" i="1"/>
  <c r="F463" i="1" s="1"/>
  <c r="E6" i="1"/>
  <c r="F6" i="1" s="1"/>
  <c r="E7" i="1"/>
  <c r="F7" i="1" s="1"/>
  <c r="E293" i="1"/>
  <c r="F293" i="1" s="1"/>
  <c r="E641" i="1"/>
  <c r="F641" i="1" s="1"/>
  <c r="E464" i="1"/>
  <c r="F464" i="1" s="1"/>
  <c r="E465" i="1"/>
  <c r="F465" i="1" s="1"/>
  <c r="E642" i="1"/>
  <c r="F642" i="1" s="1"/>
  <c r="E643" i="1"/>
  <c r="F643" i="1" s="1"/>
  <c r="E294" i="1"/>
  <c r="F294" i="1" s="1"/>
  <c r="E644" i="1"/>
  <c r="F644" i="1" s="1"/>
  <c r="E645" i="1"/>
  <c r="F645" i="1" s="1"/>
  <c r="E646" i="1"/>
  <c r="F646" i="1" s="1"/>
  <c r="E647" i="1"/>
  <c r="F647" i="1" s="1"/>
  <c r="E648" i="1"/>
  <c r="F648" i="1" s="1"/>
  <c r="E649" i="1"/>
  <c r="F649" i="1" s="1"/>
  <c r="E472" i="1"/>
  <c r="F472" i="1" s="1"/>
  <c r="E59" i="1"/>
  <c r="F59" i="1" s="1"/>
  <c r="E473" i="1"/>
  <c r="F473" i="1" s="1"/>
  <c r="E680" i="1"/>
  <c r="F680" i="1" s="1"/>
  <c r="E681" i="1"/>
  <c r="F681" i="1" s="1"/>
  <c r="E682" i="1"/>
  <c r="F682" i="1" s="1"/>
  <c r="E60" i="1"/>
  <c r="F60" i="1" s="1"/>
  <c r="E61" i="1"/>
  <c r="F61" i="1" s="1"/>
  <c r="E62" i="1"/>
  <c r="F62" i="1" s="1"/>
  <c r="E474" i="1"/>
  <c r="F474" i="1" s="1"/>
  <c r="E475" i="1"/>
  <c r="F475" i="1" s="1"/>
  <c r="E316" i="1"/>
  <c r="F316" i="1" s="1"/>
  <c r="E317" i="1"/>
  <c r="F317" i="1" s="1"/>
  <c r="E318" i="1"/>
  <c r="F318" i="1" s="1"/>
  <c r="E160" i="1"/>
  <c r="F160" i="1" s="1"/>
  <c r="E476" i="1"/>
  <c r="F476" i="1" s="1"/>
  <c r="E319" i="1"/>
  <c r="F319" i="1" s="1"/>
  <c r="E161" i="1"/>
  <c r="F161" i="1" s="1"/>
  <c r="E477" i="1"/>
  <c r="F477" i="1" s="1"/>
  <c r="E478" i="1"/>
  <c r="F478" i="1" s="1"/>
  <c r="E162" i="1"/>
  <c r="F162" i="1" s="1"/>
  <c r="E479" i="1"/>
  <c r="F479" i="1" s="1"/>
  <c r="E63" i="1"/>
  <c r="F63" i="1" s="1"/>
  <c r="E480" i="1"/>
  <c r="F480" i="1" s="1"/>
  <c r="E320" i="1"/>
  <c r="F320" i="1" s="1"/>
  <c r="E327" i="1"/>
  <c r="F327" i="1" s="1"/>
  <c r="E684" i="1"/>
  <c r="F684" i="1" s="1"/>
  <c r="E11" i="1"/>
  <c r="F11" i="1" s="1"/>
  <c r="E489" i="1"/>
  <c r="F489" i="1" s="1"/>
  <c r="E167" i="1"/>
  <c r="F167" i="1" s="1"/>
  <c r="E168" i="1"/>
  <c r="F168" i="1" s="1"/>
  <c r="E328" i="1"/>
  <c r="F328" i="1" s="1"/>
  <c r="E329" i="1"/>
  <c r="F329" i="1" s="1"/>
  <c r="E330" i="1"/>
  <c r="F330" i="1" s="1"/>
  <c r="E169" i="1"/>
  <c r="F169" i="1" s="1"/>
  <c r="E331" i="1"/>
  <c r="F331" i="1" s="1"/>
  <c r="E332" i="1"/>
  <c r="F332" i="1" s="1"/>
  <c r="E333" i="1"/>
  <c r="F333" i="1" s="1"/>
  <c r="E170" i="1"/>
  <c r="F170" i="1" s="1"/>
  <c r="E490" i="1"/>
  <c r="F490" i="1" s="1"/>
  <c r="E491" i="1"/>
  <c r="F491" i="1" s="1"/>
  <c r="E492" i="1"/>
  <c r="F492" i="1" s="1"/>
  <c r="E68" i="1"/>
  <c r="F68" i="1" s="1"/>
  <c r="E69" i="1"/>
  <c r="F69" i="1" s="1"/>
  <c r="E12" i="1"/>
  <c r="F12" i="1" s="1"/>
  <c r="E70" i="1"/>
  <c r="F70" i="1" s="1"/>
  <c r="E71" i="1"/>
  <c r="F71" i="1" s="1"/>
  <c r="E72" i="1"/>
  <c r="F72" i="1" s="1"/>
  <c r="E73" i="1"/>
  <c r="F73" i="1" s="1"/>
  <c r="E493" i="1"/>
  <c r="F493" i="1" s="1"/>
  <c r="E494" i="1"/>
  <c r="F494" i="1" s="1"/>
  <c r="E77" i="1"/>
  <c r="F77" i="1" s="1"/>
  <c r="E498" i="1"/>
  <c r="F498" i="1" s="1"/>
  <c r="E499" i="1"/>
  <c r="F499" i="1" s="1"/>
  <c r="E500" i="1"/>
  <c r="F500" i="1" s="1"/>
  <c r="E342" i="1"/>
  <c r="F342" i="1" s="1"/>
  <c r="E178" i="1"/>
  <c r="F178" i="1" s="1"/>
  <c r="E179" i="1"/>
  <c r="F179" i="1" s="1"/>
  <c r="E180" i="1"/>
  <c r="F180" i="1" s="1"/>
  <c r="E13" i="1"/>
  <c r="F13" i="1" s="1"/>
  <c r="E78" i="1"/>
  <c r="F78" i="1" s="1"/>
  <c r="E79" i="1"/>
  <c r="F79" i="1" s="1"/>
  <c r="E343" i="1"/>
  <c r="F343" i="1" s="1"/>
  <c r="E344" i="1"/>
  <c r="F344" i="1" s="1"/>
  <c r="E501" i="1"/>
  <c r="F501" i="1" s="1"/>
  <c r="E502" i="1"/>
  <c r="F502" i="1" s="1"/>
  <c r="E181" i="1"/>
  <c r="F181" i="1" s="1"/>
  <c r="E182" i="1"/>
  <c r="F182" i="1" s="1"/>
  <c r="E345" i="1"/>
  <c r="F345" i="1" s="1"/>
  <c r="E346" i="1"/>
  <c r="F346" i="1" s="1"/>
  <c r="E503" i="1"/>
  <c r="F503" i="1" s="1"/>
  <c r="E504" i="1"/>
  <c r="F504" i="1" s="1"/>
  <c r="E505" i="1"/>
  <c r="F505" i="1" s="1"/>
  <c r="E506" i="1"/>
  <c r="F506" i="1" s="1"/>
  <c r="E347" i="1"/>
  <c r="F347" i="1" s="1"/>
  <c r="E183" i="1"/>
  <c r="F183" i="1" s="1"/>
  <c r="E348" i="1"/>
  <c r="F348" i="1" s="1"/>
  <c r="E184" i="1"/>
  <c r="F184" i="1" s="1"/>
  <c r="E349" i="1"/>
  <c r="F349" i="1" s="1"/>
  <c r="E185" i="1"/>
  <c r="F185" i="1" s="1"/>
  <c r="E186" i="1"/>
  <c r="F186" i="1" s="1"/>
  <c r="E187" i="1"/>
  <c r="F187" i="1" s="1"/>
  <c r="E507" i="1"/>
  <c r="F507" i="1" s="1"/>
  <c r="E508" i="1"/>
  <c r="F508" i="1" s="1"/>
  <c r="E509" i="1"/>
  <c r="F509" i="1" s="1"/>
  <c r="E188" i="1"/>
  <c r="F188" i="1" s="1"/>
  <c r="E350" i="1"/>
  <c r="F350" i="1" s="1"/>
  <c r="E687" i="1"/>
  <c r="F687" i="1" s="1"/>
  <c r="E510" i="1"/>
  <c r="F510" i="1" s="1"/>
  <c r="E511" i="1"/>
  <c r="F511" i="1" s="1"/>
  <c r="E351" i="1"/>
  <c r="F351" i="1" s="1"/>
  <c r="E189" i="1"/>
  <c r="F189" i="1" s="1"/>
  <c r="E190" i="1"/>
  <c r="F190" i="1" s="1"/>
  <c r="E524" i="1"/>
  <c r="F524" i="1" s="1"/>
  <c r="E525" i="1"/>
  <c r="F525" i="1" s="1"/>
  <c r="E526" i="1"/>
  <c r="F526" i="1" s="1"/>
  <c r="E527" i="1"/>
  <c r="F527" i="1" s="1"/>
  <c r="E529" i="1"/>
  <c r="F529" i="1" s="1"/>
  <c r="E530" i="1"/>
  <c r="F530" i="1" s="1"/>
  <c r="E196" i="1"/>
  <c r="F196" i="1" s="1"/>
  <c r="E197" i="1"/>
  <c r="F197" i="1" s="1"/>
  <c r="E531" i="1"/>
  <c r="F531" i="1" s="1"/>
  <c r="E532" i="1"/>
  <c r="F532" i="1" s="1"/>
  <c r="E533" i="1"/>
  <c r="F533" i="1" s="1"/>
  <c r="E1126" i="1"/>
  <c r="F1126" i="1" s="1"/>
  <c r="E534" i="1"/>
  <c r="F534" i="1" s="1"/>
  <c r="E198" i="1"/>
  <c r="F198" i="1" s="1"/>
  <c r="E535" i="1"/>
  <c r="F535" i="1" s="1"/>
  <c r="E199" i="1"/>
  <c r="F199" i="1" s="1"/>
  <c r="E722" i="1"/>
  <c r="F722" i="1" s="1"/>
  <c r="E723" i="1"/>
  <c r="F723" i="1" s="1"/>
  <c r="E360" i="1"/>
  <c r="F360" i="1" s="1"/>
  <c r="E536" i="1"/>
  <c r="F536" i="1" s="1"/>
  <c r="E724" i="1"/>
  <c r="F724" i="1" s="1"/>
  <c r="E361" i="1"/>
  <c r="F361" i="1" s="1"/>
  <c r="E83" i="1"/>
  <c r="F83" i="1" s="1"/>
  <c r="E1127" i="1"/>
  <c r="F1127" i="1" s="1"/>
  <c r="E725" i="1"/>
  <c r="F725" i="1" s="1"/>
  <c r="E726" i="1"/>
  <c r="F726" i="1" s="1"/>
  <c r="E727" i="1"/>
  <c r="F727" i="1" s="1"/>
  <c r="E728" i="1"/>
  <c r="F728" i="1" s="1"/>
  <c r="E729" i="1"/>
  <c r="F729" i="1" s="1"/>
  <c r="E730" i="1"/>
  <c r="F730" i="1" s="1"/>
  <c r="E731" i="1"/>
  <c r="F731" i="1" s="1"/>
  <c r="E732" i="1"/>
  <c r="F732" i="1" s="1"/>
  <c r="E733" i="1"/>
  <c r="F733" i="1" s="1"/>
  <c r="E734" i="1"/>
  <c r="F734" i="1" s="1"/>
  <c r="E735" i="1"/>
  <c r="F735" i="1" s="1"/>
  <c r="E736" i="1"/>
  <c r="F736" i="1" s="1"/>
  <c r="E737" i="1"/>
  <c r="F737" i="1" s="1"/>
  <c r="E738" i="1"/>
  <c r="F738" i="1" s="1"/>
  <c r="E739" i="1"/>
  <c r="F739" i="1" s="1"/>
  <c r="E788" i="1"/>
  <c r="F788" i="1" s="1"/>
  <c r="E789" i="1"/>
  <c r="F789" i="1" s="1"/>
  <c r="E790" i="1"/>
  <c r="F790" i="1" s="1"/>
  <c r="E791" i="1"/>
  <c r="F791" i="1" s="1"/>
  <c r="E792" i="1"/>
  <c r="F792" i="1" s="1"/>
  <c r="E793" i="1"/>
  <c r="F793" i="1" s="1"/>
  <c r="E794" i="1"/>
  <c r="F794" i="1" s="1"/>
  <c r="E795" i="1"/>
  <c r="F795" i="1" s="1"/>
  <c r="E542" i="1"/>
  <c r="F542" i="1" s="1"/>
  <c r="E796" i="1"/>
  <c r="F796" i="1" s="1"/>
  <c r="E797" i="1"/>
  <c r="F797" i="1" s="1"/>
  <c r="E798" i="1"/>
  <c r="F798" i="1" s="1"/>
  <c r="E799" i="1"/>
  <c r="F799" i="1" s="1"/>
  <c r="E800" i="1"/>
  <c r="F800" i="1" s="1"/>
  <c r="E801" i="1"/>
  <c r="F801" i="1" s="1"/>
  <c r="E802" i="1"/>
  <c r="F802" i="1" s="1"/>
  <c r="E803" i="1"/>
  <c r="F803" i="1" s="1"/>
  <c r="E804" i="1"/>
  <c r="F804" i="1" s="1"/>
  <c r="E805" i="1"/>
  <c r="F805" i="1" s="1"/>
  <c r="E806" i="1"/>
  <c r="F806" i="1" s="1"/>
  <c r="E807" i="1"/>
  <c r="F807" i="1" s="1"/>
  <c r="E85" i="1"/>
  <c r="F85" i="1" s="1"/>
  <c r="E808" i="1"/>
  <c r="F808" i="1" s="1"/>
  <c r="E370" i="1"/>
  <c r="F370" i="1" s="1"/>
  <c r="E809" i="1"/>
  <c r="F809" i="1" s="1"/>
  <c r="E810" i="1"/>
  <c r="F810" i="1" s="1"/>
  <c r="E86" i="1"/>
  <c r="F86" i="1" s="1"/>
  <c r="E811" i="1"/>
  <c r="F811" i="1" s="1"/>
  <c r="E87" i="1"/>
  <c r="F87" i="1" s="1"/>
  <c r="E812" i="1"/>
  <c r="F812" i="1" s="1"/>
  <c r="E813" i="1"/>
  <c r="F813" i="1" s="1"/>
  <c r="E814" i="1"/>
  <c r="F814" i="1" s="1"/>
  <c r="E815" i="1"/>
  <c r="F815" i="1" s="1"/>
  <c r="E816" i="1"/>
  <c r="F816" i="1" s="1"/>
  <c r="E817" i="1"/>
  <c r="F817" i="1" s="1"/>
  <c r="E818" i="1"/>
  <c r="F818" i="1" s="1"/>
  <c r="E819" i="1"/>
  <c r="F819" i="1" s="1"/>
  <c r="E820" i="1"/>
  <c r="F820" i="1" s="1"/>
  <c r="E821" i="1"/>
  <c r="F821" i="1" s="1"/>
  <c r="E822" i="1"/>
  <c r="F822" i="1" s="1"/>
  <c r="E823" i="1"/>
  <c r="F823" i="1" s="1"/>
  <c r="E824" i="1"/>
  <c r="F824" i="1" s="1"/>
  <c r="E825" i="1"/>
  <c r="F825" i="1" s="1"/>
  <c r="E909" i="1"/>
  <c r="F909" i="1" s="1"/>
  <c r="E910" i="1"/>
  <c r="F910" i="1" s="1"/>
  <c r="E911" i="1"/>
  <c r="F911" i="1" s="1"/>
  <c r="E912" i="1"/>
  <c r="F912" i="1" s="1"/>
  <c r="E913" i="1"/>
  <c r="F913" i="1" s="1"/>
  <c r="E914" i="1"/>
  <c r="F914" i="1" s="1"/>
  <c r="E915" i="1"/>
  <c r="F915" i="1" s="1"/>
  <c r="E916" i="1"/>
  <c r="F916" i="1" s="1"/>
  <c r="E918" i="1"/>
  <c r="F918" i="1" s="1"/>
  <c r="E919" i="1"/>
  <c r="F919" i="1" s="1"/>
  <c r="E920" i="1"/>
  <c r="F920" i="1" s="1"/>
  <c r="E944" i="1"/>
  <c r="F944" i="1" s="1"/>
  <c r="E945" i="1"/>
  <c r="F945" i="1" s="1"/>
  <c r="E946" i="1"/>
  <c r="F946" i="1" s="1"/>
  <c r="E947" i="1"/>
  <c r="F947" i="1" s="1"/>
  <c r="E949" i="1"/>
  <c r="F949" i="1" s="1"/>
  <c r="E952" i="1"/>
  <c r="F952" i="1" s="1"/>
  <c r="E954" i="1"/>
  <c r="F954" i="1" s="1"/>
  <c r="E955" i="1"/>
  <c r="F955" i="1" s="1"/>
  <c r="E956" i="1"/>
  <c r="F956" i="1" s="1"/>
  <c r="E957" i="1"/>
  <c r="F957" i="1" s="1"/>
  <c r="E958" i="1"/>
  <c r="F958" i="1" s="1"/>
  <c r="E959" i="1"/>
  <c r="F959" i="1" s="1"/>
  <c r="E960" i="1"/>
  <c r="F960" i="1" s="1"/>
  <c r="E1133" i="1"/>
  <c r="F1133" i="1" s="1"/>
  <c r="E961" i="1"/>
  <c r="F961" i="1" s="1"/>
  <c r="E962" i="1"/>
  <c r="F962" i="1" s="1"/>
  <c r="E544" i="1"/>
  <c r="F544" i="1" s="1"/>
  <c r="E1027" i="1"/>
  <c r="F1027" i="1" s="1"/>
  <c r="E1028" i="1"/>
  <c r="F1028" i="1" s="1"/>
  <c r="E1029" i="1"/>
  <c r="F1029" i="1" s="1"/>
  <c r="E1030" i="1"/>
  <c r="F1030" i="1" s="1"/>
  <c r="E1031" i="1"/>
  <c r="F1031" i="1" s="1"/>
  <c r="E374" i="1"/>
  <c r="F374" i="1" s="1"/>
  <c r="E1032" i="1"/>
  <c r="F1032" i="1" s="1"/>
  <c r="E1033" i="1"/>
  <c r="F1033" i="1" s="1"/>
  <c r="E556" i="1"/>
  <c r="F556" i="1" s="1"/>
  <c r="E1034" i="1"/>
  <c r="F1034" i="1" s="1"/>
  <c r="E1035" i="1"/>
  <c r="F1035" i="1" s="1"/>
  <c r="E1036" i="1"/>
  <c r="F1036" i="1" s="1"/>
  <c r="E1037" i="1"/>
  <c r="F1037" i="1" s="1"/>
  <c r="E1038" i="1"/>
  <c r="F1038" i="1" s="1"/>
  <c r="E1039" i="1"/>
  <c r="F1039" i="1" s="1"/>
  <c r="E375" i="1"/>
  <c r="F375" i="1" s="1"/>
  <c r="E89" i="1"/>
  <c r="F89" i="1" s="1"/>
  <c r="E1135" i="1"/>
  <c r="F1135" i="1" s="1"/>
  <c r="E1040" i="1"/>
  <c r="F1040" i="1" s="1"/>
  <c r="E1041" i="1"/>
  <c r="F1041" i="1" s="1"/>
  <c r="E1042" i="1"/>
  <c r="F1042" i="1" s="1"/>
  <c r="E1043" i="1"/>
  <c r="F1043" i="1" s="1"/>
  <c r="E1044" i="1"/>
  <c r="F1044" i="1" s="1"/>
  <c r="E1045" i="1"/>
  <c r="F1045" i="1" s="1"/>
  <c r="E1046" i="1"/>
  <c r="F1046" i="1" s="1"/>
  <c r="E557" i="1"/>
  <c r="F557" i="1" s="1"/>
  <c r="E90" i="1"/>
  <c r="F90" i="1" s="1"/>
  <c r="E1047" i="1"/>
  <c r="F1047" i="1" s="1"/>
  <c r="E1048" i="1"/>
  <c r="F1048" i="1" s="1"/>
  <c r="E17" i="1"/>
  <c r="F17" i="1" s="1"/>
  <c r="E18" i="1"/>
  <c r="F18" i="1" s="1"/>
  <c r="E19" i="1"/>
  <c r="F19" i="1" s="1"/>
  <c r="E558" i="1"/>
  <c r="F558" i="1" s="1"/>
  <c r="E1049" i="1"/>
  <c r="F1049" i="1" s="1"/>
  <c r="E1050" i="1"/>
  <c r="F1050" i="1" s="1"/>
  <c r="E1051" i="1"/>
  <c r="F1051" i="1" s="1"/>
  <c r="E1052" i="1"/>
  <c r="F1052" i="1" s="1"/>
  <c r="E1053" i="1"/>
  <c r="F1053" i="1" s="1"/>
  <c r="E1054" i="1"/>
  <c r="F1054" i="1" s="1"/>
  <c r="E559" i="1"/>
  <c r="F559" i="1" s="1"/>
  <c r="E91" i="1"/>
  <c r="F91" i="1" s="1"/>
  <c r="E1055" i="1"/>
  <c r="F1055" i="1" s="1"/>
  <c r="E1056" i="1"/>
  <c r="F1056" i="1" s="1"/>
  <c r="E1136" i="1"/>
  <c r="F1136" i="1" s="1"/>
  <c r="E1057" i="1"/>
  <c r="F1057" i="1" s="1"/>
  <c r="E1058" i="1"/>
  <c r="F1058" i="1" s="1"/>
  <c r="E560" i="1"/>
  <c r="F560" i="1" s="1"/>
  <c r="E1059" i="1"/>
  <c r="F1059" i="1" s="1"/>
  <c r="E92" i="1"/>
  <c r="F92" i="1" s="1"/>
  <c r="E1060" i="1"/>
  <c r="F1060" i="1" s="1"/>
  <c r="E1061" i="1"/>
  <c r="F1061" i="1" s="1"/>
  <c r="E93" i="1"/>
  <c r="F93" i="1" s="1"/>
  <c r="E1062" i="1"/>
  <c r="F1062" i="1" s="1"/>
  <c r="E1063" i="1"/>
  <c r="F1063" i="1" s="1"/>
  <c r="E1064" i="1"/>
  <c r="F1064" i="1" s="1"/>
  <c r="E1065" i="1"/>
  <c r="F1065" i="1" s="1"/>
  <c r="E1066" i="1"/>
  <c r="F1066" i="1" s="1"/>
  <c r="E1067" i="1"/>
  <c r="F1067" i="1" s="1"/>
  <c r="E561" i="1"/>
  <c r="F561" i="1" s="1"/>
  <c r="E1068" i="1"/>
  <c r="F1068" i="1" s="1"/>
  <c r="E1069" i="1"/>
  <c r="F1069" i="1" s="1"/>
  <c r="E206" i="1"/>
  <c r="F206" i="1" s="1"/>
  <c r="E573" i="1"/>
  <c r="F573" i="1" s="1"/>
  <c r="E213" i="1"/>
  <c r="F213" i="1" s="1"/>
  <c r="E385" i="1"/>
  <c r="F385" i="1" s="1"/>
  <c r="E102" i="1"/>
  <c r="F102" i="1" s="1"/>
  <c r="E386" i="1"/>
  <c r="F386" i="1" s="1"/>
  <c r="E103" i="1"/>
  <c r="F103" i="1" s="1"/>
  <c r="E387" i="1"/>
  <c r="F387" i="1" s="1"/>
  <c r="E104" i="1"/>
  <c r="F104" i="1" s="1"/>
  <c r="E214" i="1"/>
  <c r="F214" i="1" s="1"/>
  <c r="E1089" i="1"/>
  <c r="F1089" i="1" s="1"/>
  <c r="E105" i="1"/>
  <c r="F105" i="1" s="1"/>
  <c r="E388" i="1"/>
  <c r="F388" i="1" s="1"/>
  <c r="E106" i="1"/>
  <c r="F106" i="1" s="1"/>
  <c r="E1090" i="1"/>
  <c r="F1090" i="1" s="1"/>
  <c r="E389" i="1"/>
  <c r="F389" i="1" s="1"/>
  <c r="E574" i="1"/>
  <c r="F574" i="1" s="1"/>
  <c r="E575" i="1"/>
  <c r="F575" i="1" s="1"/>
  <c r="E107" i="1"/>
  <c r="F107" i="1" s="1"/>
  <c r="E390" i="1"/>
  <c r="F390" i="1" s="1"/>
  <c r="E215" i="1"/>
  <c r="F215" i="1" s="1"/>
  <c r="E216" i="1"/>
  <c r="F216" i="1" s="1"/>
  <c r="E576" i="1"/>
  <c r="F576" i="1" s="1"/>
  <c r="E217" i="1"/>
  <c r="F217" i="1" s="1"/>
  <c r="E218" i="1"/>
  <c r="F218" i="1" s="1"/>
  <c r="E1142" i="1"/>
  <c r="F1142" i="1" s="1"/>
  <c r="E577" i="1"/>
  <c r="F577" i="1" s="1"/>
  <c r="E108" i="1"/>
  <c r="F108" i="1" s="1"/>
  <c r="E578" i="1"/>
  <c r="F578" i="1" s="1"/>
  <c r="E219" i="1"/>
  <c r="F219" i="1" s="1"/>
  <c r="E391" i="1"/>
  <c r="F391" i="1" s="1"/>
  <c r="E109" i="1"/>
  <c r="F109" i="1" s="1"/>
  <c r="E392" i="1"/>
  <c r="F392" i="1" s="1"/>
  <c r="E220" i="1"/>
  <c r="F220" i="1" s="1"/>
  <c r="E221" i="1"/>
  <c r="F221" i="1" s="1"/>
  <c r="E222" i="1"/>
  <c r="F222" i="1" s="1"/>
  <c r="E393" i="1"/>
  <c r="F393" i="1" s="1"/>
  <c r="E110" i="1"/>
  <c r="F110" i="1" s="1"/>
  <c r="E394" i="1"/>
  <c r="F394" i="1" s="1"/>
  <c r="E111" i="1"/>
  <c r="F111" i="1" s="1"/>
  <c r="E457" i="1"/>
  <c r="F457" i="1" s="1"/>
  <c r="E285" i="1"/>
  <c r="F285" i="1" s="1"/>
  <c r="E140" i="1"/>
  <c r="F140" i="1" s="1"/>
  <c r="E141" i="1"/>
  <c r="F141" i="1" s="1"/>
  <c r="E269" i="1"/>
  <c r="F269" i="1" s="1"/>
  <c r="E270" i="1"/>
  <c r="F270" i="1" s="1"/>
  <c r="E271" i="1"/>
  <c r="F271" i="1" s="1"/>
  <c r="E272" i="1"/>
  <c r="F272" i="1" s="1"/>
  <c r="E433" i="1"/>
  <c r="F433" i="1" s="1"/>
  <c r="E434" i="1"/>
  <c r="F434" i="1" s="1"/>
  <c r="E435" i="1"/>
  <c r="F435" i="1" s="1"/>
  <c r="E436" i="1"/>
  <c r="F436" i="1" s="1"/>
  <c r="E5" i="1"/>
  <c r="F5" i="1" s="1"/>
  <c r="E142" i="1"/>
  <c r="F142" i="1" s="1"/>
  <c r="E273" i="1"/>
  <c r="F273" i="1" s="1"/>
  <c r="E143" i="1"/>
  <c r="F143" i="1" s="1"/>
  <c r="E38" i="1"/>
  <c r="F38" i="1" s="1"/>
  <c r="E1104" i="1"/>
  <c r="F1104" i="1" s="1"/>
  <c r="E437" i="1"/>
  <c r="F437" i="1" s="1"/>
  <c r="E274" i="1"/>
  <c r="F274" i="1" s="1"/>
  <c r="E275" i="1"/>
  <c r="F275" i="1" s="1"/>
  <c r="E607" i="1"/>
  <c r="F607" i="1" s="1"/>
  <c r="E608" i="1"/>
  <c r="F608" i="1" s="1"/>
  <c r="E609" i="1"/>
  <c r="F609" i="1" s="1"/>
  <c r="E610" i="1"/>
  <c r="F610" i="1" s="1"/>
  <c r="E611" i="1"/>
  <c r="F611" i="1" s="1"/>
  <c r="E276" i="1"/>
  <c r="F276" i="1" s="1"/>
  <c r="E277" i="1"/>
  <c r="F277" i="1" s="1"/>
  <c r="E278" i="1"/>
  <c r="F278" i="1" s="1"/>
  <c r="E1105" i="1"/>
  <c r="F1105" i="1" s="1"/>
  <c r="E1106" i="1"/>
  <c r="F1106" i="1" s="1"/>
  <c r="E1107" i="1"/>
  <c r="F1107" i="1" s="1"/>
  <c r="E1108" i="1"/>
  <c r="F1108" i="1" s="1"/>
  <c r="E39" i="1"/>
  <c r="F39" i="1" s="1"/>
  <c r="E438" i="1"/>
  <c r="F438" i="1" s="1"/>
  <c r="E439" i="1"/>
  <c r="F439" i="1" s="1"/>
  <c r="E40" i="1"/>
  <c r="F40" i="1" s="1"/>
  <c r="E37" i="1"/>
  <c r="F37" i="1" s="1"/>
  <c r="E268" i="1"/>
  <c r="F268" i="1" s="1"/>
  <c r="E432" i="1"/>
  <c r="F432" i="1" s="1"/>
  <c r="E139" i="1"/>
  <c r="F139" i="1" s="1"/>
  <c r="E36" i="1"/>
  <c r="F36" i="1" s="1"/>
  <c r="B285" i="1"/>
  <c r="C285" i="1" s="1"/>
  <c r="B457" i="1"/>
  <c r="C457" i="1" s="1"/>
  <c r="B638" i="1"/>
  <c r="C638" i="1" s="1"/>
  <c r="B153" i="1"/>
  <c r="C153" i="1" s="1"/>
  <c r="B286" i="1"/>
  <c r="C286" i="1" s="1"/>
  <c r="B45" i="1"/>
  <c r="C45" i="1" s="1"/>
  <c r="B458" i="1"/>
  <c r="C458" i="1" s="1"/>
  <c r="B459" i="1"/>
  <c r="C459" i="1" s="1"/>
  <c r="B46" i="1"/>
  <c r="C46" i="1" s="1"/>
  <c r="B460" i="1"/>
  <c r="C460" i="1" s="1"/>
  <c r="B461" i="1"/>
  <c r="C461" i="1" s="1"/>
  <c r="B47" i="1"/>
  <c r="C47" i="1" s="1"/>
  <c r="B287" i="1"/>
  <c r="C287" i="1" s="1"/>
  <c r="B154" i="1"/>
  <c r="C154" i="1" s="1"/>
  <c r="B462" i="1"/>
  <c r="C462" i="1" s="1"/>
  <c r="B1120" i="1"/>
  <c r="C1120" i="1" s="1"/>
  <c r="B288" i="1"/>
  <c r="C288" i="1" s="1"/>
  <c r="B289" i="1"/>
  <c r="C289" i="1" s="1"/>
  <c r="B639" i="1"/>
  <c r="C639" i="1" s="1"/>
  <c r="B640" i="1"/>
  <c r="C640" i="1" s="1"/>
  <c r="B290" i="1"/>
  <c r="C290" i="1" s="1"/>
  <c r="B291" i="1"/>
  <c r="C291" i="1" s="1"/>
  <c r="B292" i="1"/>
  <c r="C292" i="1" s="1"/>
  <c r="B155" i="1"/>
  <c r="C155" i="1" s="1"/>
  <c r="B48" i="1"/>
  <c r="C48" i="1" s="1"/>
  <c r="B49" i="1"/>
  <c r="C49" i="1" s="1"/>
  <c r="B463" i="1"/>
  <c r="C463" i="1" s="1"/>
  <c r="B6" i="1"/>
  <c r="C6" i="1" s="1"/>
  <c r="B7" i="1"/>
  <c r="C7" i="1" s="1"/>
  <c r="B293" i="1"/>
  <c r="C293" i="1" s="1"/>
  <c r="B641" i="1"/>
  <c r="C641" i="1" s="1"/>
  <c r="B464" i="1"/>
  <c r="C464" i="1" s="1"/>
  <c r="B465" i="1"/>
  <c r="C465" i="1" s="1"/>
  <c r="B642" i="1"/>
  <c r="C642" i="1" s="1"/>
  <c r="B643" i="1"/>
  <c r="C643" i="1" s="1"/>
  <c r="B294" i="1"/>
  <c r="C294" i="1" s="1"/>
  <c r="B644" i="1"/>
  <c r="C644" i="1" s="1"/>
  <c r="B645" i="1"/>
  <c r="C645" i="1" s="1"/>
  <c r="B646" i="1"/>
  <c r="C646" i="1" s="1"/>
  <c r="B647" i="1"/>
  <c r="C647" i="1" s="1"/>
  <c r="B648" i="1"/>
  <c r="C648" i="1" s="1"/>
  <c r="B649" i="1"/>
  <c r="C649" i="1" s="1"/>
  <c r="B472" i="1"/>
  <c r="C472" i="1" s="1"/>
  <c r="B59" i="1"/>
  <c r="C59" i="1" s="1"/>
  <c r="B473" i="1"/>
  <c r="C473" i="1" s="1"/>
  <c r="B680" i="1"/>
  <c r="C680" i="1" s="1"/>
  <c r="B681" i="1"/>
  <c r="C681" i="1" s="1"/>
  <c r="B682" i="1"/>
  <c r="C682" i="1" s="1"/>
  <c r="B60" i="1"/>
  <c r="C60" i="1" s="1"/>
  <c r="B61" i="1"/>
  <c r="C61" i="1" s="1"/>
  <c r="B62" i="1"/>
  <c r="C62" i="1" s="1"/>
  <c r="B474" i="1"/>
  <c r="C474" i="1" s="1"/>
  <c r="B475" i="1"/>
  <c r="C475" i="1" s="1"/>
  <c r="B316" i="1"/>
  <c r="C316" i="1" s="1"/>
  <c r="B317" i="1"/>
  <c r="C317" i="1" s="1"/>
  <c r="B318" i="1"/>
  <c r="C318" i="1" s="1"/>
  <c r="B160" i="1"/>
  <c r="C160" i="1" s="1"/>
  <c r="B476" i="1"/>
  <c r="C476" i="1" s="1"/>
  <c r="B319" i="1"/>
  <c r="C319" i="1" s="1"/>
  <c r="B161" i="1"/>
  <c r="C161" i="1" s="1"/>
  <c r="B477" i="1"/>
  <c r="C477" i="1" s="1"/>
  <c r="B478" i="1"/>
  <c r="C478" i="1" s="1"/>
  <c r="B162" i="1"/>
  <c r="C162" i="1" s="1"/>
  <c r="B479" i="1"/>
  <c r="C479" i="1" s="1"/>
  <c r="B63" i="1"/>
  <c r="C63" i="1" s="1"/>
  <c r="B480" i="1"/>
  <c r="C480" i="1" s="1"/>
  <c r="B320" i="1"/>
  <c r="C320" i="1" s="1"/>
  <c r="B327" i="1"/>
  <c r="C327" i="1" s="1"/>
  <c r="B684" i="1"/>
  <c r="C684" i="1" s="1"/>
  <c r="B11" i="1"/>
  <c r="C11" i="1" s="1"/>
  <c r="B489" i="1"/>
  <c r="C489" i="1" s="1"/>
  <c r="B167" i="1"/>
  <c r="C167" i="1" s="1"/>
  <c r="B168" i="1"/>
  <c r="C168" i="1" s="1"/>
  <c r="B328" i="1"/>
  <c r="C328" i="1" s="1"/>
  <c r="B329" i="1"/>
  <c r="C329" i="1" s="1"/>
  <c r="B330" i="1"/>
  <c r="C330" i="1" s="1"/>
  <c r="B169" i="1"/>
  <c r="C169" i="1" s="1"/>
  <c r="B331" i="1"/>
  <c r="C331" i="1" s="1"/>
  <c r="B332" i="1"/>
  <c r="C332" i="1" s="1"/>
  <c r="B333" i="1"/>
  <c r="C333" i="1" s="1"/>
  <c r="B170" i="1"/>
  <c r="C170" i="1" s="1"/>
  <c r="B490" i="1"/>
  <c r="C490" i="1" s="1"/>
  <c r="B491" i="1"/>
  <c r="C491" i="1" s="1"/>
  <c r="B492" i="1"/>
  <c r="C492" i="1" s="1"/>
  <c r="B68" i="1"/>
  <c r="C68" i="1" s="1"/>
  <c r="B69" i="1"/>
  <c r="C69" i="1" s="1"/>
  <c r="B12" i="1"/>
  <c r="C12" i="1" s="1"/>
  <c r="B70" i="1"/>
  <c r="C70" i="1" s="1"/>
  <c r="B71" i="1"/>
  <c r="C71" i="1" s="1"/>
  <c r="B72" i="1"/>
  <c r="C72" i="1" s="1"/>
  <c r="B73" i="1"/>
  <c r="C73" i="1" s="1"/>
  <c r="B493" i="1"/>
  <c r="C493" i="1" s="1"/>
  <c r="B494" i="1"/>
  <c r="C494" i="1" s="1"/>
  <c r="B77" i="1"/>
  <c r="C77" i="1" s="1"/>
  <c r="B498" i="1"/>
  <c r="C498" i="1" s="1"/>
  <c r="B499" i="1"/>
  <c r="C499" i="1" s="1"/>
  <c r="B500" i="1"/>
  <c r="C500" i="1" s="1"/>
  <c r="B342" i="1"/>
  <c r="C342" i="1" s="1"/>
  <c r="B178" i="1"/>
  <c r="C178" i="1" s="1"/>
  <c r="B179" i="1"/>
  <c r="C179" i="1" s="1"/>
  <c r="B180" i="1"/>
  <c r="C180" i="1" s="1"/>
  <c r="B13" i="1"/>
  <c r="C13" i="1" s="1"/>
  <c r="B78" i="1"/>
  <c r="C78" i="1" s="1"/>
  <c r="B79" i="1"/>
  <c r="C79" i="1" s="1"/>
  <c r="B343" i="1"/>
  <c r="C343" i="1" s="1"/>
  <c r="B344" i="1"/>
  <c r="C344" i="1" s="1"/>
  <c r="B501" i="1"/>
  <c r="C501" i="1" s="1"/>
  <c r="B502" i="1"/>
  <c r="C502" i="1" s="1"/>
  <c r="B181" i="1"/>
  <c r="C181" i="1" s="1"/>
  <c r="B182" i="1"/>
  <c r="C182" i="1" s="1"/>
  <c r="B345" i="1"/>
  <c r="C345" i="1" s="1"/>
  <c r="B346" i="1"/>
  <c r="C346" i="1" s="1"/>
  <c r="B503" i="1"/>
  <c r="C503" i="1" s="1"/>
  <c r="B504" i="1"/>
  <c r="C504" i="1" s="1"/>
  <c r="B505" i="1"/>
  <c r="C505" i="1" s="1"/>
  <c r="B506" i="1"/>
  <c r="C506" i="1" s="1"/>
  <c r="B347" i="1"/>
  <c r="C347" i="1" s="1"/>
  <c r="B183" i="1"/>
  <c r="C183" i="1" s="1"/>
  <c r="B348" i="1"/>
  <c r="C348" i="1" s="1"/>
  <c r="B184" i="1"/>
  <c r="C184" i="1" s="1"/>
  <c r="B349" i="1"/>
  <c r="C349" i="1" s="1"/>
  <c r="B185" i="1"/>
  <c r="C185" i="1" s="1"/>
  <c r="B186" i="1"/>
  <c r="C186" i="1" s="1"/>
  <c r="B187" i="1"/>
  <c r="C187" i="1" s="1"/>
  <c r="B507" i="1"/>
  <c r="C507" i="1" s="1"/>
  <c r="B508" i="1"/>
  <c r="C508" i="1" s="1"/>
  <c r="B509" i="1"/>
  <c r="C509" i="1" s="1"/>
  <c r="B188" i="1"/>
  <c r="C188" i="1" s="1"/>
  <c r="B350" i="1"/>
  <c r="C350" i="1" s="1"/>
  <c r="B687" i="1"/>
  <c r="C687" i="1" s="1"/>
  <c r="B510" i="1"/>
  <c r="C510" i="1" s="1"/>
  <c r="B511" i="1"/>
  <c r="C511" i="1" s="1"/>
  <c r="B351" i="1"/>
  <c r="C351" i="1" s="1"/>
  <c r="B189" i="1"/>
  <c r="C189" i="1" s="1"/>
  <c r="B190" i="1"/>
  <c r="C190" i="1" s="1"/>
  <c r="B524" i="1"/>
  <c r="C524" i="1" s="1"/>
  <c r="B525" i="1"/>
  <c r="C525" i="1" s="1"/>
  <c r="B526" i="1"/>
  <c r="C526" i="1" s="1"/>
  <c r="B527" i="1"/>
  <c r="C527" i="1" s="1"/>
  <c r="B529" i="1"/>
  <c r="C529" i="1" s="1"/>
  <c r="B530" i="1"/>
  <c r="C530" i="1" s="1"/>
  <c r="B196" i="1"/>
  <c r="C196" i="1" s="1"/>
  <c r="B197" i="1"/>
  <c r="C197" i="1" s="1"/>
  <c r="B531" i="1"/>
  <c r="C531" i="1" s="1"/>
  <c r="B532" i="1"/>
  <c r="C532" i="1" s="1"/>
  <c r="B533" i="1"/>
  <c r="C533" i="1" s="1"/>
  <c r="B1126" i="1"/>
  <c r="C1126" i="1" s="1"/>
  <c r="B534" i="1"/>
  <c r="C534" i="1" s="1"/>
  <c r="B198" i="1"/>
  <c r="C198" i="1" s="1"/>
  <c r="B535" i="1"/>
  <c r="C535" i="1" s="1"/>
  <c r="B199" i="1"/>
  <c r="C199" i="1" s="1"/>
  <c r="B722" i="1"/>
  <c r="C722" i="1" s="1"/>
  <c r="B723" i="1"/>
  <c r="C723" i="1" s="1"/>
  <c r="B360" i="1"/>
  <c r="C360" i="1" s="1"/>
  <c r="B536" i="1"/>
  <c r="C536" i="1" s="1"/>
  <c r="B724" i="1"/>
  <c r="C724" i="1" s="1"/>
  <c r="B361" i="1"/>
  <c r="C361" i="1" s="1"/>
  <c r="B83" i="1"/>
  <c r="C83" i="1" s="1"/>
  <c r="B1127" i="1"/>
  <c r="C1127" i="1" s="1"/>
  <c r="B725" i="1"/>
  <c r="C725" i="1" s="1"/>
  <c r="B726" i="1"/>
  <c r="C726" i="1" s="1"/>
  <c r="B727" i="1"/>
  <c r="C727" i="1" s="1"/>
  <c r="B728" i="1"/>
  <c r="C728" i="1" s="1"/>
  <c r="B729" i="1"/>
  <c r="C729" i="1" s="1"/>
  <c r="B730" i="1"/>
  <c r="C730" i="1" s="1"/>
  <c r="B731" i="1"/>
  <c r="C731" i="1" s="1"/>
  <c r="B732" i="1"/>
  <c r="C732" i="1" s="1"/>
  <c r="B733" i="1"/>
  <c r="C733" i="1" s="1"/>
  <c r="B734" i="1"/>
  <c r="C734" i="1" s="1"/>
  <c r="B735" i="1"/>
  <c r="C735" i="1" s="1"/>
  <c r="B736" i="1"/>
  <c r="C736" i="1" s="1"/>
  <c r="B737" i="1"/>
  <c r="C737" i="1" s="1"/>
  <c r="B738" i="1"/>
  <c r="C738" i="1" s="1"/>
  <c r="B739" i="1"/>
  <c r="C739" i="1" s="1"/>
  <c r="B788" i="1"/>
  <c r="C788" i="1" s="1"/>
  <c r="B789" i="1"/>
  <c r="C789" i="1" s="1"/>
  <c r="B790" i="1"/>
  <c r="C790" i="1" s="1"/>
  <c r="B791" i="1"/>
  <c r="C791" i="1" s="1"/>
  <c r="B792" i="1"/>
  <c r="C792" i="1" s="1"/>
  <c r="B793" i="1"/>
  <c r="C793" i="1" s="1"/>
  <c r="B794" i="1"/>
  <c r="C794" i="1" s="1"/>
  <c r="B795" i="1"/>
  <c r="C795" i="1" s="1"/>
  <c r="B542" i="1"/>
  <c r="C542" i="1" s="1"/>
  <c r="B796" i="1"/>
  <c r="C796" i="1" s="1"/>
  <c r="B797" i="1"/>
  <c r="C797" i="1" s="1"/>
  <c r="B798" i="1"/>
  <c r="C798" i="1" s="1"/>
  <c r="B799" i="1"/>
  <c r="C799" i="1" s="1"/>
  <c r="B800" i="1"/>
  <c r="C800" i="1" s="1"/>
  <c r="B801" i="1"/>
  <c r="C801" i="1" s="1"/>
  <c r="B802" i="1"/>
  <c r="C802" i="1" s="1"/>
  <c r="B803" i="1"/>
  <c r="C803" i="1" s="1"/>
  <c r="B804" i="1"/>
  <c r="C804" i="1" s="1"/>
  <c r="B805" i="1"/>
  <c r="C805" i="1" s="1"/>
  <c r="B806" i="1"/>
  <c r="C806" i="1" s="1"/>
  <c r="B807" i="1"/>
  <c r="C807" i="1" s="1"/>
  <c r="B85" i="1"/>
  <c r="C85" i="1" s="1"/>
  <c r="B808" i="1"/>
  <c r="C808" i="1" s="1"/>
  <c r="B370" i="1"/>
  <c r="C370" i="1" s="1"/>
  <c r="B809" i="1"/>
  <c r="C809" i="1" s="1"/>
  <c r="B810" i="1"/>
  <c r="C810" i="1" s="1"/>
  <c r="B86" i="1"/>
  <c r="C86" i="1" s="1"/>
  <c r="B811" i="1"/>
  <c r="C811" i="1" s="1"/>
  <c r="B87" i="1"/>
  <c r="C87" i="1" s="1"/>
  <c r="B812" i="1"/>
  <c r="C812" i="1" s="1"/>
  <c r="B813" i="1"/>
  <c r="C813" i="1" s="1"/>
  <c r="B814" i="1"/>
  <c r="C814" i="1" s="1"/>
  <c r="B815" i="1"/>
  <c r="C815" i="1" s="1"/>
  <c r="B816" i="1"/>
  <c r="C816" i="1" s="1"/>
  <c r="B817" i="1"/>
  <c r="C817" i="1" s="1"/>
  <c r="B818" i="1"/>
  <c r="C818" i="1" s="1"/>
  <c r="B819" i="1"/>
  <c r="C819" i="1" s="1"/>
  <c r="B820" i="1"/>
  <c r="C820" i="1" s="1"/>
  <c r="B821" i="1"/>
  <c r="C821" i="1" s="1"/>
  <c r="B822" i="1"/>
  <c r="C822" i="1" s="1"/>
  <c r="B823" i="1"/>
  <c r="C823" i="1" s="1"/>
  <c r="B824" i="1"/>
  <c r="C824" i="1" s="1"/>
  <c r="B825" i="1"/>
  <c r="C825" i="1" s="1"/>
  <c r="B909" i="1"/>
  <c r="C909" i="1" s="1"/>
  <c r="B910" i="1"/>
  <c r="C910" i="1" s="1"/>
  <c r="B911" i="1"/>
  <c r="C911" i="1" s="1"/>
  <c r="B912" i="1"/>
  <c r="C912" i="1" s="1"/>
  <c r="B913" i="1"/>
  <c r="C913" i="1" s="1"/>
  <c r="B914" i="1"/>
  <c r="C914" i="1" s="1"/>
  <c r="B915" i="1"/>
  <c r="C915" i="1" s="1"/>
  <c r="B916" i="1"/>
  <c r="C916" i="1" s="1"/>
  <c r="B918" i="1"/>
  <c r="C918" i="1" s="1"/>
  <c r="B919" i="1"/>
  <c r="C919" i="1" s="1"/>
  <c r="B920" i="1"/>
  <c r="C920" i="1" s="1"/>
  <c r="B944" i="1"/>
  <c r="C944" i="1" s="1"/>
  <c r="B945" i="1"/>
  <c r="C945" i="1" s="1"/>
  <c r="B946" i="1"/>
  <c r="C946" i="1" s="1"/>
  <c r="B947" i="1"/>
  <c r="C947" i="1" s="1"/>
  <c r="B949" i="1"/>
  <c r="C949" i="1" s="1"/>
  <c r="B952" i="1"/>
  <c r="C952" i="1" s="1"/>
  <c r="B954" i="1"/>
  <c r="C954" i="1" s="1"/>
  <c r="B955" i="1"/>
  <c r="C955" i="1" s="1"/>
  <c r="B956" i="1"/>
  <c r="C956" i="1" s="1"/>
  <c r="B957" i="1"/>
  <c r="C957" i="1" s="1"/>
  <c r="B958" i="1"/>
  <c r="C958" i="1" s="1"/>
  <c r="B959" i="1"/>
  <c r="C959" i="1" s="1"/>
  <c r="B960" i="1"/>
  <c r="C960" i="1" s="1"/>
  <c r="B1133" i="1"/>
  <c r="C1133" i="1" s="1"/>
  <c r="B961" i="1"/>
  <c r="C961" i="1" s="1"/>
  <c r="B962" i="1"/>
  <c r="C962" i="1" s="1"/>
  <c r="B544" i="1"/>
  <c r="C544" i="1" s="1"/>
  <c r="B1027" i="1"/>
  <c r="C1027" i="1" s="1"/>
  <c r="B1028" i="1"/>
  <c r="C1028" i="1" s="1"/>
  <c r="B1029" i="1"/>
  <c r="C1029" i="1" s="1"/>
  <c r="B1030" i="1"/>
  <c r="C1030" i="1" s="1"/>
  <c r="B1031" i="1"/>
  <c r="C1031" i="1" s="1"/>
  <c r="B374" i="1"/>
  <c r="C374" i="1" s="1"/>
  <c r="B1032" i="1"/>
  <c r="C1032" i="1" s="1"/>
  <c r="B1033" i="1"/>
  <c r="C1033" i="1" s="1"/>
  <c r="B556" i="1"/>
  <c r="C556" i="1" s="1"/>
  <c r="B1034" i="1"/>
  <c r="C1034" i="1" s="1"/>
  <c r="B1035" i="1"/>
  <c r="C1035" i="1" s="1"/>
  <c r="B1036" i="1"/>
  <c r="C1036" i="1" s="1"/>
  <c r="B1037" i="1"/>
  <c r="C1037" i="1" s="1"/>
  <c r="B1038" i="1"/>
  <c r="C1038" i="1" s="1"/>
  <c r="B1039" i="1"/>
  <c r="C1039" i="1" s="1"/>
  <c r="B375" i="1"/>
  <c r="C375" i="1" s="1"/>
  <c r="B89" i="1"/>
  <c r="C89" i="1" s="1"/>
  <c r="B1135" i="1"/>
  <c r="C1135" i="1" s="1"/>
  <c r="B1040" i="1"/>
  <c r="C1040" i="1" s="1"/>
  <c r="B1041" i="1"/>
  <c r="C1041" i="1" s="1"/>
  <c r="B1042" i="1"/>
  <c r="C1042" i="1" s="1"/>
  <c r="B1043" i="1"/>
  <c r="C1043" i="1" s="1"/>
  <c r="B1044" i="1"/>
  <c r="C1044" i="1" s="1"/>
  <c r="B1045" i="1"/>
  <c r="C1045" i="1" s="1"/>
  <c r="B1046" i="1"/>
  <c r="C1046" i="1" s="1"/>
  <c r="B557" i="1"/>
  <c r="C557" i="1" s="1"/>
  <c r="B90" i="1"/>
  <c r="C90" i="1" s="1"/>
  <c r="B1047" i="1"/>
  <c r="C1047" i="1" s="1"/>
  <c r="B1048" i="1"/>
  <c r="C1048" i="1" s="1"/>
  <c r="B17" i="1"/>
  <c r="C17" i="1" s="1"/>
  <c r="B18" i="1"/>
  <c r="C18" i="1" s="1"/>
  <c r="B19" i="1"/>
  <c r="C19" i="1" s="1"/>
  <c r="B558" i="1"/>
  <c r="C558" i="1" s="1"/>
  <c r="B1049" i="1"/>
  <c r="C1049" i="1" s="1"/>
  <c r="B1050" i="1"/>
  <c r="C1050" i="1" s="1"/>
  <c r="B1051" i="1"/>
  <c r="C1051" i="1" s="1"/>
  <c r="B1052" i="1"/>
  <c r="C1052" i="1" s="1"/>
  <c r="B1053" i="1"/>
  <c r="C1053" i="1" s="1"/>
  <c r="B1054" i="1"/>
  <c r="C1054" i="1" s="1"/>
  <c r="B559" i="1"/>
  <c r="C559" i="1" s="1"/>
  <c r="B91" i="1"/>
  <c r="C91" i="1" s="1"/>
  <c r="B1055" i="1"/>
  <c r="C1055" i="1" s="1"/>
  <c r="B1056" i="1"/>
  <c r="C1056" i="1" s="1"/>
  <c r="B1136" i="1"/>
  <c r="C1136" i="1" s="1"/>
  <c r="B1057" i="1"/>
  <c r="C1057" i="1" s="1"/>
  <c r="B1058" i="1"/>
  <c r="C1058" i="1" s="1"/>
  <c r="B1137" i="1"/>
  <c r="C1137" i="1" s="1"/>
  <c r="B560" i="1"/>
  <c r="C560" i="1" s="1"/>
  <c r="B1059" i="1"/>
  <c r="C1059" i="1" s="1"/>
  <c r="B92" i="1"/>
  <c r="C92" i="1" s="1"/>
  <c r="B1060" i="1"/>
  <c r="C1060" i="1" s="1"/>
  <c r="B1061" i="1"/>
  <c r="C1061" i="1" s="1"/>
  <c r="B93" i="1"/>
  <c r="C93" i="1" s="1"/>
  <c r="B1062" i="1"/>
  <c r="C1062" i="1" s="1"/>
  <c r="B1063" i="1"/>
  <c r="C1063" i="1" s="1"/>
  <c r="B1064" i="1"/>
  <c r="C1064" i="1" s="1"/>
  <c r="B1065" i="1"/>
  <c r="C1065" i="1" s="1"/>
  <c r="B1066" i="1"/>
  <c r="C1066" i="1" s="1"/>
  <c r="B1067" i="1"/>
  <c r="C1067" i="1" s="1"/>
  <c r="B561" i="1"/>
  <c r="C561" i="1" s="1"/>
  <c r="B1068" i="1"/>
  <c r="C1068" i="1" s="1"/>
  <c r="B1069" i="1"/>
  <c r="C1069" i="1" s="1"/>
  <c r="B206" i="1"/>
  <c r="C206" i="1" s="1"/>
  <c r="B573" i="1"/>
  <c r="C573" i="1" s="1"/>
  <c r="B213" i="1"/>
  <c r="C213" i="1" s="1"/>
  <c r="B385" i="1"/>
  <c r="C385" i="1" s="1"/>
  <c r="B102" i="1"/>
  <c r="C102" i="1" s="1"/>
  <c r="B386" i="1"/>
  <c r="C386" i="1" s="1"/>
  <c r="B103" i="1"/>
  <c r="C103" i="1" s="1"/>
  <c r="B387" i="1"/>
  <c r="C387" i="1" s="1"/>
  <c r="B104" i="1"/>
  <c r="C104" i="1" s="1"/>
  <c r="B214" i="1"/>
  <c r="C214" i="1" s="1"/>
  <c r="B1089" i="1"/>
  <c r="C1089" i="1" s="1"/>
  <c r="B105" i="1"/>
  <c r="C105" i="1" s="1"/>
  <c r="B388" i="1"/>
  <c r="C388" i="1" s="1"/>
  <c r="B106" i="1"/>
  <c r="C106" i="1" s="1"/>
  <c r="B1090" i="1"/>
  <c r="C1090" i="1" s="1"/>
  <c r="B389" i="1"/>
  <c r="C389" i="1" s="1"/>
  <c r="B574" i="1"/>
  <c r="C574" i="1" s="1"/>
  <c r="B575" i="1"/>
  <c r="C575" i="1" s="1"/>
  <c r="B107" i="1"/>
  <c r="C107" i="1" s="1"/>
  <c r="B390" i="1"/>
  <c r="C390" i="1" s="1"/>
  <c r="B215" i="1"/>
  <c r="C215" i="1" s="1"/>
  <c r="B216" i="1"/>
  <c r="C216" i="1" s="1"/>
  <c r="B576" i="1"/>
  <c r="C576" i="1" s="1"/>
  <c r="B217" i="1"/>
  <c r="C217" i="1" s="1"/>
  <c r="B218" i="1"/>
  <c r="C218" i="1" s="1"/>
  <c r="B1142" i="1"/>
  <c r="C1142" i="1" s="1"/>
  <c r="B577" i="1"/>
  <c r="C577" i="1" s="1"/>
  <c r="B108" i="1"/>
  <c r="C108" i="1" s="1"/>
  <c r="B578" i="1"/>
  <c r="C578" i="1" s="1"/>
  <c r="B219" i="1"/>
  <c r="C219" i="1" s="1"/>
  <c r="B391" i="1"/>
  <c r="C391" i="1" s="1"/>
  <c r="B109" i="1"/>
  <c r="C109" i="1" s="1"/>
  <c r="B392" i="1"/>
  <c r="C392" i="1" s="1"/>
  <c r="B220" i="1"/>
  <c r="C220" i="1" s="1"/>
  <c r="B221" i="1"/>
  <c r="C221" i="1" s="1"/>
  <c r="B222" i="1"/>
  <c r="C222" i="1" s="1"/>
  <c r="B393" i="1"/>
  <c r="C393" i="1" s="1"/>
  <c r="B110" i="1"/>
  <c r="C110" i="1" s="1"/>
  <c r="B394" i="1"/>
  <c r="C394" i="1" s="1"/>
  <c r="B111" i="1"/>
  <c r="C111" i="1" s="1"/>
  <c r="B37" i="1"/>
  <c r="C37" i="1" s="1"/>
  <c r="B268" i="1"/>
  <c r="C268" i="1" s="1"/>
  <c r="B432" i="1"/>
  <c r="C432" i="1" s="1"/>
  <c r="B139" i="1"/>
  <c r="C139" i="1" s="1"/>
  <c r="B140" i="1"/>
  <c r="C140" i="1" s="1"/>
  <c r="B141" i="1"/>
  <c r="C141" i="1" s="1"/>
  <c r="B269" i="1"/>
  <c r="C269" i="1" s="1"/>
  <c r="B270" i="1"/>
  <c r="C270" i="1" s="1"/>
  <c r="B271" i="1"/>
  <c r="C271" i="1" s="1"/>
  <c r="B272" i="1"/>
  <c r="C272" i="1" s="1"/>
  <c r="B433" i="1"/>
  <c r="C433" i="1" s="1"/>
  <c r="B434" i="1"/>
  <c r="C434" i="1" s="1"/>
  <c r="B435" i="1"/>
  <c r="C435" i="1" s="1"/>
  <c r="B436" i="1"/>
  <c r="C436" i="1" s="1"/>
  <c r="B5" i="1"/>
  <c r="C5" i="1" s="1"/>
  <c r="B142" i="1"/>
  <c r="C142" i="1" s="1"/>
  <c r="B273" i="1"/>
  <c r="C273" i="1" s="1"/>
  <c r="B143" i="1"/>
  <c r="C143" i="1" s="1"/>
  <c r="B38" i="1"/>
  <c r="C38" i="1" s="1"/>
  <c r="B1104" i="1"/>
  <c r="C1104" i="1" s="1"/>
  <c r="B437" i="1"/>
  <c r="C437" i="1" s="1"/>
  <c r="B274" i="1"/>
  <c r="C274" i="1" s="1"/>
  <c r="B275" i="1"/>
  <c r="C275" i="1" s="1"/>
  <c r="B607" i="1"/>
  <c r="C607" i="1" s="1"/>
  <c r="B608" i="1"/>
  <c r="C608" i="1" s="1"/>
  <c r="B609" i="1"/>
  <c r="C609" i="1" s="1"/>
  <c r="B610" i="1"/>
  <c r="C610" i="1" s="1"/>
  <c r="B611" i="1"/>
  <c r="C611" i="1" s="1"/>
  <c r="B276" i="1"/>
  <c r="C276" i="1" s="1"/>
  <c r="B277" i="1"/>
  <c r="C277" i="1" s="1"/>
  <c r="B278" i="1"/>
  <c r="C278" i="1" s="1"/>
  <c r="B1105" i="1"/>
  <c r="C1105" i="1" s="1"/>
  <c r="B1106" i="1"/>
  <c r="C1106" i="1" s="1"/>
  <c r="B1107" i="1"/>
  <c r="C1107" i="1" s="1"/>
  <c r="B1108" i="1"/>
  <c r="C1108" i="1" s="1"/>
  <c r="B39" i="1"/>
  <c r="C39" i="1" s="1"/>
  <c r="B438" i="1"/>
  <c r="C438" i="1" s="1"/>
  <c r="B439" i="1"/>
  <c r="C439" i="1" s="1"/>
  <c r="B40" i="1"/>
  <c r="C40" i="1" s="1"/>
  <c r="B36" i="1"/>
  <c r="C36" i="1" s="1"/>
  <c r="E605" i="1"/>
  <c r="F605" i="1" s="1"/>
  <c r="E126" i="1"/>
  <c r="F126" i="1" s="1"/>
  <c r="E414" i="1"/>
  <c r="F414" i="1" s="1"/>
  <c r="E25" i="1"/>
  <c r="F25" i="1" s="1"/>
  <c r="E255" i="1"/>
  <c r="F255" i="1" s="1"/>
  <c r="E415" i="1"/>
  <c r="F415" i="1" s="1"/>
  <c r="E416" i="1"/>
  <c r="F416" i="1" s="1"/>
  <c r="E417" i="1"/>
  <c r="F417" i="1" s="1"/>
  <c r="E26" i="1"/>
  <c r="F26" i="1" s="1"/>
  <c r="E418" i="1"/>
  <c r="F418" i="1" s="1"/>
  <c r="E419" i="1"/>
  <c r="F419" i="1" s="1"/>
  <c r="E420" i="1"/>
  <c r="F420" i="1" s="1"/>
  <c r="E1101" i="1"/>
  <c r="F1101" i="1" s="1"/>
  <c r="E127" i="1"/>
  <c r="F127" i="1" s="1"/>
  <c r="E256" i="1"/>
  <c r="F256" i="1" s="1"/>
  <c r="E257" i="1"/>
  <c r="F257" i="1" s="1"/>
  <c r="E258" i="1"/>
  <c r="F258" i="1" s="1"/>
  <c r="E259" i="1"/>
  <c r="F259" i="1" s="1"/>
  <c r="E128" i="1"/>
  <c r="F128" i="1" s="1"/>
  <c r="E27" i="1"/>
  <c r="F27" i="1" s="1"/>
  <c r="E129" i="1"/>
  <c r="F129" i="1" s="1"/>
  <c r="E421" i="1"/>
  <c r="F421" i="1" s="1"/>
  <c r="E254" i="1"/>
  <c r="F254" i="1" s="1"/>
  <c r="B414" i="1"/>
  <c r="C414" i="1" s="1"/>
  <c r="B25" i="1"/>
  <c r="C25" i="1" s="1"/>
  <c r="B255" i="1"/>
  <c r="C255" i="1" s="1"/>
  <c r="B415" i="1"/>
  <c r="C415" i="1" s="1"/>
  <c r="B416" i="1"/>
  <c r="C416" i="1" s="1"/>
  <c r="B417" i="1"/>
  <c r="C417" i="1" s="1"/>
  <c r="B26" i="1"/>
  <c r="C26" i="1" s="1"/>
  <c r="B418" i="1"/>
  <c r="C418" i="1" s="1"/>
  <c r="B419" i="1"/>
  <c r="C419" i="1" s="1"/>
  <c r="B420" i="1"/>
  <c r="C420" i="1" s="1"/>
  <c r="B1101" i="1"/>
  <c r="C1101" i="1" s="1"/>
  <c r="B127" i="1"/>
  <c r="C127" i="1" s="1"/>
  <c r="B256" i="1"/>
  <c r="C256" i="1" s="1"/>
  <c r="B257" i="1"/>
  <c r="C257" i="1" s="1"/>
  <c r="B258" i="1"/>
  <c r="C258" i="1" s="1"/>
  <c r="B259" i="1"/>
  <c r="C259" i="1" s="1"/>
  <c r="B128" i="1"/>
  <c r="C128" i="1" s="1"/>
  <c r="B27" i="1"/>
  <c r="C27" i="1" s="1"/>
  <c r="B129" i="1"/>
  <c r="C129" i="1" s="1"/>
  <c r="B421" i="1"/>
  <c r="C421" i="1" s="1"/>
  <c r="B126" i="1"/>
  <c r="C126" i="1" s="1"/>
  <c r="B605" i="1"/>
  <c r="C605" i="1" s="1"/>
  <c r="B254" i="1"/>
  <c r="C254" i="1" s="1"/>
  <c r="H475" i="1" l="1"/>
  <c r="I475" i="1" s="1"/>
  <c r="H1057" i="1"/>
  <c r="I1057" i="1" s="1"/>
  <c r="M1057" i="1" s="1"/>
  <c r="H1037" i="1"/>
  <c r="I1037" i="1" s="1"/>
  <c r="M1037" i="1" s="1"/>
  <c r="H129" i="1"/>
  <c r="I129" i="1" s="1"/>
  <c r="M129" i="1" s="1"/>
  <c r="H141" i="1"/>
  <c r="I141" i="1" s="1"/>
  <c r="M141" i="1" s="1"/>
  <c r="H913" i="1"/>
  <c r="I913" i="1" s="1"/>
  <c r="M913" i="1" s="1"/>
  <c r="H731" i="1"/>
  <c r="I731" i="1" s="1"/>
  <c r="M731" i="1" s="1"/>
  <c r="H943" i="1"/>
  <c r="I943" i="1" s="1"/>
  <c r="M943" i="1" s="1"/>
  <c r="H725" i="1"/>
  <c r="I725" i="1" s="1"/>
  <c r="M725" i="1" s="1"/>
  <c r="H528" i="1"/>
  <c r="I528" i="1" s="1"/>
  <c r="M528" i="1" s="1"/>
  <c r="H1046" i="1"/>
  <c r="I1046" i="1" s="1"/>
  <c r="M1046" i="1" s="1"/>
  <c r="H959" i="1"/>
  <c r="I959" i="1" s="1"/>
  <c r="M959" i="1" s="1"/>
  <c r="H256" i="1"/>
  <c r="I256" i="1" s="1"/>
  <c r="M256" i="1" s="1"/>
  <c r="H1089" i="1"/>
  <c r="I1089" i="1" s="1"/>
  <c r="M1089" i="1" s="1"/>
  <c r="H220" i="1"/>
  <c r="I220" i="1" s="1"/>
  <c r="M220" i="1" s="1"/>
  <c r="H573" i="1"/>
  <c r="I573" i="1" s="1"/>
  <c r="M573" i="1" s="1"/>
  <c r="H1039" i="1"/>
  <c r="I1039" i="1" s="1"/>
  <c r="M1039" i="1" s="1"/>
  <c r="H957" i="1"/>
  <c r="I957" i="1" s="1"/>
  <c r="M957" i="1" s="1"/>
  <c r="H370" i="1"/>
  <c r="I370" i="1" s="1"/>
  <c r="M370" i="1" s="1"/>
  <c r="H154" i="1"/>
  <c r="I154" i="1" s="1"/>
  <c r="M154" i="1" s="1"/>
  <c r="H217" i="1"/>
  <c r="I217" i="1" s="1"/>
  <c r="M217" i="1" s="1"/>
  <c r="H501" i="1"/>
  <c r="I501" i="1" s="1"/>
  <c r="M501" i="1" s="1"/>
  <c r="H1065" i="1"/>
  <c r="I1065" i="1" s="1"/>
  <c r="M1065" i="1" s="1"/>
  <c r="H392" i="1"/>
  <c r="I392" i="1" s="1"/>
  <c r="M392" i="1" s="1"/>
  <c r="H1051" i="1"/>
  <c r="I1051" i="1" s="1"/>
  <c r="M1051" i="1" s="1"/>
  <c r="H1030" i="1"/>
  <c r="I1030" i="1" s="1"/>
  <c r="M1030" i="1" s="1"/>
  <c r="H257" i="1"/>
  <c r="I257" i="1" s="1"/>
  <c r="M257" i="1" s="1"/>
  <c r="H417" i="1"/>
  <c r="I417" i="1" s="1"/>
  <c r="M417" i="1" s="1"/>
  <c r="H911" i="1"/>
  <c r="I911" i="1" s="1"/>
  <c r="M911" i="1" s="1"/>
  <c r="H640" i="1"/>
  <c r="I640" i="1" s="1"/>
  <c r="M640" i="1" s="1"/>
  <c r="H37" i="1"/>
  <c r="I37" i="1" s="1"/>
  <c r="M37" i="1" s="1"/>
  <c r="H110" i="1"/>
  <c r="I110" i="1" s="1"/>
  <c r="M110" i="1" s="1"/>
  <c r="H219" i="1"/>
  <c r="I219" i="1" s="1"/>
  <c r="M219" i="1" s="1"/>
  <c r="H216" i="1"/>
  <c r="I216" i="1" s="1"/>
  <c r="M216" i="1" s="1"/>
  <c r="H106" i="1"/>
  <c r="I106" i="1" s="1"/>
  <c r="M106" i="1" s="1"/>
  <c r="H386" i="1"/>
  <c r="I386" i="1" s="1"/>
  <c r="M386" i="1" s="1"/>
  <c r="H561" i="1"/>
  <c r="I561" i="1" s="1"/>
  <c r="M561" i="1" s="1"/>
  <c r="H1061" i="1"/>
  <c r="I1061" i="1" s="1"/>
  <c r="M1061" i="1" s="1"/>
  <c r="H1056" i="1"/>
  <c r="I1056" i="1" s="1"/>
  <c r="M1056" i="1" s="1"/>
  <c r="H1050" i="1"/>
  <c r="I1050" i="1" s="1"/>
  <c r="M1050" i="1" s="1"/>
  <c r="H90" i="1"/>
  <c r="I90" i="1" s="1"/>
  <c r="M90" i="1" s="1"/>
  <c r="H1040" i="1"/>
  <c r="I1040" i="1" s="1"/>
  <c r="M1040" i="1" s="1"/>
  <c r="H1035" i="1"/>
  <c r="I1035" i="1" s="1"/>
  <c r="M1035" i="1" s="1"/>
  <c r="H1029" i="1"/>
  <c r="I1029" i="1" s="1"/>
  <c r="M1029" i="1" s="1"/>
  <c r="H949" i="1"/>
  <c r="I949" i="1" s="1"/>
  <c r="M949" i="1" s="1"/>
  <c r="H916" i="1"/>
  <c r="I916" i="1" s="1"/>
  <c r="M916" i="1" s="1"/>
  <c r="H825" i="1"/>
  <c r="I825" i="1" s="1"/>
  <c r="M825" i="1" s="1"/>
  <c r="H817" i="1"/>
  <c r="I817" i="1" s="1"/>
  <c r="M817" i="1" s="1"/>
  <c r="H86" i="1"/>
  <c r="I86" i="1" s="1"/>
  <c r="M86" i="1" s="1"/>
  <c r="H805" i="1"/>
  <c r="I805" i="1" s="1"/>
  <c r="M805" i="1" s="1"/>
  <c r="H797" i="1"/>
  <c r="I797" i="1" s="1"/>
  <c r="M797" i="1" s="1"/>
  <c r="H790" i="1"/>
  <c r="I790" i="1" s="1"/>
  <c r="M790" i="1" s="1"/>
  <c r="H734" i="1"/>
  <c r="I734" i="1" s="1"/>
  <c r="M734" i="1" s="1"/>
  <c r="H726" i="1"/>
  <c r="I726" i="1" s="1"/>
  <c r="M726" i="1" s="1"/>
  <c r="H723" i="1"/>
  <c r="I723" i="1" s="1"/>
  <c r="M723" i="1" s="1"/>
  <c r="H532" i="1"/>
  <c r="I532" i="1" s="1"/>
  <c r="M532" i="1" s="1"/>
  <c r="H525" i="1"/>
  <c r="I525" i="1" s="1"/>
  <c r="M525" i="1" s="1"/>
  <c r="H350" i="1"/>
  <c r="I350" i="1" s="1"/>
  <c r="M350" i="1" s="1"/>
  <c r="H349" i="1"/>
  <c r="I349" i="1" s="1"/>
  <c r="M349" i="1" s="1"/>
  <c r="H503" i="1"/>
  <c r="I503" i="1" s="1"/>
  <c r="M503" i="1" s="1"/>
  <c r="H343" i="1"/>
  <c r="I343" i="1" s="1"/>
  <c r="M343" i="1" s="1"/>
  <c r="H500" i="1"/>
  <c r="I500" i="1" s="1"/>
  <c r="M500" i="1" s="1"/>
  <c r="H71" i="1"/>
  <c r="I71" i="1" s="1"/>
  <c r="M71" i="1" s="1"/>
  <c r="H170" i="1"/>
  <c r="I170" i="1" s="1"/>
  <c r="M170" i="1" s="1"/>
  <c r="H168" i="1"/>
  <c r="I168" i="1" s="1"/>
  <c r="M168" i="1" s="1"/>
  <c r="H63" i="1"/>
  <c r="I63" i="1" s="1"/>
  <c r="M63" i="1" s="1"/>
  <c r="H160" i="1"/>
  <c r="I160" i="1" s="1"/>
  <c r="M160" i="1" s="1"/>
  <c r="H60" i="1"/>
  <c r="I60" i="1" s="1"/>
  <c r="M60" i="1" s="1"/>
  <c r="H648" i="1"/>
  <c r="I648" i="1" s="1"/>
  <c r="M648" i="1" s="1"/>
  <c r="H465" i="1"/>
  <c r="I465" i="1" s="1"/>
  <c r="M465" i="1" s="1"/>
  <c r="H48" i="1"/>
  <c r="I48" i="1" s="1"/>
  <c r="M48" i="1" s="1"/>
  <c r="H288" i="1"/>
  <c r="I288" i="1" s="1"/>
  <c r="M288" i="1" s="1"/>
  <c r="H46" i="1"/>
  <c r="I46" i="1" s="1"/>
  <c r="M46" i="1" s="1"/>
  <c r="H254" i="1"/>
  <c r="I254" i="1" s="1"/>
  <c r="M254" i="1" s="1"/>
  <c r="H557" i="1"/>
  <c r="I557" i="1" s="1"/>
  <c r="M557" i="1" s="1"/>
  <c r="H810" i="1"/>
  <c r="I810" i="1" s="1"/>
  <c r="M810" i="1" s="1"/>
  <c r="H167" i="1"/>
  <c r="I167" i="1" s="1"/>
  <c r="M167" i="1" s="1"/>
  <c r="H439" i="1"/>
  <c r="I439" i="1" s="1"/>
  <c r="M439" i="1" s="1"/>
  <c r="H105" i="1"/>
  <c r="I105" i="1" s="1"/>
  <c r="M105" i="1" s="1"/>
  <c r="H1066" i="1"/>
  <c r="I1066" i="1" s="1"/>
  <c r="M1066" i="1" s="1"/>
  <c r="H317" i="1"/>
  <c r="I317" i="1" s="1"/>
  <c r="M317" i="1" s="1"/>
  <c r="H111" i="1"/>
  <c r="I111" i="1" s="1"/>
  <c r="M111" i="1" s="1"/>
  <c r="H109" i="1"/>
  <c r="I109" i="1" s="1"/>
  <c r="M109" i="1" s="1"/>
  <c r="H389" i="1"/>
  <c r="I389" i="1" s="1"/>
  <c r="M389" i="1" s="1"/>
  <c r="H387" i="1"/>
  <c r="I387" i="1" s="1"/>
  <c r="M387" i="1" s="1"/>
  <c r="H1052" i="1"/>
  <c r="I1052" i="1" s="1"/>
  <c r="M1052" i="1" s="1"/>
  <c r="H1048" i="1"/>
  <c r="I1048" i="1" s="1"/>
  <c r="M1048" i="1" s="1"/>
  <c r="H1042" i="1"/>
  <c r="I1042" i="1" s="1"/>
  <c r="M1042" i="1" s="1"/>
  <c r="H1031" i="1"/>
  <c r="I1031" i="1" s="1"/>
  <c r="M1031" i="1" s="1"/>
  <c r="H510" i="1"/>
  <c r="I510" i="1" s="1"/>
  <c r="M510" i="1" s="1"/>
  <c r="H186" i="1"/>
  <c r="I186" i="1" s="1"/>
  <c r="M186" i="1" s="1"/>
  <c r="H505" i="1"/>
  <c r="I505" i="1" s="1"/>
  <c r="M505" i="1" s="1"/>
  <c r="H178" i="1"/>
  <c r="I178" i="1" s="1"/>
  <c r="M178" i="1" s="1"/>
  <c r="H605" i="1"/>
  <c r="I605" i="1" s="1"/>
  <c r="M605" i="1" s="1"/>
  <c r="H1068" i="1"/>
  <c r="I1068" i="1" s="1"/>
  <c r="M1068" i="1" s="1"/>
  <c r="H93" i="1"/>
  <c r="I93" i="1" s="1"/>
  <c r="M93" i="1" s="1"/>
  <c r="H1136" i="1"/>
  <c r="I1136" i="1" s="1"/>
  <c r="M1136" i="1" s="1"/>
  <c r="H1047" i="1"/>
  <c r="I1047" i="1" s="1"/>
  <c r="M1047" i="1" s="1"/>
  <c r="H1041" i="1"/>
  <c r="I1041" i="1" s="1"/>
  <c r="M1041" i="1" s="1"/>
  <c r="H1036" i="1"/>
  <c r="I1036" i="1" s="1"/>
  <c r="M1036" i="1" s="1"/>
  <c r="H918" i="1"/>
  <c r="I918" i="1" s="1"/>
  <c r="M918" i="1" s="1"/>
  <c r="H909" i="1"/>
  <c r="I909" i="1" s="1"/>
  <c r="M909" i="1" s="1"/>
  <c r="H818" i="1"/>
  <c r="I818" i="1" s="1"/>
  <c r="M818" i="1" s="1"/>
  <c r="H811" i="1"/>
  <c r="I811" i="1" s="1"/>
  <c r="M811" i="1" s="1"/>
  <c r="H806" i="1"/>
  <c r="I806" i="1" s="1"/>
  <c r="M806" i="1" s="1"/>
  <c r="H798" i="1"/>
  <c r="I798" i="1" s="1"/>
  <c r="M798" i="1" s="1"/>
  <c r="H791" i="1"/>
  <c r="I791" i="1" s="1"/>
  <c r="M791" i="1" s="1"/>
  <c r="H735" i="1"/>
  <c r="I735" i="1" s="1"/>
  <c r="M735" i="1" s="1"/>
  <c r="H727" i="1"/>
  <c r="I727" i="1" s="1"/>
  <c r="M727" i="1" s="1"/>
  <c r="H360" i="1"/>
  <c r="I360" i="1" s="1"/>
  <c r="M360" i="1" s="1"/>
  <c r="H533" i="1"/>
  <c r="I533" i="1" s="1"/>
  <c r="M533" i="1" s="1"/>
  <c r="H526" i="1"/>
  <c r="I526" i="1" s="1"/>
  <c r="M526" i="1" s="1"/>
  <c r="H687" i="1"/>
  <c r="I687" i="1" s="1"/>
  <c r="M687" i="1" s="1"/>
  <c r="H185" i="1"/>
  <c r="I185" i="1" s="1"/>
  <c r="M185" i="1" s="1"/>
  <c r="H504" i="1"/>
  <c r="I504" i="1" s="1"/>
  <c r="M504" i="1" s="1"/>
  <c r="H344" i="1"/>
  <c r="I344" i="1" s="1"/>
  <c r="M344" i="1" s="1"/>
  <c r="H342" i="1"/>
  <c r="I342" i="1" s="1"/>
  <c r="M342" i="1" s="1"/>
  <c r="H72" i="1"/>
  <c r="I72" i="1" s="1"/>
  <c r="M72" i="1" s="1"/>
  <c r="H490" i="1"/>
  <c r="I490" i="1" s="1"/>
  <c r="M490" i="1" s="1"/>
  <c r="H328" i="1"/>
  <c r="I328" i="1" s="1"/>
  <c r="M328" i="1" s="1"/>
  <c r="H480" i="1"/>
  <c r="I480" i="1" s="1"/>
  <c r="M480" i="1" s="1"/>
  <c r="H476" i="1"/>
  <c r="I476" i="1" s="1"/>
  <c r="M476" i="1" s="1"/>
  <c r="H61" i="1"/>
  <c r="I61" i="1" s="1"/>
  <c r="M61" i="1" s="1"/>
  <c r="H649" i="1"/>
  <c r="I649" i="1" s="1"/>
  <c r="M649" i="1" s="1"/>
  <c r="H642" i="1"/>
  <c r="I642" i="1" s="1"/>
  <c r="M642" i="1" s="1"/>
  <c r="H49" i="1"/>
  <c r="I49" i="1" s="1"/>
  <c r="M49" i="1" s="1"/>
  <c r="H289" i="1"/>
  <c r="I289" i="1" s="1"/>
  <c r="M289" i="1" s="1"/>
  <c r="H460" i="1"/>
  <c r="I460" i="1" s="1"/>
  <c r="M460" i="1" s="1"/>
  <c r="H1137" i="1"/>
  <c r="I1137" i="1" s="1"/>
  <c r="M1137" i="1" s="1"/>
  <c r="H948" i="1"/>
  <c r="I948" i="1" s="1"/>
  <c r="M948" i="1" s="1"/>
  <c r="H963" i="1"/>
  <c r="I963" i="1" s="1"/>
  <c r="M963" i="1" s="1"/>
  <c r="H1105" i="1"/>
  <c r="I1105" i="1" s="1"/>
  <c r="M1105" i="1" s="1"/>
  <c r="H416" i="1"/>
  <c r="I416" i="1" s="1"/>
  <c r="M416" i="1" s="1"/>
  <c r="H393" i="1"/>
  <c r="I393" i="1" s="1"/>
  <c r="M393" i="1" s="1"/>
  <c r="H578" i="1"/>
  <c r="I578" i="1" s="1"/>
  <c r="M578" i="1" s="1"/>
  <c r="H215" i="1"/>
  <c r="I215" i="1" s="1"/>
  <c r="M215" i="1" s="1"/>
  <c r="H388" i="1"/>
  <c r="I388" i="1" s="1"/>
  <c r="M388" i="1" s="1"/>
  <c r="H102" i="1"/>
  <c r="I102" i="1" s="1"/>
  <c r="M102" i="1" s="1"/>
  <c r="H1067" i="1"/>
  <c r="I1067" i="1" s="1"/>
  <c r="M1067" i="1" s="1"/>
  <c r="H1060" i="1"/>
  <c r="I1060" i="1" s="1"/>
  <c r="M1060" i="1" s="1"/>
  <c r="H1055" i="1"/>
  <c r="I1055" i="1" s="1"/>
  <c r="M1055" i="1" s="1"/>
  <c r="H1049" i="1"/>
  <c r="I1049" i="1" s="1"/>
  <c r="M1049" i="1" s="1"/>
  <c r="H1135" i="1"/>
  <c r="I1135" i="1" s="1"/>
  <c r="M1135" i="1" s="1"/>
  <c r="H1034" i="1"/>
  <c r="I1034" i="1" s="1"/>
  <c r="M1034" i="1" s="1"/>
  <c r="H1028" i="1"/>
  <c r="I1028" i="1" s="1"/>
  <c r="M1028" i="1" s="1"/>
  <c r="H947" i="1"/>
  <c r="I947" i="1" s="1"/>
  <c r="M947" i="1" s="1"/>
  <c r="H915" i="1"/>
  <c r="I915" i="1" s="1"/>
  <c r="M915" i="1" s="1"/>
  <c r="H824" i="1"/>
  <c r="I824" i="1" s="1"/>
  <c r="M824" i="1" s="1"/>
  <c r="H816" i="1"/>
  <c r="I816" i="1" s="1"/>
  <c r="M816" i="1" s="1"/>
  <c r="H804" i="1"/>
  <c r="I804" i="1" s="1"/>
  <c r="M804" i="1" s="1"/>
  <c r="H796" i="1"/>
  <c r="I796" i="1" s="1"/>
  <c r="M796" i="1" s="1"/>
  <c r="H789" i="1"/>
  <c r="I789" i="1" s="1"/>
  <c r="M789" i="1" s="1"/>
  <c r="H733" i="1"/>
  <c r="I733" i="1" s="1"/>
  <c r="M733" i="1" s="1"/>
  <c r="H722" i="1"/>
  <c r="I722" i="1" s="1"/>
  <c r="M722" i="1" s="1"/>
  <c r="H531" i="1"/>
  <c r="I531" i="1" s="1"/>
  <c r="M531" i="1" s="1"/>
  <c r="H70" i="1"/>
  <c r="I70" i="1" s="1"/>
  <c r="M70" i="1" s="1"/>
  <c r="H333" i="1"/>
  <c r="I333" i="1" s="1"/>
  <c r="M333" i="1" s="1"/>
  <c r="H142" i="1"/>
  <c r="I142" i="1" s="1"/>
  <c r="M142" i="1" s="1"/>
  <c r="H421" i="1"/>
  <c r="I421" i="1" s="1"/>
  <c r="M421" i="1" s="1"/>
  <c r="H127" i="1"/>
  <c r="I127" i="1" s="1"/>
  <c r="M127" i="1" s="1"/>
  <c r="H415" i="1"/>
  <c r="I415" i="1" s="1"/>
  <c r="M415" i="1" s="1"/>
  <c r="H277" i="1"/>
  <c r="I277" i="1" s="1"/>
  <c r="M277" i="1" s="1"/>
  <c r="H274" i="1"/>
  <c r="I274" i="1" s="1"/>
  <c r="M274" i="1" s="1"/>
  <c r="H436" i="1"/>
  <c r="I436" i="1" s="1"/>
  <c r="M436" i="1" s="1"/>
  <c r="H222" i="1"/>
  <c r="I222" i="1" s="1"/>
  <c r="M222" i="1" s="1"/>
  <c r="H108" i="1"/>
  <c r="I108" i="1" s="1"/>
  <c r="M108" i="1" s="1"/>
  <c r="H390" i="1"/>
  <c r="I390" i="1" s="1"/>
  <c r="M390" i="1" s="1"/>
  <c r="H385" i="1"/>
  <c r="I385" i="1" s="1"/>
  <c r="M385" i="1" s="1"/>
  <c r="H92" i="1"/>
  <c r="I92" i="1" s="1"/>
  <c r="M92" i="1" s="1"/>
  <c r="H91" i="1"/>
  <c r="I91" i="1" s="1"/>
  <c r="M91" i="1" s="1"/>
  <c r="H558" i="1"/>
  <c r="I558" i="1" s="1"/>
  <c r="M558" i="1" s="1"/>
  <c r="H89" i="1"/>
  <c r="I89" i="1" s="1"/>
  <c r="M89" i="1" s="1"/>
  <c r="H556" i="1"/>
  <c r="I556" i="1" s="1"/>
  <c r="M556" i="1" s="1"/>
  <c r="H1027" i="1"/>
  <c r="I1027" i="1" s="1"/>
  <c r="M1027" i="1" s="1"/>
  <c r="H162" i="1"/>
  <c r="I162" i="1" s="1"/>
  <c r="M162" i="1" s="1"/>
  <c r="H681" i="1"/>
  <c r="I681" i="1" s="1"/>
  <c r="M681" i="1" s="1"/>
  <c r="H1101" i="1"/>
  <c r="I1101" i="1" s="1"/>
  <c r="M1101" i="1" s="1"/>
  <c r="H255" i="1"/>
  <c r="I255" i="1" s="1"/>
  <c r="M255" i="1" s="1"/>
  <c r="H221" i="1"/>
  <c r="I221" i="1" s="1"/>
  <c r="M221" i="1" s="1"/>
  <c r="H577" i="1"/>
  <c r="I577" i="1" s="1"/>
  <c r="M577" i="1" s="1"/>
  <c r="H107" i="1"/>
  <c r="I107" i="1" s="1"/>
  <c r="M107" i="1" s="1"/>
  <c r="H213" i="1"/>
  <c r="I213" i="1" s="1"/>
  <c r="M213" i="1" s="1"/>
  <c r="H1059" i="1"/>
  <c r="I1059" i="1" s="1"/>
  <c r="M1059" i="1" s="1"/>
  <c r="H544" i="1"/>
  <c r="I544" i="1" s="1"/>
  <c r="M544" i="1" s="1"/>
  <c r="H822" i="1"/>
  <c r="I822" i="1" s="1"/>
  <c r="M822" i="1" s="1"/>
  <c r="H814" i="1"/>
  <c r="I814" i="1" s="1"/>
  <c r="M814" i="1" s="1"/>
  <c r="H802" i="1"/>
  <c r="I802" i="1" s="1"/>
  <c r="M802" i="1" s="1"/>
  <c r="H795" i="1"/>
  <c r="I795" i="1" s="1"/>
  <c r="M795" i="1" s="1"/>
  <c r="H739" i="1"/>
  <c r="I739" i="1" s="1"/>
  <c r="M739" i="1" s="1"/>
  <c r="H83" i="1"/>
  <c r="I83" i="1" s="1"/>
  <c r="M83" i="1" s="1"/>
  <c r="H535" i="1"/>
  <c r="I535" i="1" s="1"/>
  <c r="M535" i="1" s="1"/>
  <c r="H196" i="1"/>
  <c r="I196" i="1" s="1"/>
  <c r="M196" i="1" s="1"/>
  <c r="H645" i="1"/>
  <c r="I645" i="1" s="1"/>
  <c r="M645" i="1" s="1"/>
  <c r="H293" i="1"/>
  <c r="I293" i="1" s="1"/>
  <c r="M293" i="1" s="1"/>
  <c r="H291" i="1"/>
  <c r="I291" i="1" s="1"/>
  <c r="M291" i="1" s="1"/>
  <c r="H45" i="1"/>
  <c r="I45" i="1" s="1"/>
  <c r="M45" i="1" s="1"/>
  <c r="H951" i="1"/>
  <c r="I951" i="1" s="1"/>
  <c r="M951" i="1" s="1"/>
  <c r="H270" i="1"/>
  <c r="I270" i="1" s="1"/>
  <c r="M270" i="1" s="1"/>
  <c r="H36" i="1"/>
  <c r="I36" i="1" s="1"/>
  <c r="M36" i="1" s="1"/>
  <c r="H1142" i="1"/>
  <c r="I1142" i="1" s="1"/>
  <c r="M1142" i="1" s="1"/>
  <c r="H575" i="1"/>
  <c r="I575" i="1" s="1"/>
  <c r="M575" i="1" s="1"/>
  <c r="H214" i="1"/>
  <c r="I214" i="1" s="1"/>
  <c r="M214" i="1" s="1"/>
  <c r="H1054" i="1"/>
  <c r="I1054" i="1" s="1"/>
  <c r="M1054" i="1" s="1"/>
  <c r="H18" i="1"/>
  <c r="I18" i="1" s="1"/>
  <c r="M18" i="1" s="1"/>
  <c r="H1044" i="1"/>
  <c r="I1044" i="1" s="1"/>
  <c r="M1044" i="1" s="1"/>
  <c r="H1032" i="1"/>
  <c r="I1032" i="1" s="1"/>
  <c r="M1032" i="1" s="1"/>
  <c r="H962" i="1"/>
  <c r="I962" i="1" s="1"/>
  <c r="M962" i="1" s="1"/>
  <c r="H956" i="1"/>
  <c r="I956" i="1" s="1"/>
  <c r="M956" i="1" s="1"/>
  <c r="H477" i="1"/>
  <c r="I477" i="1" s="1"/>
  <c r="H473" i="1"/>
  <c r="I473" i="1" s="1"/>
  <c r="M473" i="1" s="1"/>
  <c r="H607" i="1"/>
  <c r="I607" i="1" s="1"/>
  <c r="M607" i="1" s="1"/>
  <c r="H128" i="1"/>
  <c r="I128" i="1" s="1"/>
  <c r="M128" i="1" s="1"/>
  <c r="H419" i="1"/>
  <c r="I419" i="1" s="1"/>
  <c r="M419" i="1" s="1"/>
  <c r="H414" i="1"/>
  <c r="I414" i="1" s="1"/>
  <c r="M414" i="1" s="1"/>
  <c r="H457" i="1"/>
  <c r="I457" i="1" s="1"/>
  <c r="M457" i="1" s="1"/>
  <c r="H218" i="1"/>
  <c r="I218" i="1" s="1"/>
  <c r="M218" i="1" s="1"/>
  <c r="H574" i="1"/>
  <c r="I574" i="1" s="1"/>
  <c r="M574" i="1" s="1"/>
  <c r="H104" i="1"/>
  <c r="I104" i="1" s="1"/>
  <c r="M104" i="1" s="1"/>
  <c r="H206" i="1"/>
  <c r="I206" i="1" s="1"/>
  <c r="M206" i="1" s="1"/>
  <c r="H1063" i="1"/>
  <c r="I1063" i="1" s="1"/>
  <c r="M1063" i="1" s="1"/>
  <c r="H920" i="1"/>
  <c r="I920" i="1" s="1"/>
  <c r="M920" i="1" s="1"/>
  <c r="H294" i="1"/>
  <c r="I294" i="1" s="1"/>
  <c r="M294" i="1" s="1"/>
  <c r="H6" i="1"/>
  <c r="I6" i="1" s="1"/>
  <c r="M6" i="1" s="1"/>
  <c r="H47" i="1"/>
  <c r="I47" i="1" s="1"/>
  <c r="M47" i="1" s="1"/>
  <c r="H153" i="1"/>
  <c r="I153" i="1" s="1"/>
  <c r="M153" i="1" s="1"/>
  <c r="H5" i="1"/>
  <c r="I5" i="1" s="1"/>
  <c r="H269" i="1"/>
  <c r="I269" i="1" s="1"/>
  <c r="M269" i="1" s="1"/>
  <c r="H958" i="1"/>
  <c r="I958" i="1" s="1"/>
  <c r="M958" i="1" s="1"/>
  <c r="H946" i="1"/>
  <c r="I946" i="1" s="1"/>
  <c r="H524" i="1"/>
  <c r="I524" i="1" s="1"/>
  <c r="M524" i="1" s="1"/>
  <c r="H188" i="1"/>
  <c r="I188" i="1" s="1"/>
  <c r="M188" i="1" s="1"/>
  <c r="H184" i="1"/>
  <c r="I184" i="1" s="1"/>
  <c r="M184" i="1" s="1"/>
  <c r="H346" i="1"/>
  <c r="I346" i="1" s="1"/>
  <c r="M346" i="1" s="1"/>
  <c r="H79" i="1"/>
  <c r="I79" i="1" s="1"/>
  <c r="M79" i="1" s="1"/>
  <c r="H499" i="1"/>
  <c r="I499" i="1" s="1"/>
  <c r="M499" i="1" s="1"/>
  <c r="H479" i="1"/>
  <c r="I479" i="1" s="1"/>
  <c r="M479" i="1" s="1"/>
  <c r="H318" i="1"/>
  <c r="I318" i="1" s="1"/>
  <c r="M318" i="1" s="1"/>
  <c r="H682" i="1"/>
  <c r="I682" i="1" s="1"/>
  <c r="M682" i="1" s="1"/>
  <c r="H647" i="1"/>
  <c r="I647" i="1" s="1"/>
  <c r="M647" i="1" s="1"/>
  <c r="H464" i="1"/>
  <c r="I464" i="1" s="1"/>
  <c r="M464" i="1" s="1"/>
  <c r="H155" i="1"/>
  <c r="I155" i="1" s="1"/>
  <c r="M155" i="1" s="1"/>
  <c r="H1120" i="1"/>
  <c r="I1120" i="1" s="1"/>
  <c r="M1120" i="1" s="1"/>
  <c r="H459" i="1"/>
  <c r="I459" i="1" s="1"/>
  <c r="M459" i="1" s="1"/>
  <c r="H950" i="1"/>
  <c r="I950" i="1" s="1"/>
  <c r="H27" i="1"/>
  <c r="I27" i="1" s="1"/>
  <c r="M27" i="1" s="1"/>
  <c r="H25" i="1"/>
  <c r="I25" i="1" s="1"/>
  <c r="M25" i="1" s="1"/>
  <c r="H438" i="1"/>
  <c r="I438" i="1" s="1"/>
  <c r="M438" i="1" s="1"/>
  <c r="H276" i="1"/>
  <c r="I276" i="1" s="1"/>
  <c r="M276" i="1" s="1"/>
  <c r="H437" i="1"/>
  <c r="I437" i="1" s="1"/>
  <c r="M437" i="1" s="1"/>
  <c r="H435" i="1"/>
  <c r="I435" i="1" s="1"/>
  <c r="M435" i="1" s="1"/>
  <c r="H140" i="1"/>
  <c r="I140" i="1" s="1"/>
  <c r="M140" i="1" s="1"/>
  <c r="H559" i="1"/>
  <c r="I559" i="1" s="1"/>
  <c r="M559" i="1" s="1"/>
  <c r="H19" i="1"/>
  <c r="I19" i="1" s="1"/>
  <c r="M19" i="1" s="1"/>
  <c r="H1045" i="1"/>
  <c r="I1045" i="1" s="1"/>
  <c r="M1045" i="1" s="1"/>
  <c r="H375" i="1"/>
  <c r="I375" i="1" s="1"/>
  <c r="M375" i="1" s="1"/>
  <c r="H1033" i="1"/>
  <c r="I1033" i="1" s="1"/>
  <c r="M1033" i="1" s="1"/>
  <c r="H945" i="1"/>
  <c r="I945" i="1" s="1"/>
  <c r="M945" i="1" s="1"/>
  <c r="H914" i="1"/>
  <c r="I914" i="1" s="1"/>
  <c r="M914" i="1" s="1"/>
  <c r="H823" i="1"/>
  <c r="I823" i="1" s="1"/>
  <c r="M823" i="1" s="1"/>
  <c r="H815" i="1"/>
  <c r="I815" i="1" s="1"/>
  <c r="M815" i="1" s="1"/>
  <c r="H809" i="1"/>
  <c r="I809" i="1" s="1"/>
  <c r="M809" i="1" s="1"/>
  <c r="H803" i="1"/>
  <c r="I803" i="1" s="1"/>
  <c r="M803" i="1" s="1"/>
  <c r="H542" i="1"/>
  <c r="I542" i="1" s="1"/>
  <c r="M542" i="1" s="1"/>
  <c r="H788" i="1"/>
  <c r="I788" i="1" s="1"/>
  <c r="M788" i="1" s="1"/>
  <c r="H732" i="1"/>
  <c r="I732" i="1" s="1"/>
  <c r="M732" i="1" s="1"/>
  <c r="H1127" i="1"/>
  <c r="I1127" i="1" s="1"/>
  <c r="M1127" i="1" s="1"/>
  <c r="H199" i="1"/>
  <c r="I199" i="1" s="1"/>
  <c r="M199" i="1" s="1"/>
  <c r="H197" i="1"/>
  <c r="I197" i="1" s="1"/>
  <c r="M197" i="1" s="1"/>
  <c r="H190" i="1"/>
  <c r="I190" i="1" s="1"/>
  <c r="M190" i="1" s="1"/>
  <c r="H509" i="1"/>
  <c r="I509" i="1" s="1"/>
  <c r="M509" i="1" s="1"/>
  <c r="H348" i="1"/>
  <c r="I348" i="1" s="1"/>
  <c r="M348" i="1" s="1"/>
  <c r="H345" i="1"/>
  <c r="I345" i="1" s="1"/>
  <c r="M345" i="1" s="1"/>
  <c r="H78" i="1"/>
  <c r="I78" i="1" s="1"/>
  <c r="M78" i="1" s="1"/>
  <c r="H498" i="1"/>
  <c r="I498" i="1" s="1"/>
  <c r="M498" i="1" s="1"/>
  <c r="H12" i="1"/>
  <c r="I12" i="1" s="1"/>
  <c r="M12" i="1" s="1"/>
  <c r="H332" i="1"/>
  <c r="I332" i="1" s="1"/>
  <c r="M332" i="1" s="1"/>
  <c r="H489" i="1"/>
  <c r="I489" i="1" s="1"/>
  <c r="M489" i="1" s="1"/>
  <c r="H646" i="1"/>
  <c r="I646" i="1" s="1"/>
  <c r="M646" i="1" s="1"/>
  <c r="H641" i="1"/>
  <c r="I641" i="1" s="1"/>
  <c r="M641" i="1" s="1"/>
  <c r="H292" i="1"/>
  <c r="I292" i="1" s="1"/>
  <c r="M292" i="1" s="1"/>
  <c r="H462" i="1"/>
  <c r="I462" i="1" s="1"/>
  <c r="M462" i="1" s="1"/>
  <c r="H458" i="1"/>
  <c r="I458" i="1" s="1"/>
  <c r="M458" i="1" s="1"/>
  <c r="H275" i="1"/>
  <c r="I275" i="1" s="1"/>
  <c r="M275" i="1" s="1"/>
  <c r="H420" i="1"/>
  <c r="I420" i="1" s="1"/>
  <c r="M420" i="1" s="1"/>
  <c r="H39" i="1"/>
  <c r="I39" i="1" s="1"/>
  <c r="M39" i="1" s="1"/>
  <c r="H611" i="1"/>
  <c r="I611" i="1" s="1"/>
  <c r="M611" i="1" s="1"/>
  <c r="H1104" i="1"/>
  <c r="I1104" i="1" s="1"/>
  <c r="M1104" i="1" s="1"/>
  <c r="H434" i="1"/>
  <c r="I434" i="1" s="1"/>
  <c r="M434" i="1" s="1"/>
  <c r="H285" i="1"/>
  <c r="I285" i="1" s="1"/>
  <c r="M285" i="1" s="1"/>
  <c r="H1064" i="1"/>
  <c r="I1064" i="1" s="1"/>
  <c r="M1064" i="1" s="1"/>
  <c r="H560" i="1"/>
  <c r="I560" i="1" s="1"/>
  <c r="M560" i="1" s="1"/>
  <c r="H944" i="1"/>
  <c r="I944" i="1" s="1"/>
  <c r="M944" i="1" s="1"/>
  <c r="H189" i="1"/>
  <c r="I189" i="1" s="1"/>
  <c r="M189" i="1" s="1"/>
  <c r="H508" i="1"/>
  <c r="I508" i="1" s="1"/>
  <c r="M508" i="1" s="1"/>
  <c r="H183" i="1"/>
  <c r="I183" i="1" s="1"/>
  <c r="M183" i="1" s="1"/>
  <c r="H182" i="1"/>
  <c r="I182" i="1" s="1"/>
  <c r="M182" i="1" s="1"/>
  <c r="H13" i="1"/>
  <c r="I13" i="1" s="1"/>
  <c r="M13" i="1" s="1"/>
  <c r="H77" i="1"/>
  <c r="I77" i="1" s="1"/>
  <c r="M77" i="1" s="1"/>
  <c r="H69" i="1"/>
  <c r="I69" i="1" s="1"/>
  <c r="M69" i="1" s="1"/>
  <c r="H331" i="1"/>
  <c r="I331" i="1" s="1"/>
  <c r="M331" i="1" s="1"/>
  <c r="H11" i="1"/>
  <c r="I11" i="1" s="1"/>
  <c r="M11" i="1" s="1"/>
  <c r="H478" i="1"/>
  <c r="I478" i="1" s="1"/>
  <c r="M478" i="1" s="1"/>
  <c r="H316" i="1"/>
  <c r="I316" i="1" s="1"/>
  <c r="M316" i="1" s="1"/>
  <c r="H680" i="1"/>
  <c r="I680" i="1" s="1"/>
  <c r="M680" i="1" s="1"/>
  <c r="H278" i="1"/>
  <c r="I278" i="1" s="1"/>
  <c r="M278" i="1" s="1"/>
  <c r="H259" i="1"/>
  <c r="I259" i="1" s="1"/>
  <c r="M259" i="1" s="1"/>
  <c r="H418" i="1"/>
  <c r="I418" i="1" s="1"/>
  <c r="M418" i="1" s="1"/>
  <c r="H126" i="1"/>
  <c r="I126" i="1" s="1"/>
  <c r="M126" i="1" s="1"/>
  <c r="H139" i="1"/>
  <c r="I139" i="1" s="1"/>
  <c r="M139" i="1" s="1"/>
  <c r="H1108" i="1"/>
  <c r="I1108" i="1" s="1"/>
  <c r="M1108" i="1" s="1"/>
  <c r="H610" i="1"/>
  <c r="I610" i="1" s="1"/>
  <c r="M610" i="1" s="1"/>
  <c r="H38" i="1"/>
  <c r="I38" i="1" s="1"/>
  <c r="M38" i="1" s="1"/>
  <c r="H433" i="1"/>
  <c r="I433" i="1" s="1"/>
  <c r="M433" i="1" s="1"/>
  <c r="H1058" i="1"/>
  <c r="I1058" i="1" s="1"/>
  <c r="M1058" i="1" s="1"/>
  <c r="H1053" i="1"/>
  <c r="I1053" i="1" s="1"/>
  <c r="M1053" i="1" s="1"/>
  <c r="H17" i="1"/>
  <c r="I17" i="1" s="1"/>
  <c r="M17" i="1" s="1"/>
  <c r="H1043" i="1"/>
  <c r="I1043" i="1" s="1"/>
  <c r="M1043" i="1" s="1"/>
  <c r="H1038" i="1"/>
  <c r="I1038" i="1" s="1"/>
  <c r="M1038" i="1" s="1"/>
  <c r="H374" i="1"/>
  <c r="I374" i="1" s="1"/>
  <c r="M374" i="1" s="1"/>
  <c r="H961" i="1"/>
  <c r="I961" i="1" s="1"/>
  <c r="M961" i="1" s="1"/>
  <c r="H955" i="1"/>
  <c r="I955" i="1" s="1"/>
  <c r="M955" i="1" s="1"/>
  <c r="H912" i="1"/>
  <c r="I912" i="1" s="1"/>
  <c r="M912" i="1" s="1"/>
  <c r="H821" i="1"/>
  <c r="I821" i="1" s="1"/>
  <c r="M821" i="1" s="1"/>
  <c r="H813" i="1"/>
  <c r="I813" i="1" s="1"/>
  <c r="M813" i="1" s="1"/>
  <c r="H808" i="1"/>
  <c r="I808" i="1" s="1"/>
  <c r="M808" i="1" s="1"/>
  <c r="H801" i="1"/>
  <c r="I801" i="1" s="1"/>
  <c r="M801" i="1" s="1"/>
  <c r="H794" i="1"/>
  <c r="I794" i="1" s="1"/>
  <c r="M794" i="1" s="1"/>
  <c r="H738" i="1"/>
  <c r="I738" i="1" s="1"/>
  <c r="M738" i="1" s="1"/>
  <c r="H730" i="1"/>
  <c r="I730" i="1" s="1"/>
  <c r="M730" i="1" s="1"/>
  <c r="H361" i="1"/>
  <c r="I361" i="1" s="1"/>
  <c r="M361" i="1" s="1"/>
  <c r="H198" i="1"/>
  <c r="I198" i="1" s="1"/>
  <c r="M198" i="1" s="1"/>
  <c r="H530" i="1"/>
  <c r="I530" i="1" s="1"/>
  <c r="M530" i="1" s="1"/>
  <c r="H351" i="1"/>
  <c r="I351" i="1" s="1"/>
  <c r="M351" i="1" s="1"/>
  <c r="H507" i="1"/>
  <c r="I507" i="1" s="1"/>
  <c r="M507" i="1" s="1"/>
  <c r="H347" i="1"/>
  <c r="I347" i="1" s="1"/>
  <c r="M347" i="1" s="1"/>
  <c r="H181" i="1"/>
  <c r="I181" i="1" s="1"/>
  <c r="M181" i="1" s="1"/>
  <c r="H180" i="1"/>
  <c r="I180" i="1" s="1"/>
  <c r="M180" i="1" s="1"/>
  <c r="H494" i="1"/>
  <c r="I494" i="1" s="1"/>
  <c r="M494" i="1" s="1"/>
  <c r="H68" i="1"/>
  <c r="I68" i="1" s="1"/>
  <c r="M68" i="1" s="1"/>
  <c r="H169" i="1"/>
  <c r="I169" i="1" s="1"/>
  <c r="M169" i="1" s="1"/>
  <c r="H684" i="1"/>
  <c r="I684" i="1" s="1"/>
  <c r="M684" i="1" s="1"/>
  <c r="H644" i="1"/>
  <c r="I644" i="1" s="1"/>
  <c r="M644" i="1" s="1"/>
  <c r="H7" i="1"/>
  <c r="I7" i="1" s="1"/>
  <c r="M7" i="1" s="1"/>
  <c r="H290" i="1"/>
  <c r="I290" i="1" s="1"/>
  <c r="M290" i="1" s="1"/>
  <c r="H287" i="1"/>
  <c r="I287" i="1" s="1"/>
  <c r="M287" i="1" s="1"/>
  <c r="H286" i="1"/>
  <c r="I286" i="1" s="1"/>
  <c r="M286" i="1" s="1"/>
  <c r="H40" i="1"/>
  <c r="I40" i="1" s="1"/>
  <c r="M40" i="1" s="1"/>
  <c r="H258" i="1"/>
  <c r="I258" i="1" s="1"/>
  <c r="M258" i="1" s="1"/>
  <c r="H26" i="1"/>
  <c r="I26" i="1" s="1"/>
  <c r="M26" i="1" s="1"/>
  <c r="H432" i="1"/>
  <c r="I432" i="1" s="1"/>
  <c r="M432" i="1" s="1"/>
  <c r="H1107" i="1"/>
  <c r="I1107" i="1" s="1"/>
  <c r="M1107" i="1" s="1"/>
  <c r="H609" i="1"/>
  <c r="I609" i="1" s="1"/>
  <c r="M609" i="1" s="1"/>
  <c r="H143" i="1"/>
  <c r="I143" i="1" s="1"/>
  <c r="M143" i="1" s="1"/>
  <c r="H272" i="1"/>
  <c r="I272" i="1" s="1"/>
  <c r="M272" i="1" s="1"/>
  <c r="H1069" i="1"/>
  <c r="I1069" i="1" s="1"/>
  <c r="M1069" i="1" s="1"/>
  <c r="H1062" i="1"/>
  <c r="I1062" i="1" s="1"/>
  <c r="M1062" i="1" s="1"/>
  <c r="H1133" i="1"/>
  <c r="I1133" i="1" s="1"/>
  <c r="M1133" i="1" s="1"/>
  <c r="H954" i="1"/>
  <c r="I954" i="1" s="1"/>
  <c r="M954" i="1" s="1"/>
  <c r="H919" i="1"/>
  <c r="I919" i="1" s="1"/>
  <c r="M919" i="1" s="1"/>
  <c r="H820" i="1"/>
  <c r="I820" i="1" s="1"/>
  <c r="M820" i="1" s="1"/>
  <c r="H812" i="1"/>
  <c r="I812" i="1" s="1"/>
  <c r="M812" i="1" s="1"/>
  <c r="H85" i="1"/>
  <c r="I85" i="1" s="1"/>
  <c r="M85" i="1" s="1"/>
  <c r="H800" i="1"/>
  <c r="I800" i="1" s="1"/>
  <c r="M800" i="1" s="1"/>
  <c r="H793" i="1"/>
  <c r="I793" i="1" s="1"/>
  <c r="M793" i="1" s="1"/>
  <c r="H737" i="1"/>
  <c r="I737" i="1" s="1"/>
  <c r="M737" i="1" s="1"/>
  <c r="H729" i="1"/>
  <c r="I729" i="1" s="1"/>
  <c r="M729" i="1" s="1"/>
  <c r="H724" i="1"/>
  <c r="I724" i="1" s="1"/>
  <c r="M724" i="1" s="1"/>
  <c r="H534" i="1"/>
  <c r="I534" i="1" s="1"/>
  <c r="M534" i="1" s="1"/>
  <c r="H529" i="1"/>
  <c r="I529" i="1" s="1"/>
  <c r="M529" i="1" s="1"/>
  <c r="H511" i="1"/>
  <c r="I511" i="1" s="1"/>
  <c r="M511" i="1" s="1"/>
  <c r="H187" i="1"/>
  <c r="I187" i="1" s="1"/>
  <c r="M187" i="1" s="1"/>
  <c r="H506" i="1"/>
  <c r="I506" i="1" s="1"/>
  <c r="M506" i="1" s="1"/>
  <c r="H502" i="1"/>
  <c r="I502" i="1" s="1"/>
  <c r="M502" i="1" s="1"/>
  <c r="H179" i="1"/>
  <c r="I179" i="1" s="1"/>
  <c r="M179" i="1" s="1"/>
  <c r="H493" i="1"/>
  <c r="I493" i="1" s="1"/>
  <c r="M493" i="1" s="1"/>
  <c r="H492" i="1"/>
  <c r="I492" i="1" s="1"/>
  <c r="M492" i="1" s="1"/>
  <c r="H330" i="1"/>
  <c r="I330" i="1" s="1"/>
  <c r="M330" i="1" s="1"/>
  <c r="H327" i="1"/>
  <c r="I327" i="1" s="1"/>
  <c r="M327" i="1" s="1"/>
  <c r="H161" i="1"/>
  <c r="I161" i="1" s="1"/>
  <c r="M161" i="1" s="1"/>
  <c r="H474" i="1"/>
  <c r="I474" i="1" s="1"/>
  <c r="M474" i="1" s="1"/>
  <c r="H59" i="1"/>
  <c r="I59" i="1" s="1"/>
  <c r="M59" i="1" s="1"/>
  <c r="H917" i="1"/>
  <c r="I917" i="1" s="1"/>
  <c r="M917" i="1" s="1"/>
  <c r="H953" i="1"/>
  <c r="I953" i="1" s="1"/>
  <c r="M953" i="1" s="1"/>
  <c r="H268" i="1"/>
  <c r="I268" i="1" s="1"/>
  <c r="M268" i="1" s="1"/>
  <c r="H1106" i="1"/>
  <c r="I1106" i="1" s="1"/>
  <c r="M1106" i="1" s="1"/>
  <c r="H608" i="1"/>
  <c r="I608" i="1" s="1"/>
  <c r="M608" i="1" s="1"/>
  <c r="H273" i="1"/>
  <c r="I273" i="1" s="1"/>
  <c r="M273" i="1" s="1"/>
  <c r="H271" i="1"/>
  <c r="I271" i="1" s="1"/>
  <c r="M271" i="1" s="1"/>
  <c r="H394" i="1"/>
  <c r="I394" i="1" s="1"/>
  <c r="M394" i="1" s="1"/>
  <c r="H391" i="1"/>
  <c r="I391" i="1" s="1"/>
  <c r="M391" i="1" s="1"/>
  <c r="H576" i="1"/>
  <c r="I576" i="1" s="1"/>
  <c r="M576" i="1" s="1"/>
  <c r="H1090" i="1"/>
  <c r="I1090" i="1" s="1"/>
  <c r="M1090" i="1" s="1"/>
  <c r="H103" i="1"/>
  <c r="I103" i="1" s="1"/>
  <c r="M103" i="1" s="1"/>
  <c r="H960" i="1"/>
  <c r="I960" i="1" s="1"/>
  <c r="M960" i="1" s="1"/>
  <c r="H952" i="1"/>
  <c r="I952" i="1" s="1"/>
  <c r="M952" i="1" s="1"/>
  <c r="H910" i="1"/>
  <c r="I910" i="1" s="1"/>
  <c r="M910" i="1" s="1"/>
  <c r="H819" i="1"/>
  <c r="I819" i="1" s="1"/>
  <c r="M819" i="1" s="1"/>
  <c r="H87" i="1"/>
  <c r="I87" i="1" s="1"/>
  <c r="M87" i="1" s="1"/>
  <c r="H807" i="1"/>
  <c r="I807" i="1" s="1"/>
  <c r="M807" i="1" s="1"/>
  <c r="H799" i="1"/>
  <c r="I799" i="1" s="1"/>
  <c r="M799" i="1" s="1"/>
  <c r="H792" i="1"/>
  <c r="I792" i="1" s="1"/>
  <c r="M792" i="1" s="1"/>
  <c r="H736" i="1"/>
  <c r="I736" i="1" s="1"/>
  <c r="M736" i="1" s="1"/>
  <c r="H728" i="1"/>
  <c r="I728" i="1" s="1"/>
  <c r="M728" i="1" s="1"/>
  <c r="H536" i="1"/>
  <c r="I536" i="1" s="1"/>
  <c r="M536" i="1" s="1"/>
  <c r="H1126" i="1"/>
  <c r="I1126" i="1" s="1"/>
  <c r="M1126" i="1" s="1"/>
  <c r="H527" i="1"/>
  <c r="I527" i="1" s="1"/>
  <c r="M527" i="1" s="1"/>
  <c r="H73" i="1"/>
  <c r="I73" i="1" s="1"/>
  <c r="M73" i="1" s="1"/>
  <c r="H491" i="1"/>
  <c r="I491" i="1" s="1"/>
  <c r="M491" i="1" s="1"/>
  <c r="H329" i="1"/>
  <c r="I329" i="1" s="1"/>
  <c r="M329" i="1" s="1"/>
  <c r="H320" i="1"/>
  <c r="I320" i="1" s="1"/>
  <c r="M320" i="1" s="1"/>
  <c r="H319" i="1"/>
  <c r="I319" i="1" s="1"/>
  <c r="M319" i="1" s="1"/>
  <c r="H62" i="1"/>
  <c r="I62" i="1" s="1"/>
  <c r="M62" i="1" s="1"/>
  <c r="H472" i="1"/>
  <c r="I472" i="1" s="1"/>
  <c r="M472" i="1" s="1"/>
  <c r="H643" i="1"/>
  <c r="I643" i="1" s="1"/>
  <c r="M643" i="1" s="1"/>
  <c r="H463" i="1"/>
  <c r="I463" i="1" s="1"/>
  <c r="M463" i="1" s="1"/>
  <c r="H639" i="1"/>
  <c r="I639" i="1" s="1"/>
  <c r="M639" i="1" s="1"/>
  <c r="H461" i="1"/>
  <c r="I461" i="1" s="1"/>
  <c r="M461" i="1" s="1"/>
  <c r="H638" i="1"/>
  <c r="I638" i="1" s="1"/>
  <c r="M638" i="1" s="1"/>
  <c r="M1020" i="1"/>
  <c r="M554" i="1"/>
  <c r="M1010" i="1"/>
  <c r="M1000" i="1"/>
  <c r="M992" i="1"/>
  <c r="M984" i="1"/>
  <c r="M937" i="1"/>
  <c r="M686" i="1"/>
  <c r="M75" i="1"/>
  <c r="M950" i="1"/>
  <c r="M946" i="1"/>
  <c r="M314" i="1"/>
  <c r="M672" i="1"/>
  <c r="M471" i="1"/>
  <c r="M662" i="1"/>
  <c r="M658" i="1"/>
  <c r="M308" i="1"/>
  <c r="M305" i="1"/>
  <c r="M303" i="1"/>
  <c r="M299" i="1"/>
  <c r="M899" i="1"/>
  <c r="M883" i="1"/>
  <c r="M859" i="1"/>
  <c r="M831" i="1"/>
  <c r="M683" i="1"/>
  <c r="M64" i="1"/>
  <c r="M485" i="1"/>
  <c r="M481" i="1"/>
  <c r="M679" i="1"/>
  <c r="M671" i="1"/>
  <c r="M57" i="1"/>
  <c r="M312" i="1"/>
  <c r="M470" i="1"/>
  <c r="M53" i="1"/>
  <c r="M656" i="1"/>
  <c r="M652" i="1"/>
  <c r="M298" i="1"/>
  <c r="M599" i="1"/>
  <c r="M596" i="1"/>
  <c r="M412" i="1"/>
  <c r="M242" i="1"/>
  <c r="M594" i="1"/>
  <c r="M240" i="1"/>
  <c r="M399" i="1"/>
  <c r="M1146" i="1"/>
  <c r="M116" i="1"/>
  <c r="M115" i="1"/>
  <c r="M580" i="1"/>
  <c r="M227" i="1"/>
  <c r="M579" i="1"/>
  <c r="M340" i="1"/>
  <c r="M173" i="1"/>
  <c r="M174" i="1"/>
  <c r="M125" i="1"/>
  <c r="M124" i="1"/>
  <c r="M411" i="1"/>
  <c r="M409" i="1"/>
  <c r="M121" i="1"/>
  <c r="M403" i="1"/>
  <c r="M236" i="1"/>
  <c r="M235" i="1"/>
  <c r="M584" i="1"/>
  <c r="M231" i="1"/>
  <c r="M1098" i="1"/>
  <c r="M1144" i="1"/>
  <c r="M112" i="1"/>
  <c r="M101" i="1"/>
  <c r="M570" i="1"/>
  <c r="M99" i="1"/>
  <c r="M209" i="1"/>
  <c r="M565" i="1"/>
  <c r="M1139" i="1"/>
  <c r="M1077" i="1"/>
  <c r="M569" i="1"/>
  <c r="M568" i="1"/>
  <c r="M566" i="1"/>
  <c r="M1138" i="1"/>
  <c r="M1076" i="1"/>
  <c r="M205" i="1"/>
  <c r="M1019" i="1"/>
  <c r="M553" i="1"/>
  <c r="M549" i="1"/>
  <c r="M1005" i="1"/>
  <c r="M999" i="1"/>
  <c r="M991" i="1"/>
  <c r="M983" i="1"/>
  <c r="M971" i="1"/>
  <c r="M965" i="1"/>
  <c r="M921" i="1"/>
  <c r="M757" i="1"/>
  <c r="M718" i="1"/>
  <c r="M714" i="1"/>
  <c r="M706" i="1"/>
  <c r="M359" i="1"/>
  <c r="M192" i="1"/>
  <c r="M695" i="1"/>
  <c r="M81" i="1"/>
  <c r="M354" i="1"/>
  <c r="M637" i="1"/>
  <c r="M151" i="1"/>
  <c r="M146" i="1"/>
  <c r="M621" i="1"/>
  <c r="M446" i="1"/>
  <c r="M280" i="1"/>
  <c r="M429" i="1"/>
  <c r="M1026" i="1"/>
  <c r="M1018" i="1"/>
  <c r="M552" i="1"/>
  <c r="M1009" i="1"/>
  <c r="M1004" i="1"/>
  <c r="M998" i="1"/>
  <c r="M990" i="1"/>
  <c r="M1134" i="1"/>
  <c r="M371" i="1"/>
  <c r="M545" i="1"/>
  <c r="M964" i="1"/>
  <c r="M935" i="1"/>
  <c r="M927" i="1"/>
  <c r="M782" i="1"/>
  <c r="M776" i="1"/>
  <c r="M770" i="1"/>
  <c r="M764" i="1"/>
  <c r="M756" i="1"/>
  <c r="M362" i="1"/>
  <c r="M201" i="1"/>
  <c r="M748" i="1"/>
  <c r="M741" i="1"/>
  <c r="M456" i="1"/>
  <c r="M452" i="1"/>
  <c r="M150" i="1"/>
  <c r="M1117" i="1"/>
  <c r="M627" i="1"/>
  <c r="M620" i="1"/>
  <c r="M445" i="1"/>
  <c r="M1110" i="1"/>
  <c r="M613" i="1"/>
  <c r="M440" i="1"/>
  <c r="M34" i="1"/>
  <c r="M426" i="1"/>
  <c r="M132" i="1"/>
  <c r="M598" i="1"/>
  <c r="M226" i="1"/>
  <c r="M567" i="1"/>
  <c r="M195" i="1"/>
  <c r="M1025" i="1"/>
  <c r="M775" i="1"/>
  <c r="M755" i="1"/>
  <c r="M740" i="1"/>
  <c r="M239" i="1"/>
  <c r="M230" i="1"/>
  <c r="M396" i="1"/>
  <c r="M1085" i="1"/>
  <c r="M713" i="1"/>
  <c r="M694" i="1"/>
  <c r="M551" i="1"/>
  <c r="M989" i="1"/>
  <c r="M975" i="1"/>
  <c r="M781" i="1"/>
  <c r="M763" i="1"/>
  <c r="M747" i="1"/>
  <c r="M934" i="1"/>
  <c r="M413" i="1"/>
  <c r="M593" i="1"/>
  <c r="M98" i="1"/>
  <c r="M1080" i="1"/>
  <c r="M705" i="1"/>
  <c r="M15" i="1"/>
  <c r="M1017" i="1"/>
  <c r="M997" i="1"/>
  <c r="M982" i="1"/>
  <c r="M970" i="1"/>
  <c r="M203" i="1"/>
  <c r="M942" i="1"/>
  <c r="M76" i="1"/>
  <c r="M339" i="1"/>
  <c r="M172" i="1"/>
  <c r="M123" i="1"/>
  <c r="M114" i="1"/>
  <c r="M384" i="1"/>
  <c r="M563" i="1"/>
  <c r="M1075" i="1"/>
  <c r="M1003" i="1"/>
  <c r="M120" i="1"/>
  <c r="M234" i="1"/>
  <c r="M520" i="1"/>
  <c r="M358" i="1"/>
  <c r="M353" i="1"/>
  <c r="M548" i="1"/>
  <c r="M769" i="1"/>
  <c r="M537" i="1"/>
  <c r="M926" i="1"/>
  <c r="M247" i="1"/>
  <c r="M589" i="1"/>
  <c r="M455" i="1"/>
  <c r="M451" i="1"/>
  <c r="M630" i="1"/>
  <c r="M1116" i="1"/>
  <c r="M449" i="1"/>
  <c r="M619" i="1"/>
  <c r="M42" i="1"/>
  <c r="M144" i="1"/>
  <c r="M41" i="1"/>
  <c r="M35" i="1"/>
  <c r="M428" i="1"/>
  <c r="M136" i="1"/>
  <c r="M29" i="1"/>
  <c r="M260" i="1"/>
  <c r="M600" i="1"/>
  <c r="M597" i="1"/>
  <c r="M249" i="1"/>
  <c r="M410" i="1"/>
  <c r="M407" i="1"/>
  <c r="M404" i="1"/>
  <c r="M401" i="1"/>
  <c r="M1148" i="1"/>
  <c r="M1100" i="1"/>
  <c r="M248" i="1"/>
  <c r="M243" i="1"/>
  <c r="M1147" i="1"/>
  <c r="M241" i="1"/>
  <c r="M400" i="1"/>
  <c r="M590" i="1"/>
  <c r="M585" i="1"/>
  <c r="M398" i="1"/>
  <c r="M586" i="1"/>
  <c r="M232" i="1"/>
  <c r="M228" i="1"/>
  <c r="M1095" i="1"/>
  <c r="M1143" i="1"/>
  <c r="M223" i="1"/>
  <c r="M1088" i="1"/>
  <c r="M571" i="1"/>
  <c r="M100" i="1"/>
  <c r="M380" i="1"/>
  <c r="M1082" i="1"/>
  <c r="M376" i="1"/>
  <c r="M94" i="1"/>
  <c r="M1072" i="1"/>
  <c r="M1021" i="1"/>
  <c r="M555" i="1"/>
  <c r="M1011" i="1"/>
  <c r="M1007" i="1"/>
  <c r="M1001" i="1"/>
  <c r="M993" i="1"/>
  <c r="M985" i="1"/>
  <c r="M978" i="1"/>
  <c r="M546" i="1"/>
  <c r="M966" i="1"/>
  <c r="M938" i="1"/>
  <c r="M930" i="1"/>
  <c r="M923" i="1"/>
  <c r="M908" i="1"/>
  <c r="M900" i="1"/>
  <c r="M893" i="1"/>
  <c r="M885" i="1"/>
  <c r="M877" i="1"/>
  <c r="M869" i="1"/>
  <c r="M861" i="1"/>
  <c r="M853" i="1"/>
  <c r="M846" i="1"/>
  <c r="M840" i="1"/>
  <c r="M833" i="1"/>
  <c r="M826" i="1"/>
  <c r="M369" i="1"/>
  <c r="M779" i="1"/>
  <c r="M773" i="1"/>
  <c r="M767" i="1"/>
  <c r="M759" i="1"/>
  <c r="M364" i="1"/>
  <c r="M601" i="1"/>
  <c r="M751" i="1"/>
  <c r="M744" i="1"/>
  <c r="M721" i="1"/>
  <c r="M717" i="1"/>
  <c r="M709" i="1"/>
  <c r="M702" i="1"/>
  <c r="M1125" i="1"/>
  <c r="M698" i="1"/>
  <c r="M690" i="1"/>
  <c r="M513" i="1"/>
  <c r="M685" i="1"/>
  <c r="M336" i="1"/>
  <c r="M66" i="1"/>
  <c r="M325" i="1"/>
  <c r="M321" i="1"/>
  <c r="M315" i="1"/>
  <c r="M674" i="1"/>
  <c r="M669" i="1"/>
  <c r="M664" i="1"/>
  <c r="M55" i="1"/>
  <c r="M158" i="1"/>
  <c r="M467" i="1"/>
  <c r="M50" i="1"/>
  <c r="M156" i="1"/>
  <c r="M635" i="1"/>
  <c r="M283" i="1"/>
  <c r="M282" i="1"/>
  <c r="M628" i="1"/>
  <c r="M623" i="1"/>
  <c r="M448" i="1"/>
  <c r="M145" i="1"/>
  <c r="M615" i="1"/>
  <c r="M441" i="1"/>
  <c r="M431" i="1"/>
  <c r="M32" i="1"/>
  <c r="M266" i="1"/>
  <c r="M606" i="1"/>
  <c r="M423" i="1"/>
  <c r="M582" i="1"/>
  <c r="M1099" i="1"/>
  <c r="M1094" i="1"/>
  <c r="M3" i="1"/>
  <c r="M1141" i="1"/>
  <c r="M1086" i="1"/>
  <c r="M382" i="1"/>
  <c r="M379" i="1"/>
  <c r="M1081" i="1"/>
  <c r="M1140" i="1"/>
  <c r="M1078" i="1"/>
  <c r="M1071" i="1"/>
  <c r="M929" i="1"/>
  <c r="M922" i="1"/>
  <c r="M907" i="1"/>
  <c r="M1132" i="1"/>
  <c r="M892" i="1"/>
  <c r="M884" i="1"/>
  <c r="M876" i="1"/>
  <c r="M868" i="1"/>
  <c r="M860" i="1"/>
  <c r="M852" i="1"/>
  <c r="M845" i="1"/>
  <c r="M839" i="1"/>
  <c r="M832" i="1"/>
  <c r="M543" i="1"/>
  <c r="M784" i="1"/>
  <c r="M778" i="1"/>
  <c r="M772" i="1"/>
  <c r="M766" i="1"/>
  <c r="M758" i="1"/>
  <c r="M202" i="1"/>
  <c r="M24" i="1"/>
  <c r="M750" i="1"/>
  <c r="M743" i="1"/>
  <c r="M720" i="1"/>
  <c r="M716" i="1"/>
  <c r="M708" i="1"/>
  <c r="M516" i="1"/>
  <c r="M194" i="1"/>
  <c r="M697" i="1"/>
  <c r="M355" i="1"/>
  <c r="M688" i="1"/>
  <c r="M65" i="1"/>
  <c r="M324" i="1"/>
  <c r="M164" i="1"/>
  <c r="M1121" i="1"/>
  <c r="M673" i="1"/>
  <c r="M668" i="1"/>
  <c r="M663" i="1"/>
  <c r="M659" i="1"/>
  <c r="M309" i="1"/>
  <c r="M306" i="1"/>
  <c r="M653" i="1"/>
  <c r="M650" i="1"/>
  <c r="M44" i="1"/>
  <c r="M634" i="1"/>
  <c r="M152" i="1"/>
  <c r="M1119" i="1"/>
  <c r="M147" i="1"/>
  <c r="M622" i="1"/>
  <c r="M447" i="1"/>
  <c r="M1111" i="1"/>
  <c r="M614" i="1"/>
  <c r="M612" i="1"/>
  <c r="M430" i="1"/>
  <c r="M31" i="1"/>
  <c r="M265" i="1"/>
  <c r="M263" i="1"/>
  <c r="M422" i="1"/>
  <c r="M477" i="1"/>
  <c r="M475" i="1"/>
  <c r="M5" i="1" l="1"/>
</calcChain>
</file>

<file path=xl/sharedStrings.xml><?xml version="1.0" encoding="utf-8"?>
<sst xmlns="http://schemas.openxmlformats.org/spreadsheetml/2006/main" count="5531" uniqueCount="1621">
  <si>
    <t>START_DATE*</t>
  </si>
  <si>
    <t>END_DATE*</t>
  </si>
  <si>
    <t>CATEGORY*</t>
  </si>
  <si>
    <t>START*</t>
  </si>
  <si>
    <t>STOP*</t>
  </si>
  <si>
    <t>MILES*</t>
  </si>
  <si>
    <t>PURPOSE*</t>
  </si>
  <si>
    <t>Business</t>
  </si>
  <si>
    <t>Fort Pierce</t>
  </si>
  <si>
    <t>Meal/Entertain</t>
  </si>
  <si>
    <t>Errand/Supplies</t>
  </si>
  <si>
    <t>Meeting</t>
  </si>
  <si>
    <t>West Palm Beach</t>
  </si>
  <si>
    <t>Customer Visit</t>
  </si>
  <si>
    <t>Palm Beach</t>
  </si>
  <si>
    <t>Cary</t>
  </si>
  <si>
    <t>Morrisville</t>
  </si>
  <si>
    <t>Jamaica</t>
  </si>
  <si>
    <t>New York</t>
  </si>
  <si>
    <t>Queens</t>
  </si>
  <si>
    <t>Elmhurst</t>
  </si>
  <si>
    <t>Midtown</t>
  </si>
  <si>
    <t>East Harlem</t>
  </si>
  <si>
    <t>NoMad</t>
  </si>
  <si>
    <t>Temporary Site</t>
  </si>
  <si>
    <t>Flatiron District</t>
  </si>
  <si>
    <t>Midtown East</t>
  </si>
  <si>
    <t>Hudson Square</t>
  </si>
  <si>
    <t>Lower Manhattan</t>
  </si>
  <si>
    <t>Hell's Kitchen</t>
  </si>
  <si>
    <t>Queens County</t>
  </si>
  <si>
    <t>Downtown</t>
  </si>
  <si>
    <t>Gulfton</t>
  </si>
  <si>
    <t>Houston</t>
  </si>
  <si>
    <t>Eagan Park</t>
  </si>
  <si>
    <t>Jamestown Court</t>
  </si>
  <si>
    <t>Durham</t>
  </si>
  <si>
    <t>Farmington Woods</t>
  </si>
  <si>
    <t>Whitebridge</t>
  </si>
  <si>
    <t>Lake Wellingborough</t>
  </si>
  <si>
    <t>Raleigh</t>
  </si>
  <si>
    <t>Fayetteville Street</t>
  </si>
  <si>
    <t>Umstead</t>
  </si>
  <si>
    <t>Hazelwood</t>
  </si>
  <si>
    <t>Westpark Place</t>
  </si>
  <si>
    <t>Fairmont</t>
  </si>
  <si>
    <t>Meredith Townes</t>
  </si>
  <si>
    <t>Leesville Hollow</t>
  </si>
  <si>
    <t>Apex</t>
  </si>
  <si>
    <t>Chapel Hill</t>
  </si>
  <si>
    <t>Northwoods</t>
  </si>
  <si>
    <t>Williamsburg Manor</t>
  </si>
  <si>
    <t>Macgregor Downs</t>
  </si>
  <si>
    <t>Between Offices</t>
  </si>
  <si>
    <t>Edgehill Farms</t>
  </si>
  <si>
    <t>Personal</t>
  </si>
  <si>
    <t>Tanglewood</t>
  </si>
  <si>
    <t>Preston</t>
  </si>
  <si>
    <t>Eastgate</t>
  </si>
  <si>
    <t>Walnut Terrace</t>
  </si>
  <si>
    <t>2/13/2016 14:41</t>
  </si>
  <si>
    <t>East Elmhurst</t>
  </si>
  <si>
    <t>Jackson Heights</t>
  </si>
  <si>
    <t>2/14/2016 1:00</t>
  </si>
  <si>
    <t>2/14/2016 14:40</t>
  </si>
  <si>
    <t>2/14/2016 15:03</t>
  </si>
  <si>
    <t>Midtown West</t>
  </si>
  <si>
    <t>2/14/2016 17:02</t>
  </si>
  <si>
    <t>Long Island City</t>
  </si>
  <si>
    <t>2/14/2016 17:29</t>
  </si>
  <si>
    <t>2/16/2016 4:13</t>
  </si>
  <si>
    <t>Katunayaka</t>
  </si>
  <si>
    <t>Unknown Location</t>
  </si>
  <si>
    <t>2/16/2016 9:34</t>
  </si>
  <si>
    <t>Colombo</t>
  </si>
  <si>
    <t>2/16/2016 12:02</t>
  </si>
  <si>
    <t>2/16/2016 12:42</t>
  </si>
  <si>
    <t>2/16/2016 13:55</t>
  </si>
  <si>
    <t>2/16/2016 17:10</t>
  </si>
  <si>
    <t>2/16/2016 17:26</t>
  </si>
  <si>
    <t>Nugegoda</t>
  </si>
  <si>
    <t>2/16/2016 17:44</t>
  </si>
  <si>
    <t>2/17/2016 14:04</t>
  </si>
  <si>
    <t>2/17/2016 15:22</t>
  </si>
  <si>
    <t>2/17/2016 16:17</t>
  </si>
  <si>
    <t>2/17/2016 16:43</t>
  </si>
  <si>
    <t>2/18/2016 8:27</t>
  </si>
  <si>
    <t>2/18/2016 14:45</t>
  </si>
  <si>
    <t>Islamabad</t>
  </si>
  <si>
    <t>2/18/2016 15:31</t>
  </si>
  <si>
    <t>2/18/2016 18:58</t>
  </si>
  <si>
    <t>2/18/2016 20:08</t>
  </si>
  <si>
    <t>2/19/2016 9:14</t>
  </si>
  <si>
    <t>2/19/2016 9:51</t>
  </si>
  <si>
    <t>2/19/2016 10:48</t>
  </si>
  <si>
    <t>2/19/2016 11:26</t>
  </si>
  <si>
    <t>2/19/2016 11:50</t>
  </si>
  <si>
    <t>2/19/2016 12:27</t>
  </si>
  <si>
    <t>2/19/2016 16:45</t>
  </si>
  <si>
    <t>2/19/2016 17:20</t>
  </si>
  <si>
    <t>2/19/2016 20:30</t>
  </si>
  <si>
    <t>2/19/2016 20:51</t>
  </si>
  <si>
    <t>2/20/2016 8:32</t>
  </si>
  <si>
    <t>2/20/2016 10:56</t>
  </si>
  <si>
    <t>2/20/2016 11:53</t>
  </si>
  <si>
    <t>2/20/2016 13:17</t>
  </si>
  <si>
    <t>R?walpindi</t>
  </si>
  <si>
    <t>2/20/2016 15:54</t>
  </si>
  <si>
    <t>2/20/2016 17:54</t>
  </si>
  <si>
    <t>2/20/2016 18:03</t>
  </si>
  <si>
    <t>2/20/2016 19:49</t>
  </si>
  <si>
    <t>2/21/2016 9:46</t>
  </si>
  <si>
    <t>2/21/2016 11:43</t>
  </si>
  <si>
    <t>2/21/2016 12:01</t>
  </si>
  <si>
    <t>2/21/2016 12:35</t>
  </si>
  <si>
    <t>2/21/2016 13:12</t>
  </si>
  <si>
    <t>2/21/2016 14:30</t>
  </si>
  <si>
    <t>2/21/2016 15:03</t>
  </si>
  <si>
    <t>2/21/2016 15:31</t>
  </si>
  <si>
    <t>Noorpur Shahan</t>
  </si>
  <si>
    <t>2/21/2016 15:41</t>
  </si>
  <si>
    <t>2/21/2016 16:32</t>
  </si>
  <si>
    <t>2/21/2016 23:52</t>
  </si>
  <si>
    <t>2/22/2016 22:09</t>
  </si>
  <si>
    <t>2/24/2016 14:35</t>
  </si>
  <si>
    <t>2/24/2016 15:25</t>
  </si>
  <si>
    <t>2/25/2016 16:35</t>
  </si>
  <si>
    <t>Heritage Pines</t>
  </si>
  <si>
    <t>2/25/2016 17:02</t>
  </si>
  <si>
    <t>2/25/2016 17:36</t>
  </si>
  <si>
    <t>2/25/2016 18:39</t>
  </si>
  <si>
    <t>2/26/2016 9:29</t>
  </si>
  <si>
    <t>2/26/2016 11:11</t>
  </si>
  <si>
    <t>2/26/2016 11:59</t>
  </si>
  <si>
    <t>2/26/2016 13:24</t>
  </si>
  <si>
    <t>2/26/2016 14:46</t>
  </si>
  <si>
    <t>2/26/2016 15:18</t>
  </si>
  <si>
    <t>2/26/2016 17:12</t>
  </si>
  <si>
    <t>2/28/2016 5:38</t>
  </si>
  <si>
    <t>Waverly Place</t>
  </si>
  <si>
    <t>2/28/2016 9:42</t>
  </si>
  <si>
    <t>2/29/2016 11:14</t>
  </si>
  <si>
    <t>2/29/2016 11:40</t>
  </si>
  <si>
    <t>2/29/2016 12:48</t>
  </si>
  <si>
    <t>2/29/2016 15:03</t>
  </si>
  <si>
    <t>2/29/2016 17:00</t>
  </si>
  <si>
    <t>Wayne Ridge</t>
  </si>
  <si>
    <t>Depot Historic District</t>
  </si>
  <si>
    <t>Weston</t>
  </si>
  <si>
    <t>East Austin</t>
  </si>
  <si>
    <t>West University</t>
  </si>
  <si>
    <t>South Congress</t>
  </si>
  <si>
    <t>Arts District</t>
  </si>
  <si>
    <t>The Drag</t>
  </si>
  <si>
    <t>Congress Ave District</t>
  </si>
  <si>
    <t>Red River District</t>
  </si>
  <si>
    <t>3/13/2016 9:07</t>
  </si>
  <si>
    <t>3/13/2016 9:37</t>
  </si>
  <si>
    <t>Convention Center District</t>
  </si>
  <si>
    <t>3/13/2016 18:23</t>
  </si>
  <si>
    <t>3/13/2016 18:43</t>
  </si>
  <si>
    <t>North Austin</t>
  </si>
  <si>
    <t>3/13/2016 20:07</t>
  </si>
  <si>
    <t>3/13/2016 20:28</t>
  </si>
  <si>
    <t>Georgian Acres</t>
  </si>
  <si>
    <t>3/13/2016 20:39</t>
  </si>
  <si>
    <t>3/13/2016 20:58</t>
  </si>
  <si>
    <t>3/13/2016 21:11</t>
  </si>
  <si>
    <t>3/13/2016 21:23</t>
  </si>
  <si>
    <t>Coxville</t>
  </si>
  <si>
    <t>3/13/2016 22:19</t>
  </si>
  <si>
    <t>3/13/2016 22:39</t>
  </si>
  <si>
    <t>3/14/2016 8:34</t>
  </si>
  <si>
    <t>3/14/2016 8:49</t>
  </si>
  <si>
    <t>3/14/2016 18:39</t>
  </si>
  <si>
    <t>3/14/2016 18:55</t>
  </si>
  <si>
    <t>3/15/2016 8:45</t>
  </si>
  <si>
    <t>3/15/2016 8:57</t>
  </si>
  <si>
    <t>3/15/2016 20:48</t>
  </si>
  <si>
    <t>3/15/2016 21:01</t>
  </si>
  <si>
    <t>3/16/2016 11:34</t>
  </si>
  <si>
    <t>3/16/2016 11:45</t>
  </si>
  <si>
    <t>3/16/2016 14:44</t>
  </si>
  <si>
    <t>3/16/2016 14:55</t>
  </si>
  <si>
    <t>3/16/2016 18:43</t>
  </si>
  <si>
    <t>3/16/2016 18:56</t>
  </si>
  <si>
    <t>3/17/2016 0:33</t>
  </si>
  <si>
    <t>3/17/2016 0:44</t>
  </si>
  <si>
    <t>3/17/2016 12:52</t>
  </si>
  <si>
    <t>3/17/2016 15:11</t>
  </si>
  <si>
    <t>Austin</t>
  </si>
  <si>
    <t>Katy</t>
  </si>
  <si>
    <t>3/17/2016 15:16</t>
  </si>
  <si>
    <t>3/17/2016 15:58</t>
  </si>
  <si>
    <t>3/17/2016 17:20</t>
  </si>
  <si>
    <t>3/17/2016 18:02</t>
  </si>
  <si>
    <t>Alief</t>
  </si>
  <si>
    <t>3/17/2016 18:47</t>
  </si>
  <si>
    <t>3/17/2016 19:09</t>
  </si>
  <si>
    <t>3/17/2016 20:57</t>
  </si>
  <si>
    <t>3/17/2016 21:28</t>
  </si>
  <si>
    <t>3/17/2016 21:48</t>
  </si>
  <si>
    <t>3/17/2016 22:04</t>
  </si>
  <si>
    <t>Sharpstown</t>
  </si>
  <si>
    <t>3/18/2016 7:15</t>
  </si>
  <si>
    <t>3/18/2016 7:21</t>
  </si>
  <si>
    <t>3/18/2016 8:35</t>
  </si>
  <si>
    <t>3/18/2016 8:43</t>
  </si>
  <si>
    <t>3/18/2016 18:24</t>
  </si>
  <si>
    <t>3/18/2016 19:08</t>
  </si>
  <si>
    <t>3/18/2016 19:23</t>
  </si>
  <si>
    <t>3/18/2016 19:29</t>
  </si>
  <si>
    <t>3/18/2016 21:01</t>
  </si>
  <si>
    <t>3/18/2016 21:15</t>
  </si>
  <si>
    <t>3/19/2016 9:10</t>
  </si>
  <si>
    <t>3/19/2016 9:25</t>
  </si>
  <si>
    <t>3/19/2016 12:50</t>
  </si>
  <si>
    <t>3/19/2016 13:13</t>
  </si>
  <si>
    <t>Sugar Land</t>
  </si>
  <si>
    <t>3/19/2016 14:01</t>
  </si>
  <si>
    <t>3/19/2016 14:57</t>
  </si>
  <si>
    <t>3/19/2016 15:34</t>
  </si>
  <si>
    <t>3/19/2016 16:38</t>
  </si>
  <si>
    <t>Galveston</t>
  </si>
  <si>
    <t>3/19/2016 17:17</t>
  </si>
  <si>
    <t>3/19/2016 17:32</t>
  </si>
  <si>
    <t>Port Bolivar</t>
  </si>
  <si>
    <t>3/19/2016 17:37</t>
  </si>
  <si>
    <t>3/19/2016 17:47</t>
  </si>
  <si>
    <t>3/19/2016 17:52</t>
  </si>
  <si>
    <t>3/19/2016 18:00</t>
  </si>
  <si>
    <t>3/19/2016 18:53</t>
  </si>
  <si>
    <t>3/19/2016 19:29</t>
  </si>
  <si>
    <t>3/19/2016 19:33</t>
  </si>
  <si>
    <t>3/19/2016 20:39</t>
  </si>
  <si>
    <t>3/20/2016 7:37</t>
  </si>
  <si>
    <t>3/20/2016 7:48</t>
  </si>
  <si>
    <t>Washington Avenue</t>
  </si>
  <si>
    <t>3/20/2016 11:42</t>
  </si>
  <si>
    <t>3/20/2016 11:56</t>
  </si>
  <si>
    <t>3/20/2016 17:08</t>
  </si>
  <si>
    <t>3/20/2016 17:34</t>
  </si>
  <si>
    <t>3/20/2016 18:34</t>
  </si>
  <si>
    <t>3/20/2016 18:40</t>
  </si>
  <si>
    <t>Briar Meadow</t>
  </si>
  <si>
    <t>3/20/2016 18:45</t>
  </si>
  <si>
    <t>3/20/2016 19:06</t>
  </si>
  <si>
    <t>3/21/2016 10:21</t>
  </si>
  <si>
    <t>3/21/2016 10:26</t>
  </si>
  <si>
    <t>3/21/2016 16:05</t>
  </si>
  <si>
    <t>3/21/2016 16:13</t>
  </si>
  <si>
    <t>3/21/2016 18:59</t>
  </si>
  <si>
    <t>3/21/2016 19:15</t>
  </si>
  <si>
    <t>3/21/2016 20:18</t>
  </si>
  <si>
    <t>3/21/2016 20:55</t>
  </si>
  <si>
    <t>3/22/2016 6:17</t>
  </si>
  <si>
    <t>3/22/2016 6:43</t>
  </si>
  <si>
    <t>Greater Greenspoint</t>
  </si>
  <si>
    <t>3/22/2016 12:06</t>
  </si>
  <si>
    <t>3/22/2016 12:24</t>
  </si>
  <si>
    <t>3/22/2016 19:12</t>
  </si>
  <si>
    <t>3/22/2016 19:25</t>
  </si>
  <si>
    <t>3/23/2016 14:37</t>
  </si>
  <si>
    <t>3/23/2016 14:42</t>
  </si>
  <si>
    <t>3/23/2016 14:53</t>
  </si>
  <si>
    <t>3/23/2016 14:59</t>
  </si>
  <si>
    <t>3/24/2016 19:47</t>
  </si>
  <si>
    <t>3/24/2016 19:54</t>
  </si>
  <si>
    <t>3/24/2016 20:34</t>
  </si>
  <si>
    <t>3/24/2016 20:40</t>
  </si>
  <si>
    <t>3/25/2016 13:24</t>
  </si>
  <si>
    <t>3/25/2016 16:22</t>
  </si>
  <si>
    <t>Latta</t>
  </si>
  <si>
    <t>3/25/2016 16:52</t>
  </si>
  <si>
    <t>3/25/2016 22:22</t>
  </si>
  <si>
    <t>Jacksonville</t>
  </si>
  <si>
    <t>3/25/2016 22:54</t>
  </si>
  <si>
    <t>3/26/2016 1:39</t>
  </si>
  <si>
    <t>Kissimmee</t>
  </si>
  <si>
    <t>3/26/2016 14:05</t>
  </si>
  <si>
    <t>3/26/2016 14:29</t>
  </si>
  <si>
    <t>Couples Glen</t>
  </si>
  <si>
    <t>Isles of Buena Vista</t>
  </si>
  <si>
    <t>3/26/2016 15:19</t>
  </si>
  <si>
    <t>3/26/2016 15:49</t>
  </si>
  <si>
    <t>Orlando</t>
  </si>
  <si>
    <t>3/26/2016 16:26</t>
  </si>
  <si>
    <t>3/26/2016 16:30</t>
  </si>
  <si>
    <t>Lake Reams</t>
  </si>
  <si>
    <t>3/27/2016 0:31</t>
  </si>
  <si>
    <t>3/27/2016 0:40</t>
  </si>
  <si>
    <t>3/27/2016 1:11</t>
  </si>
  <si>
    <t>3/27/2016 1:23</t>
  </si>
  <si>
    <t>3/27/2016 15:31</t>
  </si>
  <si>
    <t>3/27/2016 15:56</t>
  </si>
  <si>
    <t>3/27/2016 21:26</t>
  </si>
  <si>
    <t>3/27/2016 21:41</t>
  </si>
  <si>
    <t>3/27/2016 23:04</t>
  </si>
  <si>
    <t>3/27/2016 23:18</t>
  </si>
  <si>
    <t>3/28/2016 12:29</t>
  </si>
  <si>
    <t>3/28/2016 12:42</t>
  </si>
  <si>
    <t>3/28/2016 19:30</t>
  </si>
  <si>
    <t>3/28/2016 20:23</t>
  </si>
  <si>
    <t>Vista East</t>
  </si>
  <si>
    <t>3/28/2016 22:55</t>
  </si>
  <si>
    <t>3/28/2016 23:26</t>
  </si>
  <si>
    <t>3/29/2016 15:27</t>
  </si>
  <si>
    <t>3/29/2016 16:11</t>
  </si>
  <si>
    <t>3/29/2016 18:20</t>
  </si>
  <si>
    <t>3/29/2016 18:39</t>
  </si>
  <si>
    <t>Sand Lake Commons</t>
  </si>
  <si>
    <t>Sky Lake</t>
  </si>
  <si>
    <t>3/29/2016 20:29</t>
  </si>
  <si>
    <t>3/29/2016 20:44</t>
  </si>
  <si>
    <t>3/29/2016 23:04</t>
  </si>
  <si>
    <t>3/29/2016 23:21</t>
  </si>
  <si>
    <t>3/30/2016 22:05</t>
  </si>
  <si>
    <t>3/30/2016 22:55</t>
  </si>
  <si>
    <t>3/31/2016 12:47</t>
  </si>
  <si>
    <t>3/31/2016 13:22</t>
  </si>
  <si>
    <t>3/31/2016 14:37</t>
  </si>
  <si>
    <t>3/31/2016 15:09</t>
  </si>
  <si>
    <t>Daytona Beach</t>
  </si>
  <si>
    <t>Ridgeland</t>
  </si>
  <si>
    <t>Florence</t>
  </si>
  <si>
    <t>Meredith</t>
  </si>
  <si>
    <t>Cedar Hill</t>
  </si>
  <si>
    <t>4/14/2016 7:29</t>
  </si>
  <si>
    <t>4/14/2016 8:09</t>
  </si>
  <si>
    <t>Holly Springs</t>
  </si>
  <si>
    <t>4/14/2016 16:00</t>
  </si>
  <si>
    <t>4/14/2016 16:43</t>
  </si>
  <si>
    <t>4/15/2016 11:36</t>
  </si>
  <si>
    <t>4/15/2016 12:07</t>
  </si>
  <si>
    <t>4/15/2016 12:29</t>
  </si>
  <si>
    <t>4/15/2016 12:32</t>
  </si>
  <si>
    <t>Harden Place</t>
  </si>
  <si>
    <t>4/15/2016 14:31</t>
  </si>
  <si>
    <t>4/15/2016 15:01</t>
  </si>
  <si>
    <t>4/16/2016 12:59</t>
  </si>
  <si>
    <t>4/16/2016 13:17</t>
  </si>
  <si>
    <t>4/16/2016 15:10</t>
  </si>
  <si>
    <t>4/16/2016 15:26</t>
  </si>
  <si>
    <t>4/19/2016 17:44</t>
  </si>
  <si>
    <t>4/19/2016 18:08</t>
  </si>
  <si>
    <t>4/19/2016 19:57</t>
  </si>
  <si>
    <t>4/19/2016 20:19</t>
  </si>
  <si>
    <t>4/22/2016 8:25</t>
  </si>
  <si>
    <t>4/22/2016 9:04</t>
  </si>
  <si>
    <t>4/22/2016 10:10</t>
  </si>
  <si>
    <t>4/22/2016 10:40</t>
  </si>
  <si>
    <t>4/22/2016 12:08</t>
  </si>
  <si>
    <t>4/22/2016 12:28</t>
  </si>
  <si>
    <t>4/22/2016 13:02</t>
  </si>
  <si>
    <t>4/22/2016 13:26</t>
  </si>
  <si>
    <t>4/23/2016 17:03</t>
  </si>
  <si>
    <t>4/23/2016 17:16</t>
  </si>
  <si>
    <t>4/23/2016 18:49</t>
  </si>
  <si>
    <t>4/23/2016 19:05</t>
  </si>
  <si>
    <t>4/24/2016 19:07</t>
  </si>
  <si>
    <t>4/24/2016 19:16</t>
  </si>
  <si>
    <t>4/24/2016 19:46</t>
  </si>
  <si>
    <t>4/24/2016 19:52</t>
  </si>
  <si>
    <t>Chessington</t>
  </si>
  <si>
    <t>4/24/2016 21:41</t>
  </si>
  <si>
    <t>4/24/2016 21:50</t>
  </si>
  <si>
    <t>4/27/2016 13:30</t>
  </si>
  <si>
    <t>4/27/2016 13:40</t>
  </si>
  <si>
    <t>Burtrose</t>
  </si>
  <si>
    <t>4/27/2016 14:13</t>
  </si>
  <si>
    <t>4/27/2016 14:25</t>
  </si>
  <si>
    <t>4/28/2016 12:09</t>
  </si>
  <si>
    <t>4/28/2016 12:34</t>
  </si>
  <si>
    <t>4/28/2016 13:30</t>
  </si>
  <si>
    <t>4/28/2016 13:49</t>
  </si>
  <si>
    <t>4/28/2016 22:10</t>
  </si>
  <si>
    <t>4/28/2016 22:28</t>
  </si>
  <si>
    <t>4/29/2016 11:44</t>
  </si>
  <si>
    <t>4/29/2016 12:01</t>
  </si>
  <si>
    <t>4/29/2016 13:13</t>
  </si>
  <si>
    <t>4/29/2016 13:34</t>
  </si>
  <si>
    <t>4/29/2016 18:46</t>
  </si>
  <si>
    <t>4/29/2016 19:18</t>
  </si>
  <si>
    <t>4/29/2016 22:44</t>
  </si>
  <si>
    <t>4/29/2016 23:19</t>
  </si>
  <si>
    <t>4/30/2016 18:42</t>
  </si>
  <si>
    <t>4/30/2016 18:57</t>
  </si>
  <si>
    <t>4/30/2016 22:16</t>
  </si>
  <si>
    <t>4/30/2016 22:34</t>
  </si>
  <si>
    <t>Parkway</t>
  </si>
  <si>
    <t>Mcvan</t>
  </si>
  <si>
    <t>Capitol One</t>
  </si>
  <si>
    <t>University District</t>
  </si>
  <si>
    <t>Seattle</t>
  </si>
  <si>
    <t>Redmond</t>
  </si>
  <si>
    <t>Bellevue</t>
  </si>
  <si>
    <t>San Francisco</t>
  </si>
  <si>
    <t>Palo Alto</t>
  </si>
  <si>
    <t>Sunnyvale</t>
  </si>
  <si>
    <t>Newark</t>
  </si>
  <si>
    <t>Menlo Park</t>
  </si>
  <si>
    <t>5/14/2016 18:35</t>
  </si>
  <si>
    <t>5/14/2016 18:39</t>
  </si>
  <si>
    <t>5/14/2016 23:01</t>
  </si>
  <si>
    <t>5/14/2016 23:05</t>
  </si>
  <si>
    <t>5/17/2016 13:15</t>
  </si>
  <si>
    <t>5/17/2016 13:23</t>
  </si>
  <si>
    <t>5/17/2016 13:56</t>
  </si>
  <si>
    <t>5/17/2016 14:08</t>
  </si>
  <si>
    <t>5/17/2016 14:34</t>
  </si>
  <si>
    <t>5/17/2016 14:40</t>
  </si>
  <si>
    <t>5/18/2016 9:11</t>
  </si>
  <si>
    <t>5/18/2016 9:41</t>
  </si>
  <si>
    <t>5/18/2016 13:00</t>
  </si>
  <si>
    <t>5/18/2016 13:02</t>
  </si>
  <si>
    <t>5/19/2016 14:37</t>
  </si>
  <si>
    <t>5/19/2016 15:01</t>
  </si>
  <si>
    <t>Old City</t>
  </si>
  <si>
    <t>Parkway Museums</t>
  </si>
  <si>
    <t>5/20/2016 10:56</t>
  </si>
  <si>
    <t>5/20/2016 11:07</t>
  </si>
  <si>
    <t>Hog Island</t>
  </si>
  <si>
    <t>5/20/2016 15:43</t>
  </si>
  <si>
    <t>5/20/2016 16:12</t>
  </si>
  <si>
    <t>5/22/2016 15:39</t>
  </si>
  <si>
    <t>5/22/2016 15:46</t>
  </si>
  <si>
    <t>5/22/2016 18:46</t>
  </si>
  <si>
    <t>5/22/2016 18:53</t>
  </si>
  <si>
    <t>5/23/2016 20:19</t>
  </si>
  <si>
    <t>5/23/2016 20:27</t>
  </si>
  <si>
    <t>Savon Height</t>
  </si>
  <si>
    <t>5/23/2016 21:09</t>
  </si>
  <si>
    <t>5/23/2016 21:21</t>
  </si>
  <si>
    <t>5/27/2016 20:26</t>
  </si>
  <si>
    <t>5/27/2016 20:30</t>
  </si>
  <si>
    <t>Kildaire Farms</t>
  </si>
  <si>
    <t>5/27/2016 20:47</t>
  </si>
  <si>
    <t>5/27/2016 20:53</t>
  </si>
  <si>
    <t>Kilarney Woods</t>
  </si>
  <si>
    <t>5/27/2016 22:11</t>
  </si>
  <si>
    <t>5/27/2016 22:14</t>
  </si>
  <si>
    <t>5/28/2016 0:15</t>
  </si>
  <si>
    <t>5/28/2016 0:21</t>
  </si>
  <si>
    <t>5/28/2016 12:52</t>
  </si>
  <si>
    <t>5/28/2016 13:06</t>
  </si>
  <si>
    <t>5/28/2016 14:35</t>
  </si>
  <si>
    <t>5/28/2016 15:04</t>
  </si>
  <si>
    <t>5/31/2016 13:54</t>
  </si>
  <si>
    <t>5/31/2016 14:41</t>
  </si>
  <si>
    <t>5/31/2016 16:02</t>
  </si>
  <si>
    <t>5/31/2016 16:39</t>
  </si>
  <si>
    <t>5/31/2016 17:50</t>
  </si>
  <si>
    <t>5/31/2016 17:59</t>
  </si>
  <si>
    <t>Townes at Everett Crossing</t>
  </si>
  <si>
    <t>Huntington Woods</t>
  </si>
  <si>
    <t>Seaport</t>
  </si>
  <si>
    <t>Gramercy-Flatiron</t>
  </si>
  <si>
    <t>Medical Centre</t>
  </si>
  <si>
    <t>Tudor City</t>
  </si>
  <si>
    <t>Rose Hill</t>
  </si>
  <si>
    <t>Soho</t>
  </si>
  <si>
    <t>Tribeca</t>
  </si>
  <si>
    <t>Financial District</t>
  </si>
  <si>
    <t>Kips Bay</t>
  </si>
  <si>
    <t>6/13/2016 5:23</t>
  </si>
  <si>
    <t>6/13/2016 5:42</t>
  </si>
  <si>
    <t>6/13/2016 14:17</t>
  </si>
  <si>
    <t>6/13/2016 14:46</t>
  </si>
  <si>
    <t>Oakland</t>
  </si>
  <si>
    <t>Emeryville</t>
  </si>
  <si>
    <t>6/13/2016 18:08</t>
  </si>
  <si>
    <t>6/13/2016 18:47</t>
  </si>
  <si>
    <t>Berkeley</t>
  </si>
  <si>
    <t>6/13/2016 18:54</t>
  </si>
  <si>
    <t>6/13/2016 19:23</t>
  </si>
  <si>
    <t>6/13/2016 20:00</t>
  </si>
  <si>
    <t>6/13/2016 20:05</t>
  </si>
  <si>
    <t>6/14/2016 12:03</t>
  </si>
  <si>
    <t>6/14/2016 12:21</t>
  </si>
  <si>
    <t>6/14/2016 16:09</t>
  </si>
  <si>
    <t>6/14/2016 16:39</t>
  </si>
  <si>
    <t>6/14/2016 17:15</t>
  </si>
  <si>
    <t>6/14/2016 17:24</t>
  </si>
  <si>
    <t>6/14/2016 17:27</t>
  </si>
  <si>
    <t>6/14/2016 17:57</t>
  </si>
  <si>
    <t>Bay Farm Island</t>
  </si>
  <si>
    <t>6/15/2016 1:46</t>
  </si>
  <si>
    <t>6/15/2016 2:06</t>
  </si>
  <si>
    <t>Kenner</t>
  </si>
  <si>
    <t>New Orleans</t>
  </si>
  <si>
    <t>6/15/2016 15:26</t>
  </si>
  <si>
    <t>6/15/2016 15:34</t>
  </si>
  <si>
    <t>CBD</t>
  </si>
  <si>
    <t>Lower Garden District</t>
  </si>
  <si>
    <t>6/15/2016 16:37</t>
  </si>
  <si>
    <t>6/15/2016 17:02</t>
  </si>
  <si>
    <t>Lakeview</t>
  </si>
  <si>
    <t>6/15/2016 17:29</t>
  </si>
  <si>
    <t>6/15/2016 17:49</t>
  </si>
  <si>
    <t>Storyville</t>
  </si>
  <si>
    <t>6/15/2016 19:52</t>
  </si>
  <si>
    <t>6/15/2016 19:58</t>
  </si>
  <si>
    <t>Faubourg Marigny</t>
  </si>
  <si>
    <t>6/16/2016 13:36</t>
  </si>
  <si>
    <t>6/16/2016 14:30</t>
  </si>
  <si>
    <t>Metairie</t>
  </si>
  <si>
    <t>6/16/2016 14:42</t>
  </si>
  <si>
    <t>6/16/2016 14:46</t>
  </si>
  <si>
    <t>6/16/2016 15:17</t>
  </si>
  <si>
    <t>6/16/2016 15:41</t>
  </si>
  <si>
    <t>6/16/2016 19:39</t>
  </si>
  <si>
    <t>6/16/2016 19:56</t>
  </si>
  <si>
    <t>6/16/2016 21:43</t>
  </si>
  <si>
    <t>6/16/2016 21:56</t>
  </si>
  <si>
    <t>6/17/2016 16:11</t>
  </si>
  <si>
    <t>6/17/2016 16:44</t>
  </si>
  <si>
    <t>6/18/2016 0:29</t>
  </si>
  <si>
    <t>6/18/2016 0:51</t>
  </si>
  <si>
    <t>6/19/2016 2:39</t>
  </si>
  <si>
    <t>6/19/2016 2:50</t>
  </si>
  <si>
    <t>6/19/2016 5:51</t>
  </si>
  <si>
    <t>6/19/2016 6:00</t>
  </si>
  <si>
    <t>6/21/2016 15:39</t>
  </si>
  <si>
    <t>6/21/2016 16:08</t>
  </si>
  <si>
    <t>6/21/2016 17:11</t>
  </si>
  <si>
    <t>6/21/2016 18:02</t>
  </si>
  <si>
    <t>6/24/2016 10:41</t>
  </si>
  <si>
    <t>6/24/2016 10:57</t>
  </si>
  <si>
    <t>6/24/2016 11:54</t>
  </si>
  <si>
    <t>6/24/2016 12:01</t>
  </si>
  <si>
    <t>6/24/2016 12:19</t>
  </si>
  <si>
    <t>6/24/2016 12:37</t>
  </si>
  <si>
    <t>6/24/2016 12:50</t>
  </si>
  <si>
    <t>6/24/2016 13:12</t>
  </si>
  <si>
    <t>6/24/2016 13:18</t>
  </si>
  <si>
    <t>6/24/2016 13:27</t>
  </si>
  <si>
    <t>6/24/2016 14:01</t>
  </si>
  <si>
    <t>6/24/2016 14:20</t>
  </si>
  <si>
    <t>6/24/2016 20:44</t>
  </si>
  <si>
    <t>6/24/2016 21:02</t>
  </si>
  <si>
    <t>6/25/2016 9:03</t>
  </si>
  <si>
    <t>6/25/2016 9:12</t>
  </si>
  <si>
    <t>Bywater</t>
  </si>
  <si>
    <t>6/25/2016 9:15</t>
  </si>
  <si>
    <t>6/25/2016 10:08</t>
  </si>
  <si>
    <t>Chalmette</t>
  </si>
  <si>
    <t>6/25/2016 10:18</t>
  </si>
  <si>
    <t>6/25/2016 10:25</t>
  </si>
  <si>
    <t>Arabi</t>
  </si>
  <si>
    <t>6/25/2016 10:50</t>
  </si>
  <si>
    <t>6/25/2016 11:18</t>
  </si>
  <si>
    <t>6/25/2016 11:25</t>
  </si>
  <si>
    <t>6/25/2016 11:34</t>
  </si>
  <si>
    <t>Pontchartrain Shores</t>
  </si>
  <si>
    <t>6/25/2016 11:53</t>
  </si>
  <si>
    <t>6/25/2016 13:21</t>
  </si>
  <si>
    <t>6/25/2016 19:47</t>
  </si>
  <si>
    <t>6/25/2016 19:58</t>
  </si>
  <si>
    <t>Marigny</t>
  </si>
  <si>
    <t>6/25/2016 23:19</t>
  </si>
  <si>
    <t>6/25/2016 23:26</t>
  </si>
  <si>
    <t>6/26/2016 17:43</t>
  </si>
  <si>
    <t>6/26/2016 18:18</t>
  </si>
  <si>
    <t>6/26/2016 18:45</t>
  </si>
  <si>
    <t>6/26/2016 19:12</t>
  </si>
  <si>
    <t>6/26/2016 19:41</t>
  </si>
  <si>
    <t>6/26/2016 19:50</t>
  </si>
  <si>
    <t>6/26/2016 21:14</t>
  </si>
  <si>
    <t>6/26/2016 21:42</t>
  </si>
  <si>
    <t>6/27/2016 7:37</t>
  </si>
  <si>
    <t>6/27/2016 8:48</t>
  </si>
  <si>
    <t>Covington</t>
  </si>
  <si>
    <t>6/27/2016 8:51</t>
  </si>
  <si>
    <t>6/27/2016 9:00</t>
  </si>
  <si>
    <t>6/27/2016 9:05</t>
  </si>
  <si>
    <t>6/27/2016 9:33</t>
  </si>
  <si>
    <t>6/27/2016 9:43</t>
  </si>
  <si>
    <t>6/27/2016 10:08</t>
  </si>
  <si>
    <t>6/27/2016 10:22</t>
  </si>
  <si>
    <t>6/27/2016 10:39</t>
  </si>
  <si>
    <t>6/27/2016 10:51</t>
  </si>
  <si>
    <t>6/27/2016 10:58</t>
  </si>
  <si>
    <t>6/27/2016 11:06</t>
  </si>
  <si>
    <t>6/27/2016 11:24</t>
  </si>
  <si>
    <t>Mandeville</t>
  </si>
  <si>
    <t>6/27/2016 11:30</t>
  </si>
  <si>
    <t>6/27/2016 11:42</t>
  </si>
  <si>
    <t>6/27/2016 12:22</t>
  </si>
  <si>
    <t>6/27/2016 13:02</t>
  </si>
  <si>
    <t>6/27/2016 13:56</t>
  </si>
  <si>
    <t>6/27/2016 14:05</t>
  </si>
  <si>
    <t>6/27/2016 21:09</t>
  </si>
  <si>
    <t>6/27/2016 21:19</t>
  </si>
  <si>
    <t>6/28/2016 0:48</t>
  </si>
  <si>
    <t>6/28/2016 1:05</t>
  </si>
  <si>
    <t>6/28/2016 20:13</t>
  </si>
  <si>
    <t>6/28/2016 20:33</t>
  </si>
  <si>
    <t>6/28/2016 23:34</t>
  </si>
  <si>
    <t>6/28/2016 23:59</t>
  </si>
  <si>
    <t>6/29/2016 8:56</t>
  </si>
  <si>
    <t>6/29/2016 9:24</t>
  </si>
  <si>
    <t>6/29/2016 10:22</t>
  </si>
  <si>
    <t>6/29/2016 10:38</t>
  </si>
  <si>
    <t>6/29/2016 11:49</t>
  </si>
  <si>
    <t>6/29/2016 11:51</t>
  </si>
  <si>
    <t>6/29/2016 12:11</t>
  </si>
  <si>
    <t>6/29/2016 12:16</t>
  </si>
  <si>
    <t>6/29/2016 20:11</t>
  </si>
  <si>
    <t>6/29/2016 20:29</t>
  </si>
  <si>
    <t>6/29/2016 23:38</t>
  </si>
  <si>
    <t>6/30/2016 0:00</t>
  </si>
  <si>
    <t>6/30/2016 20:09</t>
  </si>
  <si>
    <t>6/30/2016 20:26</t>
  </si>
  <si>
    <t>Summerwinds</t>
  </si>
  <si>
    <t>Parkwood</t>
  </si>
  <si>
    <t>Pontchartrain Beach</t>
  </si>
  <si>
    <t>St Thomas</t>
  </si>
  <si>
    <t>7/13/2016 0:11</t>
  </si>
  <si>
    <t>7/13/2016 12:39</t>
  </si>
  <si>
    <t>7/13/2016 13:20</t>
  </si>
  <si>
    <t>7/13/2016 13:25</t>
  </si>
  <si>
    <t>7/13/2016 13:39</t>
  </si>
  <si>
    <t>7/13/2016 13:42</t>
  </si>
  <si>
    <t>7/13/2016 13:54</t>
  </si>
  <si>
    <t>7/14/2016 15:51</t>
  </si>
  <si>
    <t>7/14/2016 15:59</t>
  </si>
  <si>
    <t>7/14/2016 16:03</t>
  </si>
  <si>
    <t>7/14/2016 16:34</t>
  </si>
  <si>
    <t>7/14/2016 16:39</t>
  </si>
  <si>
    <t>7/14/2016 20:05</t>
  </si>
  <si>
    <t>Banner Elk</t>
  </si>
  <si>
    <t>7/15/2016 11:32</t>
  </si>
  <si>
    <t>7/15/2016 11:53</t>
  </si>
  <si>
    <t>7/15/2016 12:09</t>
  </si>
  <si>
    <t>7/15/2016 12:19</t>
  </si>
  <si>
    <t>7/15/2016 12:35</t>
  </si>
  <si>
    <t>7/15/2016 13:15</t>
  </si>
  <si>
    <t>Elk Park</t>
  </si>
  <si>
    <t>7/15/2016 15:03</t>
  </si>
  <si>
    <t>7/15/2016 15:33</t>
  </si>
  <si>
    <t>7/15/2016 15:40</t>
  </si>
  <si>
    <t>7/15/2016 15:52</t>
  </si>
  <si>
    <t>7/16/2016 13:14</t>
  </si>
  <si>
    <t>7/16/2016 14:10</t>
  </si>
  <si>
    <t>Newland</t>
  </si>
  <si>
    <t>7/16/2016 14:14</t>
  </si>
  <si>
    <t>7/16/2016 14:30</t>
  </si>
  <si>
    <t>7/16/2016 15:29</t>
  </si>
  <si>
    <t>7/16/2016 16:57</t>
  </si>
  <si>
    <t>Boone</t>
  </si>
  <si>
    <t>7/16/2016 19:42</t>
  </si>
  <si>
    <t>7/16/2016 20:35</t>
  </si>
  <si>
    <t>7/16/2016 21:45</t>
  </si>
  <si>
    <t>7/16/2016 22:18</t>
  </si>
  <si>
    <t>7/16/2016 22:50</t>
  </si>
  <si>
    <t>7/16/2016 23:03</t>
  </si>
  <si>
    <t>7/17/2016 11:23</t>
  </si>
  <si>
    <t>7/17/2016 11:50</t>
  </si>
  <si>
    <t>Charity ($)</t>
  </si>
  <si>
    <t>7/17/2016 12:20</t>
  </si>
  <si>
    <t>7/17/2016 15:25</t>
  </si>
  <si>
    <t>Commute</t>
  </si>
  <si>
    <t>7/18/2016 10:37</t>
  </si>
  <si>
    <t>7/18/2016 10:49</t>
  </si>
  <si>
    <t>Moving</t>
  </si>
  <si>
    <t>7/18/2016 10:54</t>
  </si>
  <si>
    <t>7/18/2016 11:15</t>
  </si>
  <si>
    <t>7/18/2016 11:25</t>
  </si>
  <si>
    <t>7/18/2016 11:36</t>
  </si>
  <si>
    <t>7/18/2016 11:40</t>
  </si>
  <si>
    <t>7/18/2016 11:56</t>
  </si>
  <si>
    <t>7/18/2016 17:12</t>
  </si>
  <si>
    <t>7/18/2016 17:33</t>
  </si>
  <si>
    <t>7/18/2016 18:32</t>
  </si>
  <si>
    <t>7/18/2016 18:47</t>
  </si>
  <si>
    <t>7/18/2016 19:07</t>
  </si>
  <si>
    <t>7/18/2016 19:14</t>
  </si>
  <si>
    <t>7/18/2016 20:28</t>
  </si>
  <si>
    <t>7/18/2016 20:32</t>
  </si>
  <si>
    <t>7/18/2016 21:11</t>
  </si>
  <si>
    <t>7/18/2016 21:19</t>
  </si>
  <si>
    <t>7/19/2016 10:35</t>
  </si>
  <si>
    <t>7/19/2016 10:51</t>
  </si>
  <si>
    <t>Stonewater</t>
  </si>
  <si>
    <t>7/19/2016 10:56</t>
  </si>
  <si>
    <t>7/19/2016 11:11</t>
  </si>
  <si>
    <t>Lexington Park at Amberly</t>
  </si>
  <si>
    <t>7/19/2016 11:30</t>
  </si>
  <si>
    <t>7/19/2016 12:00</t>
  </si>
  <si>
    <t>7/19/2016 17:14</t>
  </si>
  <si>
    <t>7/19/2016 17:24</t>
  </si>
  <si>
    <t>7/19/2016 17:50</t>
  </si>
  <si>
    <t>7/19/2016 18:08</t>
  </si>
  <si>
    <t>7/20/2016 17:12</t>
  </si>
  <si>
    <t>7/20/2016 17:24</t>
  </si>
  <si>
    <t>7/20/2016 17:50</t>
  </si>
  <si>
    <t>7/20/2016 17:57</t>
  </si>
  <si>
    <t>7/20/2016 18:16</t>
  </si>
  <si>
    <t>7/20/2016 18:20</t>
  </si>
  <si>
    <t>7/21/2016 17:17</t>
  </si>
  <si>
    <t>7/21/2016 17:23</t>
  </si>
  <si>
    <t>7/21/2016 17:42</t>
  </si>
  <si>
    <t>7/21/2016 17:51</t>
  </si>
  <si>
    <t>7/21/2016 18:27</t>
  </si>
  <si>
    <t>7/21/2016 18:42</t>
  </si>
  <si>
    <t>7/21/2016 19:30</t>
  </si>
  <si>
    <t>7/21/2016 19:39</t>
  </si>
  <si>
    <t>7/22/2016 10:42</t>
  </si>
  <si>
    <t>7/22/2016 10:53</t>
  </si>
  <si>
    <t>7/22/2016 11:11</t>
  </si>
  <si>
    <t>7/22/2016 11:25</t>
  </si>
  <si>
    <t>7/22/2016 11:37</t>
  </si>
  <si>
    <t>7/22/2016 12:00</t>
  </si>
  <si>
    <t>7/22/2016 12:14</t>
  </si>
  <si>
    <t>7/22/2016 12:31</t>
  </si>
  <si>
    <t>7/22/2016 13:21</t>
  </si>
  <si>
    <t>7/22/2016 13:42</t>
  </si>
  <si>
    <t>7/22/2016 14:27</t>
  </si>
  <si>
    <t>7/22/2016 14:43</t>
  </si>
  <si>
    <t>7/22/2016 15:49</t>
  </si>
  <si>
    <t>7/22/2016 16:22</t>
  </si>
  <si>
    <t>7/22/2016 18:33</t>
  </si>
  <si>
    <t>7/22/2016 18:51</t>
  </si>
  <si>
    <t>7/23/2016 14:27</t>
  </si>
  <si>
    <t>7/23/2016 14:44</t>
  </si>
  <si>
    <t>7/23/2016 14:48</t>
  </si>
  <si>
    <t>7/23/2016 15:12</t>
  </si>
  <si>
    <t>7/23/2016 15:15</t>
  </si>
  <si>
    <t>7/23/2016 15:27</t>
  </si>
  <si>
    <t>7/23/2016 15:50</t>
  </si>
  <si>
    <t>7/23/2016 16:10</t>
  </si>
  <si>
    <t>7/23/2016 20:17</t>
  </si>
  <si>
    <t>7/23/2016 20:33</t>
  </si>
  <si>
    <t>7/23/2016 23:18</t>
  </si>
  <si>
    <t>7/23/2016 23:43</t>
  </si>
  <si>
    <t>7/25/2016 10:35</t>
  </si>
  <si>
    <t>7/25/2016 10:41</t>
  </si>
  <si>
    <t>7/25/2016 10:47</t>
  </si>
  <si>
    <t>7/25/2016 10:58</t>
  </si>
  <si>
    <t>7/25/2016 11:04</t>
  </si>
  <si>
    <t>7/25/2016 11:33</t>
  </si>
  <si>
    <t>7/25/2016 11:37</t>
  </si>
  <si>
    <t>7/25/2016 11:44</t>
  </si>
  <si>
    <t>7/26/2016 15:43</t>
  </si>
  <si>
    <t>7/26/2016 15:49</t>
  </si>
  <si>
    <t>7/26/2016 17:14</t>
  </si>
  <si>
    <t>7/26/2016 17:24</t>
  </si>
  <si>
    <t>7/26/2016 20:52</t>
  </si>
  <si>
    <t>7/26/2016 21:00</t>
  </si>
  <si>
    <t>7/26/2016 22:31</t>
  </si>
  <si>
    <t>7/26/2016 22:39</t>
  </si>
  <si>
    <t>7/27/2016 19:08</t>
  </si>
  <si>
    <t>7/27/2016 19:20</t>
  </si>
  <si>
    <t>7/27/2016 21:34</t>
  </si>
  <si>
    <t>7/27/2016 21:57</t>
  </si>
  <si>
    <t>7/27/2016 22:00</t>
  </si>
  <si>
    <t>7/27/2016 22:26</t>
  </si>
  <si>
    <t>7/28/2016 0:04</t>
  </si>
  <si>
    <t>7/28/2016 0:09</t>
  </si>
  <si>
    <t>7/29/2016 15:45</t>
  </si>
  <si>
    <t>7/29/2016 15:47</t>
  </si>
  <si>
    <t>7/29/2016 17:27</t>
  </si>
  <si>
    <t>7/29/2016 17:45</t>
  </si>
  <si>
    <t>7/30/2016 17:02</t>
  </si>
  <si>
    <t>7/30/2016 17:27</t>
  </si>
  <si>
    <t>7/30/2016 21:16</t>
  </si>
  <si>
    <t>7/30/2016 21:41</t>
  </si>
  <si>
    <t>7/31/2016 17:30</t>
  </si>
  <si>
    <t>7/31/2016 17:37</t>
  </si>
  <si>
    <t>Arlington Park at Amberly</t>
  </si>
  <si>
    <t>Arlington</t>
  </si>
  <si>
    <t>Washington</t>
  </si>
  <si>
    <t>Kalorama Triangle</t>
  </si>
  <si>
    <t>K Street</t>
  </si>
  <si>
    <t>West End</t>
  </si>
  <si>
    <t>Northwest Rectangle</t>
  </si>
  <si>
    <t>Connecticut Avenue</t>
  </si>
  <si>
    <t>Columbia Heights</t>
  </si>
  <si>
    <t>Wake Forest</t>
  </si>
  <si>
    <t>8/13/2016 15:35</t>
  </si>
  <si>
    <t>8/13/2016 15:58</t>
  </si>
  <si>
    <t>8/15/2016 9:05</t>
  </si>
  <si>
    <t>8/15/2016 9:52</t>
  </si>
  <si>
    <t>8/15/2016 15:20</t>
  </si>
  <si>
    <t>8/15/2016 15:47</t>
  </si>
  <si>
    <t>8/15/2016 16:52</t>
  </si>
  <si>
    <t>8/15/2016 17:30</t>
  </si>
  <si>
    <t>8/15/2016 19:08</t>
  </si>
  <si>
    <t>8/15/2016 20:30</t>
  </si>
  <si>
    <t>8/16/2016 7:58</t>
  </si>
  <si>
    <t>8/16/2016 8:11</t>
  </si>
  <si>
    <t>8/16/2016 8:16</t>
  </si>
  <si>
    <t>8/16/2016 8:23</t>
  </si>
  <si>
    <t>8/16/2016 8:46</t>
  </si>
  <si>
    <t>8/16/2016 8:53</t>
  </si>
  <si>
    <t>8/16/2016 10:06</t>
  </si>
  <si>
    <t>8/16/2016 10:27</t>
  </si>
  <si>
    <t>8/16/2016 10:31</t>
  </si>
  <si>
    <t>8/16/2016 10:38</t>
  </si>
  <si>
    <t>8/16/2016 11:47</t>
  </si>
  <si>
    <t>8/16/2016 12:03</t>
  </si>
  <si>
    <t>8/16/2016 15:13</t>
  </si>
  <si>
    <t>8/16/2016 15:36</t>
  </si>
  <si>
    <t>8/17/2016 10:17</t>
  </si>
  <si>
    <t>8/17/2016 10:41</t>
  </si>
  <si>
    <t>8/17/2016 10:57</t>
  </si>
  <si>
    <t>8/17/2016 11:20</t>
  </si>
  <si>
    <t>8/17/2016 14:45</t>
  </si>
  <si>
    <t>8/17/2016 14:50</t>
  </si>
  <si>
    <t>8/17/2016 15:32</t>
  </si>
  <si>
    <t>8/17/2016 15:47</t>
  </si>
  <si>
    <t>8/17/2016 16:29</t>
  </si>
  <si>
    <t>8/17/2016 16:50</t>
  </si>
  <si>
    <t>8/17/2016 16:54</t>
  </si>
  <si>
    <t>8/17/2016 17:00</t>
  </si>
  <si>
    <t>8/17/2016 17:05</t>
  </si>
  <si>
    <t>8/17/2016 17:34</t>
  </si>
  <si>
    <t>8/17/2016 18:38</t>
  </si>
  <si>
    <t>8/17/2016 18:57</t>
  </si>
  <si>
    <t>8/18/2016 18:40</t>
  </si>
  <si>
    <t>8/18/2016 19:07</t>
  </si>
  <si>
    <t>8/19/2016 8:24</t>
  </si>
  <si>
    <t>8/19/2016 8:45</t>
  </si>
  <si>
    <t>8/19/2016 8:54</t>
  </si>
  <si>
    <t>8/19/2016 9:07</t>
  </si>
  <si>
    <t>8/19/2016 9:27</t>
  </si>
  <si>
    <t>8/19/2016 9:47</t>
  </si>
  <si>
    <t>8/19/2016 10:57</t>
  </si>
  <si>
    <t>8/19/2016 11:06</t>
  </si>
  <si>
    <t>8/19/2016 12:07</t>
  </si>
  <si>
    <t>8/19/2016 12:24</t>
  </si>
  <si>
    <t>8/19/2016 15:51</t>
  </si>
  <si>
    <t>8/19/2016 16:06</t>
  </si>
  <si>
    <t>8/19/2016 17:12</t>
  </si>
  <si>
    <t>8/19/2016 17:52</t>
  </si>
  <si>
    <t>8/21/2016 10:00</t>
  </si>
  <si>
    <t>8/21/2016 10:29</t>
  </si>
  <si>
    <t>Airport/Travel</t>
  </si>
  <si>
    <t>8/21/2016 14:05</t>
  </si>
  <si>
    <t>8/21/2016 14:34</t>
  </si>
  <si>
    <t>8/21/2016 16:30</t>
  </si>
  <si>
    <t>8/21/2016 17:02</t>
  </si>
  <si>
    <t>8/21/2016 18:10</t>
  </si>
  <si>
    <t>8/21/2016 18:17</t>
  </si>
  <si>
    <t>8/21/2016 18:48</t>
  </si>
  <si>
    <t>8/21/2016 19:24</t>
  </si>
  <si>
    <t>8/22/2016 10:00</t>
  </si>
  <si>
    <t>8/22/2016 10:44</t>
  </si>
  <si>
    <t>8/22/2016 11:07</t>
  </si>
  <si>
    <t>8/22/2016 11:23</t>
  </si>
  <si>
    <t>8/22/2016 12:36</t>
  </si>
  <si>
    <t>8/22/2016 12:49</t>
  </si>
  <si>
    <t>8/22/2016 13:02</t>
  </si>
  <si>
    <t>8/22/2016 13:11</t>
  </si>
  <si>
    <t>8/22/2016 14:07</t>
  </si>
  <si>
    <t>8/22/2016 14:31</t>
  </si>
  <si>
    <t>8/22/2016 15:14</t>
  </si>
  <si>
    <t>8/22/2016 15:49</t>
  </si>
  <si>
    <t>8/22/2016 15:59</t>
  </si>
  <si>
    <t>8/22/2016 17:16</t>
  </si>
  <si>
    <t>8/22/2016 19:58</t>
  </si>
  <si>
    <t>8/22/2016 20:50</t>
  </si>
  <si>
    <t>8/22/2016 20:53</t>
  </si>
  <si>
    <t>8/22/2016 21:31</t>
  </si>
  <si>
    <t>8/22/2016 22:31</t>
  </si>
  <si>
    <t>8/22/2016 23:00</t>
  </si>
  <si>
    <t>8/23/2016 8:10</t>
  </si>
  <si>
    <t>8/23/2016 8:25</t>
  </si>
  <si>
    <t>8/23/2016 9:35</t>
  </si>
  <si>
    <t>8/23/2016 10:09</t>
  </si>
  <si>
    <t>8/23/2016 12:59</t>
  </si>
  <si>
    <t>8/23/2016 13:15</t>
  </si>
  <si>
    <t>8/23/2016 13:19</t>
  </si>
  <si>
    <t>8/23/2016 13:30</t>
  </si>
  <si>
    <t>8/23/2016 13:49</t>
  </si>
  <si>
    <t>8/23/2016 14:04</t>
  </si>
  <si>
    <t>8/23/2016 15:07</t>
  </si>
  <si>
    <t>8/23/2016 15:12</t>
  </si>
  <si>
    <t>8/23/2016 15:15</t>
  </si>
  <si>
    <t>8/23/2016 17:16</t>
  </si>
  <si>
    <t>8/23/2016 17:42</t>
  </si>
  <si>
    <t>8/23/2016 18:31</t>
  </si>
  <si>
    <t>8/24/2016 12:05</t>
  </si>
  <si>
    <t>8/24/2016 12:56</t>
  </si>
  <si>
    <t>8/24/2016 13:01</t>
  </si>
  <si>
    <t>8/24/2016 15:25</t>
  </si>
  <si>
    <t>8/25/2016 15:17</t>
  </si>
  <si>
    <t>8/25/2016 16:22</t>
  </si>
  <si>
    <t>8/25/2016 16:36</t>
  </si>
  <si>
    <t>8/25/2016 16:56</t>
  </si>
  <si>
    <t>8/25/2016 17:19</t>
  </si>
  <si>
    <t>8/25/2016 19:20</t>
  </si>
  <si>
    <t>8/25/2016 19:25</t>
  </si>
  <si>
    <t>8/25/2016 19:57</t>
  </si>
  <si>
    <t>Lahore</t>
  </si>
  <si>
    <t>8/25/2016 22:58</t>
  </si>
  <si>
    <t>8/25/2016 23:16</t>
  </si>
  <si>
    <t>8/26/2016 9:06</t>
  </si>
  <si>
    <t>8/26/2016 9:20</t>
  </si>
  <si>
    <t>8/26/2016 11:14</t>
  </si>
  <si>
    <t>8/26/2016 11:26</t>
  </si>
  <si>
    <t>8/26/2016 12:10</t>
  </si>
  <si>
    <t>8/26/2016 12:20</t>
  </si>
  <si>
    <t>8/26/2016 14:10</t>
  </si>
  <si>
    <t>8/26/2016 14:33</t>
  </si>
  <si>
    <t>8/26/2016 15:23</t>
  </si>
  <si>
    <t>8/26/2016 15:35</t>
  </si>
  <si>
    <t>8/26/2016 15:59</t>
  </si>
  <si>
    <t>8/26/2016 16:24</t>
  </si>
  <si>
    <t>8/26/2016 16:55</t>
  </si>
  <si>
    <t>8/26/2016 17:12</t>
  </si>
  <si>
    <t>8/26/2016 18:42</t>
  </si>
  <si>
    <t>8/26/2016 18:56</t>
  </si>
  <si>
    <t>8/26/2016 19:31</t>
  </si>
  <si>
    <t>8/26/2016 19:54</t>
  </si>
  <si>
    <t>8/26/2016 20:06</t>
  </si>
  <si>
    <t>8/26/2016 20:16</t>
  </si>
  <si>
    <t>8/27/2016 9:34</t>
  </si>
  <si>
    <t>8/27/2016 10:11</t>
  </si>
  <si>
    <t>8/27/2016 11:47</t>
  </si>
  <si>
    <t>8/27/2016 12:06</t>
  </si>
  <si>
    <t>8/27/2016 12:12</t>
  </si>
  <si>
    <t>8/27/2016 12:17</t>
  </si>
  <si>
    <t>8/27/2016 14:01</t>
  </si>
  <si>
    <t>8/27/2016 15:44</t>
  </si>
  <si>
    <t>8/27/2016 16:15</t>
  </si>
  <si>
    <t>8/27/2016 19:13</t>
  </si>
  <si>
    <t>8/28/2016 9:57</t>
  </si>
  <si>
    <t>8/28/2016 10:18</t>
  </si>
  <si>
    <t>8/28/2016 16:39</t>
  </si>
  <si>
    <t>8/28/2016 16:55</t>
  </si>
  <si>
    <t>8/28/2016 17:37</t>
  </si>
  <si>
    <t>8/28/2016 17:55</t>
  </si>
  <si>
    <t>8/28/2016 21:15</t>
  </si>
  <si>
    <t>8/28/2016 21:59</t>
  </si>
  <si>
    <t>8/29/2016 12:02</t>
  </si>
  <si>
    <t>8/29/2016 12:31</t>
  </si>
  <si>
    <t>8/29/2016 13:38</t>
  </si>
  <si>
    <t>8/29/2016 13:48</t>
  </si>
  <si>
    <t>8/29/2016 14:31</t>
  </si>
  <si>
    <t>8/29/2016 14:41</t>
  </si>
  <si>
    <t>8/29/2016 14:49</t>
  </si>
  <si>
    <t>8/29/2016 15:04</t>
  </si>
  <si>
    <t>8/29/2016 15:49</t>
  </si>
  <si>
    <t>8/29/2016 15:59</t>
  </si>
  <si>
    <t>8/29/2016 16:06</t>
  </si>
  <si>
    <t>8/29/2016 16:21</t>
  </si>
  <si>
    <t>8/29/2016 17:24</t>
  </si>
  <si>
    <t>8/29/2016 17:41</t>
  </si>
  <si>
    <t>8/29/2016 18:27</t>
  </si>
  <si>
    <t>8/29/2016 18:36</t>
  </si>
  <si>
    <t>8/30/2016 11:53</t>
  </si>
  <si>
    <t>8/30/2016 12:05</t>
  </si>
  <si>
    <t>8/30/2016 12:46</t>
  </si>
  <si>
    <t>8/30/2016 13:09</t>
  </si>
  <si>
    <t>8/30/2016 13:25</t>
  </si>
  <si>
    <t>8/30/2016 13:46</t>
  </si>
  <si>
    <t>8/30/2016 14:00</t>
  </si>
  <si>
    <t>8/30/2016 14:20</t>
  </si>
  <si>
    <t>8/30/2016 17:27</t>
  </si>
  <si>
    <t>8/30/2016 18:09</t>
  </si>
  <si>
    <t>9/13/2016 16:56</t>
  </si>
  <si>
    <t>9/13/2016 17:02</t>
  </si>
  <si>
    <t>9/14/2016 11:55</t>
  </si>
  <si>
    <t>9/14/2016 11:59</t>
  </si>
  <si>
    <t>9/15/2016 20:33</t>
  </si>
  <si>
    <t>9/15/2016 20:38</t>
  </si>
  <si>
    <t>9/18/2016 18:07</t>
  </si>
  <si>
    <t>9/18/2016 18:11</t>
  </si>
  <si>
    <t>9/19/2016 6:18</t>
  </si>
  <si>
    <t>9/19/2016 6:49</t>
  </si>
  <si>
    <t>9/19/2016 14:40</t>
  </si>
  <si>
    <t>9/19/2016 14:56</t>
  </si>
  <si>
    <t>9/19/2016 16:23</t>
  </si>
  <si>
    <t>9/19/2016 16:31</t>
  </si>
  <si>
    <t>9/19/2016 17:36</t>
  </si>
  <si>
    <t>9/19/2016 18:20</t>
  </si>
  <si>
    <t>9/19/2016 19:10</t>
  </si>
  <si>
    <t>9/19/2016 19:49</t>
  </si>
  <si>
    <t>9/20/2016 11:29</t>
  </si>
  <si>
    <t>9/20/2016 11:48</t>
  </si>
  <si>
    <t>9/20/2016 20:47</t>
  </si>
  <si>
    <t>9/20/2016 22:47</t>
  </si>
  <si>
    <t>9/23/2016 13:15</t>
  </si>
  <si>
    <t>9/23/2016 13:40</t>
  </si>
  <si>
    <t>Karachi</t>
  </si>
  <si>
    <t>9/24/2016 14:34</t>
  </si>
  <si>
    <t>9/24/2016 15:15</t>
  </si>
  <si>
    <t>9/24/2016 20:29</t>
  </si>
  <si>
    <t>9/24/2016 20:33</t>
  </si>
  <si>
    <t>9/27/2016 8:33</t>
  </si>
  <si>
    <t>9/27/2016 8:35</t>
  </si>
  <si>
    <t>9/27/2016 13:21</t>
  </si>
  <si>
    <t>9/27/2016 14:43</t>
  </si>
  <si>
    <t>9/27/2016 19:14</t>
  </si>
  <si>
    <t>9/27/2016 20:34</t>
  </si>
  <si>
    <t>9/27/2016 21:01</t>
  </si>
  <si>
    <t>9/28/2016 2:37</t>
  </si>
  <si>
    <t>9/28/2016 17:21</t>
  </si>
  <si>
    <t>9/28/2016 19:36</t>
  </si>
  <si>
    <t>9/29/2016 16:13</t>
  </si>
  <si>
    <t>9/29/2016 18:47</t>
  </si>
  <si>
    <t>9/30/2016 17:39</t>
  </si>
  <si>
    <t>9/30/2016 20:20</t>
  </si>
  <si>
    <t>9/30/2016 20:59</t>
  </si>
  <si>
    <t>9/30/2016 22:34</t>
  </si>
  <si>
    <t>10/13/2016 11:20</t>
  </si>
  <si>
    <t>10/13/2016 11:58</t>
  </si>
  <si>
    <t>10/13/2016 12:08</t>
  </si>
  <si>
    <t>10/13/2016 12:14</t>
  </si>
  <si>
    <t>10/13/2016 13:37</t>
  </si>
  <si>
    <t>10/13/2016 13:46</t>
  </si>
  <si>
    <t>10/13/2016 16:08</t>
  </si>
  <si>
    <t>10/13/2016 16:53</t>
  </si>
  <si>
    <t>10/14/2016 8:50</t>
  </si>
  <si>
    <t>10/14/2016 9:44</t>
  </si>
  <si>
    <t>10/14/2016 10:16</t>
  </si>
  <si>
    <t>10/14/2016 10:52</t>
  </si>
  <si>
    <t>10/14/2016 15:56</t>
  </si>
  <si>
    <t>10/14/2016 16:20</t>
  </si>
  <si>
    <t>10/14/2016 23:54</t>
  </si>
  <si>
    <t>10/15/2016 2:06</t>
  </si>
  <si>
    <t>10/15/2016 22:28</t>
  </si>
  <si>
    <t>10/15/2016 22:48</t>
  </si>
  <si>
    <t>10/16/2016 0:01</t>
  </si>
  <si>
    <t>10/16/2016 0:14</t>
  </si>
  <si>
    <t>10/16/2016 12:52</t>
  </si>
  <si>
    <t>10/16/2016 13:11</t>
  </si>
  <si>
    <t>10/16/2016 14:40</t>
  </si>
  <si>
    <t>10/16/2016 15:01</t>
  </si>
  <si>
    <t>10/16/2016 15:10</t>
  </si>
  <si>
    <t>10/16/2016 15:19</t>
  </si>
  <si>
    <t>10/16/2016 19:27</t>
  </si>
  <si>
    <t>10/16/2016 19:33</t>
  </si>
  <si>
    <t>10/16/2016 20:30</t>
  </si>
  <si>
    <t>10/16/2016 20:39</t>
  </si>
  <si>
    <t>10/16/2016 21:34</t>
  </si>
  <si>
    <t>10/16/2016 21:41</t>
  </si>
  <si>
    <t>10/17/2016 15:19</t>
  </si>
  <si>
    <t>10/17/2016 15:57</t>
  </si>
  <si>
    <t>10/17/2016 16:29</t>
  </si>
  <si>
    <t>10/17/2016 17:11</t>
  </si>
  <si>
    <t>10/17/2016 18:02</t>
  </si>
  <si>
    <t>10/17/2016 18:16</t>
  </si>
  <si>
    <t>10/17/2016 18:31</t>
  </si>
  <si>
    <t>10/17/2016 18:45</t>
  </si>
  <si>
    <t>10/17/2016 19:08</t>
  </si>
  <si>
    <t>10/17/2016 19:25</t>
  </si>
  <si>
    <t>10/18/2016 8:12</t>
  </si>
  <si>
    <t>10/18/2016 8:22</t>
  </si>
  <si>
    <t>10/18/2016 8:53</t>
  </si>
  <si>
    <t>10/18/2016 9:02</t>
  </si>
  <si>
    <t>10/18/2016 10:41</t>
  </si>
  <si>
    <t>10/18/2016 11:09</t>
  </si>
  <si>
    <t>10/18/2016 18:12</t>
  </si>
  <si>
    <t>10/18/2016 18:33</t>
  </si>
  <si>
    <t>10/18/2016 19:03</t>
  </si>
  <si>
    <t>10/18/2016 19:13</t>
  </si>
  <si>
    <t>10/18/2016 20:31</t>
  </si>
  <si>
    <t>10/18/2016 20:37</t>
  </si>
  <si>
    <t>10/19/2016 9:33</t>
  </si>
  <si>
    <t>10/19/2016 9:47</t>
  </si>
  <si>
    <t>10/19/2016 9:54</t>
  </si>
  <si>
    <t>10/19/2016 10:21</t>
  </si>
  <si>
    <t>10/19/2016 13:45</t>
  </si>
  <si>
    <t>10/19/2016 13:56</t>
  </si>
  <si>
    <t>SOMISSPO</t>
  </si>
  <si>
    <t>French Quarter</t>
  </si>
  <si>
    <t>10/19/2016 14:02</t>
  </si>
  <si>
    <t>10/19/2016 14:31</t>
  </si>
  <si>
    <t>10/19/2016 15:44</t>
  </si>
  <si>
    <t>10/19/2016 16:02</t>
  </si>
  <si>
    <t>West Berkeley</t>
  </si>
  <si>
    <t>North Berkeley Hills</t>
  </si>
  <si>
    <t>10/19/2016 16:06</t>
  </si>
  <si>
    <t>10/19/2016 16:19</t>
  </si>
  <si>
    <t>Southside</t>
  </si>
  <si>
    <t>10/19/2016 16:33</t>
  </si>
  <si>
    <t>10/19/2016 17:01</t>
  </si>
  <si>
    <t>10/20/2016 11:26</t>
  </si>
  <si>
    <t>10/20/2016 11:34</t>
  </si>
  <si>
    <t>10/20/2016 12:19</t>
  </si>
  <si>
    <t>10/20/2016 13:17</t>
  </si>
  <si>
    <t>San Jose</t>
  </si>
  <si>
    <t>10/20/2016 20:44</t>
  </si>
  <si>
    <t>10/20/2016 21:37</t>
  </si>
  <si>
    <t>10/21/2016 10:06</t>
  </si>
  <si>
    <t>10/21/2016 10:21</t>
  </si>
  <si>
    <t>10/22/2016 0:54</t>
  </si>
  <si>
    <t>10/22/2016 1:09</t>
  </si>
  <si>
    <t>10/22/2016 13:26</t>
  </si>
  <si>
    <t>10/22/2016 14:03</t>
  </si>
  <si>
    <t>10/22/2016 17:08</t>
  </si>
  <si>
    <t>10/22/2016 17:55</t>
  </si>
  <si>
    <t>10/23/2016 9:24</t>
  </si>
  <si>
    <t>10/23/2016 10:05</t>
  </si>
  <si>
    <t>10/23/2016 12:17</t>
  </si>
  <si>
    <t>10/23/2016 12:59</t>
  </si>
  <si>
    <t>10/23/2016 19:04</t>
  </si>
  <si>
    <t>10/23/2016 19:14</t>
  </si>
  <si>
    <t>10/23/2016 21:10</t>
  </si>
  <si>
    <t>10/23/2016 21:25</t>
  </si>
  <si>
    <t>10/24/2016 14:57</t>
  </si>
  <si>
    <t>10/24/2016 15:26</t>
  </si>
  <si>
    <t>10/24/2016 15:33</t>
  </si>
  <si>
    <t>10/24/2016 16:13</t>
  </si>
  <si>
    <t>10/24/2016 16:34</t>
  </si>
  <si>
    <t>10/24/2016 16:41</t>
  </si>
  <si>
    <t>10/25/2016 13:27</t>
  </si>
  <si>
    <t>10/25/2016 14:08</t>
  </si>
  <si>
    <t>10/25/2016 15:04</t>
  </si>
  <si>
    <t>10/25/2016 15:11</t>
  </si>
  <si>
    <t>Eagle Rock</t>
  </si>
  <si>
    <t>10/25/2016 15:16</t>
  </si>
  <si>
    <t>10/25/2016 15:33</t>
  </si>
  <si>
    <t>10/25/2016 20:00</t>
  </si>
  <si>
    <t>10/25/2016 20:11</t>
  </si>
  <si>
    <t>10/25/2016 20:54</t>
  </si>
  <si>
    <t>10/25/2016 21:03</t>
  </si>
  <si>
    <t>10/25/2016 22:24</t>
  </si>
  <si>
    <t>10/25/2016 22:45</t>
  </si>
  <si>
    <t>10/26/2016 19:25</t>
  </si>
  <si>
    <t>10/26/2016 19:31</t>
  </si>
  <si>
    <t>10/26/2016 20:53</t>
  </si>
  <si>
    <t>10/26/2016 21:03</t>
  </si>
  <si>
    <t>10/27/2016 18:51</t>
  </si>
  <si>
    <t>10/27/2016 19:16</t>
  </si>
  <si>
    <t>10/27/2016 19:20</t>
  </si>
  <si>
    <t>10/27/2016 19:35</t>
  </si>
  <si>
    <t>10/27/2016 19:52</t>
  </si>
  <si>
    <t>10/27/2016 20:21</t>
  </si>
  <si>
    <t>10/27/2016 20:47</t>
  </si>
  <si>
    <t>10/27/2016 20:54</t>
  </si>
  <si>
    <t>10/27/2016 21:26</t>
  </si>
  <si>
    <t>10/27/2016 21:48</t>
  </si>
  <si>
    <t>10/28/2016 11:34</t>
  </si>
  <si>
    <t>10/28/2016 11:52</t>
  </si>
  <si>
    <t>10/28/2016 13:06</t>
  </si>
  <si>
    <t>10/28/2016 13:36</t>
  </si>
  <si>
    <t>10/28/2016 15:53</t>
  </si>
  <si>
    <t>10/28/2016 17:59</t>
  </si>
  <si>
    <t>Winston Salem</t>
  </si>
  <si>
    <t>10/28/2016 18:13</t>
  </si>
  <si>
    <t>10/28/2016 20:07</t>
  </si>
  <si>
    <t>Asheville</t>
  </si>
  <si>
    <t>10/28/2016 20:13</t>
  </si>
  <si>
    <t>10/28/2016 22:00</t>
  </si>
  <si>
    <t>Topton</t>
  </si>
  <si>
    <t>10/29/2016 15:22</t>
  </si>
  <si>
    <t>10/29/2016 17:05</t>
  </si>
  <si>
    <t>Hayesville</t>
  </si>
  <si>
    <t>10/29/2016 17:13</t>
  </si>
  <si>
    <t>10/29/2016 19:19</t>
  </si>
  <si>
    <t>10/30/2016 7:49</t>
  </si>
  <si>
    <t>10/30/2016 8:30</t>
  </si>
  <si>
    <t>Bryson City</t>
  </si>
  <si>
    <t>10/30/2016 9:07</t>
  </si>
  <si>
    <t>10/30/2016 10:09</t>
  </si>
  <si>
    <t>10/30/2016 10:11</t>
  </si>
  <si>
    <t>10/30/2016 10:38</t>
  </si>
  <si>
    <t>10/30/2016 10:51</t>
  </si>
  <si>
    <t>10/30/2016 11:21</t>
  </si>
  <si>
    <t>10/30/2016 12:24</t>
  </si>
  <si>
    <t>10/30/2016 12:35</t>
  </si>
  <si>
    <t>Almond</t>
  </si>
  <si>
    <t>10/30/2016 12:58</t>
  </si>
  <si>
    <t>10/30/2016 13:18</t>
  </si>
  <si>
    <t>10/30/2016 13:24</t>
  </si>
  <si>
    <t>10/30/2016 14:37</t>
  </si>
  <si>
    <t>10/30/2016 15:22</t>
  </si>
  <si>
    <t>10/30/2016 18:23</t>
  </si>
  <si>
    <t>Mebane</t>
  </si>
  <si>
    <t>10/30/2016 18:26</t>
  </si>
  <si>
    <t>10/30/2016 19:39</t>
  </si>
  <si>
    <t>10/31/2016 18:11</t>
  </si>
  <si>
    <t>10/31/2016 18:20</t>
  </si>
  <si>
    <t>10/31/2016 18:47</t>
  </si>
  <si>
    <t>10/31/2016 19:16</t>
  </si>
  <si>
    <t>10/31/2016 20:18</t>
  </si>
  <si>
    <t>10/31/2016 20:44</t>
  </si>
  <si>
    <t>10/31/2016 21:45</t>
  </si>
  <si>
    <t>10/31/2016 22:10</t>
  </si>
  <si>
    <t>Santa Clara</t>
  </si>
  <si>
    <t>Agnew</t>
  </si>
  <si>
    <t>Cory</t>
  </si>
  <si>
    <t>Renaissance</t>
  </si>
  <si>
    <t>Central</t>
  </si>
  <si>
    <t>NOMA</t>
  </si>
  <si>
    <t>Sunnyside</t>
  </si>
  <si>
    <t>Ingleside</t>
  </si>
  <si>
    <t>Potrero Flats</t>
  </si>
  <si>
    <t>Tenderloin</t>
  </si>
  <si>
    <t>College Avenue</t>
  </si>
  <si>
    <t>South</t>
  </si>
  <si>
    <t>Southwest Berkeley</t>
  </si>
  <si>
    <t>11/13/2016 8:54</t>
  </si>
  <si>
    <t>11/13/2016 9:02</t>
  </si>
  <si>
    <t>11/13/2016 9:27</t>
  </si>
  <si>
    <t>11/13/2016 9:53</t>
  </si>
  <si>
    <t>11/13/2016 10:31</t>
  </si>
  <si>
    <t>11/13/2016 10:37</t>
  </si>
  <si>
    <t>11/13/2016 11:04</t>
  </si>
  <si>
    <t>11/13/2016 11:16</t>
  </si>
  <si>
    <t>11/13/2016 12:22</t>
  </si>
  <si>
    <t>11/13/2016 12:51</t>
  </si>
  <si>
    <t>11/13/2016 13:05</t>
  </si>
  <si>
    <t>11/13/2016 13:11</t>
  </si>
  <si>
    <t>South Berkeley</t>
  </si>
  <si>
    <t>11/13/2016 13:14</t>
  </si>
  <si>
    <t>11/13/2016 13:18</t>
  </si>
  <si>
    <t>11/13/2016 14:35</t>
  </si>
  <si>
    <t>11/13/2016 14:46</t>
  </si>
  <si>
    <t>11/13/2016 15:14</t>
  </si>
  <si>
    <t>11/13/2016 15:24</t>
  </si>
  <si>
    <t>11/13/2016 15:47</t>
  </si>
  <si>
    <t>11/13/2016 15:59</t>
  </si>
  <si>
    <t>11/14/2016 11:24</t>
  </si>
  <si>
    <t>11/14/2016 12:13</t>
  </si>
  <si>
    <t>Mountain View</t>
  </si>
  <si>
    <t>11/14/2016 13:40</t>
  </si>
  <si>
    <t>11/14/2016 14:33</t>
  </si>
  <si>
    <t>11/14/2016 15:27</t>
  </si>
  <si>
    <t>11/14/2016 15:36</t>
  </si>
  <si>
    <t>11/14/2016 20:19</t>
  </si>
  <si>
    <t>11/14/2016 20:30</t>
  </si>
  <si>
    <t>11/15/2016 13:59</t>
  </si>
  <si>
    <t>11/15/2016 14:06</t>
  </si>
  <si>
    <t>11/15/2016 14:09</t>
  </si>
  <si>
    <t>11/15/2016 14:26</t>
  </si>
  <si>
    <t>11/15/2016 20:44</t>
  </si>
  <si>
    <t>11/15/2016 21:00</t>
  </si>
  <si>
    <t>11/16/2016 20:21</t>
  </si>
  <si>
    <t>11/16/2016 20:27</t>
  </si>
  <si>
    <t>El Cerrito</t>
  </si>
  <si>
    <t>11/16/2016 22:52</t>
  </si>
  <si>
    <t>11/16/2016 23:02</t>
  </si>
  <si>
    <t>11/17/2016 10:13</t>
  </si>
  <si>
    <t>11/17/2016 10:44</t>
  </si>
  <si>
    <t>11/18/2016 20:09</t>
  </si>
  <si>
    <t>11/18/2016 20:19</t>
  </si>
  <si>
    <t>11/18/2016 21:23</t>
  </si>
  <si>
    <t>11/18/2016 21:34</t>
  </si>
  <si>
    <t>11/18/2016 21:56</t>
  </si>
  <si>
    <t>11/18/2016 22:21</t>
  </si>
  <si>
    <t>Krendle Woods</t>
  </si>
  <si>
    <t>11/19/2016 13:51</t>
  </si>
  <si>
    <t>11/19/2016 14:10</t>
  </si>
  <si>
    <t>11/19/2016 14:30</t>
  </si>
  <si>
    <t>11/19/2016 14:51</t>
  </si>
  <si>
    <t>11/19/2016 16:01</t>
  </si>
  <si>
    <t>11/19/2016 16:06</t>
  </si>
  <si>
    <t>11/19/2016 16:27</t>
  </si>
  <si>
    <t>11/19/2016 16:41</t>
  </si>
  <si>
    <t>11/19/2016 17:41</t>
  </si>
  <si>
    <t>11/19/2016 17:54</t>
  </si>
  <si>
    <t>11/19/2016 21:14</t>
  </si>
  <si>
    <t>11/19/2016 21:35</t>
  </si>
  <si>
    <t>11/20/2016 10:27</t>
  </si>
  <si>
    <t>11/20/2016 11:32</t>
  </si>
  <si>
    <t>11/20/2016 11:58</t>
  </si>
  <si>
    <t>11/20/2016 12:28</t>
  </si>
  <si>
    <t>11/20/2016 14:58</t>
  </si>
  <si>
    <t>11/20/2016 15:07</t>
  </si>
  <si>
    <t>11/20/2016 17:45</t>
  </si>
  <si>
    <t>11/20/2016 18:37</t>
  </si>
  <si>
    <t>11/21/2016 13:37</t>
  </si>
  <si>
    <t>11/21/2016 13:49</t>
  </si>
  <si>
    <t>11/21/2016 14:34</t>
  </si>
  <si>
    <t>11/21/2016 14:44</t>
  </si>
  <si>
    <t>11/21/2016 17:50</t>
  </si>
  <si>
    <t>11/21/2016 18:04</t>
  </si>
  <si>
    <t>11/21/2016 18:18</t>
  </si>
  <si>
    <t>11/21/2016 18:27</t>
  </si>
  <si>
    <t>11/21/2016 18:43</t>
  </si>
  <si>
    <t>11/21/2016 18:51</t>
  </si>
  <si>
    <t>11/22/2016 15:12</t>
  </si>
  <si>
    <t>11/22/2016 15:27</t>
  </si>
  <si>
    <t>11/22/2016 15:31</t>
  </si>
  <si>
    <t>11/22/2016 15:44</t>
  </si>
  <si>
    <t>11/22/2016 15:51</t>
  </si>
  <si>
    <t>11/22/2016 16:43</t>
  </si>
  <si>
    <t>11/22/2016 18:18</t>
  </si>
  <si>
    <t>11/22/2016 18:28</t>
  </si>
  <si>
    <t>11/22/2016 21:02</t>
  </si>
  <si>
    <t>11/22/2016 21:14</t>
  </si>
  <si>
    <t>11/23/2016 15:34</t>
  </si>
  <si>
    <t>11/23/2016 15:50</t>
  </si>
  <si>
    <t>11/23/2016 16:18</t>
  </si>
  <si>
    <t>11/23/2016 16:29</t>
  </si>
  <si>
    <t>11/23/2016 16:49</t>
  </si>
  <si>
    <t>11/23/2016 17:00</t>
  </si>
  <si>
    <t>11/23/2016 18:37</t>
  </si>
  <si>
    <t>11/23/2016 18:47</t>
  </si>
  <si>
    <t>11/25/2016 11:47</t>
  </si>
  <si>
    <t>11/25/2016 12:04</t>
  </si>
  <si>
    <t>11/25/2016 13:13</t>
  </si>
  <si>
    <t>11/25/2016 13:31</t>
  </si>
  <si>
    <t>11/26/2016 15:54</t>
  </si>
  <si>
    <t>11/26/2016 15:59</t>
  </si>
  <si>
    <t>11/26/2016 17:00</t>
  </si>
  <si>
    <t>11/26/2016 17:12</t>
  </si>
  <si>
    <t>11/26/2016 17:36</t>
  </si>
  <si>
    <t>11/26/2016 17:56</t>
  </si>
  <si>
    <t>11/26/2016 18:29</t>
  </si>
  <si>
    <t>11/26/2016 19:04</t>
  </si>
  <si>
    <t>11/26/2016 19:47</t>
  </si>
  <si>
    <t>11/26/2016 19:54</t>
  </si>
  <si>
    <t>11/27/2016 15:59</t>
  </si>
  <si>
    <t>11/27/2016 16:06</t>
  </si>
  <si>
    <t>11/27/2016 18:55</t>
  </si>
  <si>
    <t>11/27/2016 19:09</t>
  </si>
  <si>
    <t>11/30/2016 11:03</t>
  </si>
  <si>
    <t>11/30/2016 11:34</t>
  </si>
  <si>
    <t>11/30/2016 11:53</t>
  </si>
  <si>
    <t>11/30/2016 12:35</t>
  </si>
  <si>
    <t>11/30/2016 12:43</t>
  </si>
  <si>
    <t>11/30/2016 12:53</t>
  </si>
  <si>
    <t>Wake Co.</t>
  </si>
  <si>
    <t>Fuquay-Varina</t>
  </si>
  <si>
    <t>12/13/2016 18:19</t>
  </si>
  <si>
    <t>12/13/2016 18:29</t>
  </si>
  <si>
    <t>12/13/2016 20:20</t>
  </si>
  <si>
    <t>12/13/2016 20:29</t>
  </si>
  <si>
    <t>12/14/2016 16:52</t>
  </si>
  <si>
    <t>12/14/2016 17:10</t>
  </si>
  <si>
    <t>12/14/2016 17:22</t>
  </si>
  <si>
    <t>12/14/2016 17:34</t>
  </si>
  <si>
    <t>12/14/2016 17:50</t>
  </si>
  <si>
    <t>12/14/2016 18:00</t>
  </si>
  <si>
    <t>12/14/2016 20:24</t>
  </si>
  <si>
    <t>12/14/2016 20:40</t>
  </si>
  <si>
    <t>12/15/2016 14:20</t>
  </si>
  <si>
    <t>12/15/2016 14:54</t>
  </si>
  <si>
    <t>12/17/2016 15:38</t>
  </si>
  <si>
    <t>12/17/2016 16:12</t>
  </si>
  <si>
    <t>12/17/2016 17:19</t>
  </si>
  <si>
    <t>12/17/2016 17:59</t>
  </si>
  <si>
    <t>12/18/2016 13:03</t>
  </si>
  <si>
    <t>12/18/2016 13:41</t>
  </si>
  <si>
    <t>12/18/2016 16:38</t>
  </si>
  <si>
    <t>12/18/2016 17:25</t>
  </si>
  <si>
    <t>12/18/2016 20:35</t>
  </si>
  <si>
    <t>12/18/2016 21:04</t>
  </si>
  <si>
    <t>12/19/2016 9:08</t>
  </si>
  <si>
    <t>12/19/2016 9:36</t>
  </si>
  <si>
    <t>12/19/2016 10:15</t>
  </si>
  <si>
    <t>12/19/2016 10:34</t>
  </si>
  <si>
    <t>Rawalpindi</t>
  </si>
  <si>
    <t>12/19/2016 13:04</t>
  </si>
  <si>
    <t>12/19/2016 13:08</t>
  </si>
  <si>
    <t>12/19/2016 13:24</t>
  </si>
  <si>
    <t>12/19/2016 13:35</t>
  </si>
  <si>
    <t>12/19/2016 14:07</t>
  </si>
  <si>
    <t>12/19/2016 14:15</t>
  </si>
  <si>
    <t>12/19/2016 14:18</t>
  </si>
  <si>
    <t>12/19/2016 14:32</t>
  </si>
  <si>
    <t>12/19/2016 14:37</t>
  </si>
  <si>
    <t>12/19/2016 14:50</t>
  </si>
  <si>
    <t>12/19/2016 15:09</t>
  </si>
  <si>
    <t>12/19/2016 15:38</t>
  </si>
  <si>
    <t>12/19/2016 16:50</t>
  </si>
  <si>
    <t>12/19/2016 17:09</t>
  </si>
  <si>
    <t>12/19/2016 19:05</t>
  </si>
  <si>
    <t>12/19/2016 19:17</t>
  </si>
  <si>
    <t>12/19/2016 19:55</t>
  </si>
  <si>
    <t>12/19/2016 20:30</t>
  </si>
  <si>
    <t>12/20/2016 8:49</t>
  </si>
  <si>
    <t>12/20/2016 9:24</t>
  </si>
  <si>
    <t>12/20/2016 10:30</t>
  </si>
  <si>
    <t>12/20/2016 10:48</t>
  </si>
  <si>
    <t>12/20/2016 11:30</t>
  </si>
  <si>
    <t>12/20/2016 12:17</t>
  </si>
  <si>
    <t>12/20/2016 13:14</t>
  </si>
  <si>
    <t>12/20/2016 13:20</t>
  </si>
  <si>
    <t>12/20/2016 13:54</t>
  </si>
  <si>
    <t>12/20/2016 14:17</t>
  </si>
  <si>
    <t>12/20/2016 16:14</t>
  </si>
  <si>
    <t>12/20/2016 16:24</t>
  </si>
  <si>
    <t>12/20/2016 16:56</t>
  </si>
  <si>
    <t>12/20/2016 17:07</t>
  </si>
  <si>
    <t>12/20/2016 18:47</t>
  </si>
  <si>
    <t>12/20/2016 19:21</t>
  </si>
  <si>
    <t>12/21/2016 7:42</t>
  </si>
  <si>
    <t>12/21/2016 8:10</t>
  </si>
  <si>
    <t>12/21/2016 10:14</t>
  </si>
  <si>
    <t>12/21/2016 10:30</t>
  </si>
  <si>
    <t>12/21/2016 11:35</t>
  </si>
  <si>
    <t>12/21/2016 11:49</t>
  </si>
  <si>
    <t>12/21/2016 12:51</t>
  </si>
  <si>
    <t>12/21/2016 13:33</t>
  </si>
  <si>
    <t>12/21/2016 15:38</t>
  </si>
  <si>
    <t>12/21/2016 15:49</t>
  </si>
  <si>
    <t>12/21/2016 15:55</t>
  </si>
  <si>
    <t>12/21/2016 16:05</t>
  </si>
  <si>
    <t>12/21/2016 17:45</t>
  </si>
  <si>
    <t>12/21/2016 17:54</t>
  </si>
  <si>
    <t>12/21/2016 17:59</t>
  </si>
  <si>
    <t>12/21/2016 18:31</t>
  </si>
  <si>
    <t>12/21/2016 19:49</t>
  </si>
  <si>
    <t>12/21/2016 20:35</t>
  </si>
  <si>
    <t>12/21/2016 20:56</t>
  </si>
  <si>
    <t>12/21/2016 23:42</t>
  </si>
  <si>
    <t>12/22/2016 15:40</t>
  </si>
  <si>
    <t>12/22/2016 16:38</t>
  </si>
  <si>
    <t>12/22/2016 17:04</t>
  </si>
  <si>
    <t>12/22/2016 17:20</t>
  </si>
  <si>
    <t>12/22/2016 17:27</t>
  </si>
  <si>
    <t>12/22/2016 17:53</t>
  </si>
  <si>
    <t>12/22/2016 17:56</t>
  </si>
  <si>
    <t>12/22/2016 18:29</t>
  </si>
  <si>
    <t>12/22/2016 18:31</t>
  </si>
  <si>
    <t>12/22/2016 18:37</t>
  </si>
  <si>
    <t>12/22/2016 18:38</t>
  </si>
  <si>
    <t>12/22/2016 18:47</t>
  </si>
  <si>
    <t>12/22/2016 19:04</t>
  </si>
  <si>
    <t>12/22/2016 19:50</t>
  </si>
  <si>
    <t>12/22/2016 21:41</t>
  </si>
  <si>
    <t>12/22/2016 21:53</t>
  </si>
  <si>
    <t>12/22/2016 23:27</t>
  </si>
  <si>
    <t>12/22/2016 23:32</t>
  </si>
  <si>
    <t>12/23/2016 9:21</t>
  </si>
  <si>
    <t>12/23/2016 9:41</t>
  </si>
  <si>
    <t>12/23/2016 11:33</t>
  </si>
  <si>
    <t>12/23/2016 11:58</t>
  </si>
  <si>
    <t>12/23/2016 14:15</t>
  </si>
  <si>
    <t>12/23/2016 15:25</t>
  </si>
  <si>
    <t>12/23/2016 16:23</t>
  </si>
  <si>
    <t>12/23/2016 16:34</t>
  </si>
  <si>
    <t>12/23/2016 17:34</t>
  </si>
  <si>
    <t>12/23/2016 18:27</t>
  </si>
  <si>
    <t>12/24/2016 7:43</t>
  </si>
  <si>
    <t>12/24/2016 8:04</t>
  </si>
  <si>
    <t>12/24/2016 9:19</t>
  </si>
  <si>
    <t>12/24/2016 9:55</t>
  </si>
  <si>
    <t>12/24/2016 10:34</t>
  </si>
  <si>
    <t>12/24/2016 10:53</t>
  </si>
  <si>
    <t>12/24/2016 12:51</t>
  </si>
  <si>
    <t>12/24/2016 12:53</t>
  </si>
  <si>
    <t>12/24/2016 13:08</t>
  </si>
  <si>
    <t>12/24/2016 13:29</t>
  </si>
  <si>
    <t>12/24/2016 17:12</t>
  </si>
  <si>
    <t>12/24/2016 17:27</t>
  </si>
  <si>
    <t>12/24/2016 19:12</t>
  </si>
  <si>
    <t>12/24/2016 19:27</t>
  </si>
  <si>
    <t>12/24/2016 22:04</t>
  </si>
  <si>
    <t>12/24/2016 22:09</t>
  </si>
  <si>
    <t>12/25/2016 0:10</t>
  </si>
  <si>
    <t>12/25/2016 0:14</t>
  </si>
  <si>
    <t>12/25/2016 19:15</t>
  </si>
  <si>
    <t>12/25/2016 19:26</t>
  </si>
  <si>
    <t>12/25/2016 21:58</t>
  </si>
  <si>
    <t>12/25/2016 22:04</t>
  </si>
  <si>
    <t>12/26/2016 8:30</t>
  </si>
  <si>
    <t>12/26/2016 8:41</t>
  </si>
  <si>
    <t>12/26/2016 9:05</t>
  </si>
  <si>
    <t>12/26/2016 9:19</t>
  </si>
  <si>
    <t>12/26/2016 10:15</t>
  </si>
  <si>
    <t>12/26/2016 10:36</t>
  </si>
  <si>
    <t>12/26/2016 11:29</t>
  </si>
  <si>
    <t>12/26/2016 11:42</t>
  </si>
  <si>
    <t>12/26/2016 13:09</t>
  </si>
  <si>
    <t>12/26/2016 13:43</t>
  </si>
  <si>
    <t>12/27/2016 7:02</t>
  </si>
  <si>
    <t>12/27/2016 7:14</t>
  </si>
  <si>
    <t>Kar?chi</t>
  </si>
  <si>
    <t>12/27/2016 8:37</t>
  </si>
  <si>
    <t>12/27/2016 8:59</t>
  </si>
  <si>
    <t>12/27/2016 12:53</t>
  </si>
  <si>
    <t>12/27/2016 12:57</t>
  </si>
  <si>
    <t>12/27/2016 14:49</t>
  </si>
  <si>
    <t>12/27/2016 15:03</t>
  </si>
  <si>
    <t>12/27/2016 16:34</t>
  </si>
  <si>
    <t>12/27/2016 16:58</t>
  </si>
  <si>
    <t>12/27/2016 19:19</t>
  </si>
  <si>
    <t>12/27/2016 19:50</t>
  </si>
  <si>
    <t>12/28/2016 8:34</t>
  </si>
  <si>
    <t>12/28/2016 9:06</t>
  </si>
  <si>
    <t>12/28/2016 11:42</t>
  </si>
  <si>
    <t>12/28/2016 12:12</t>
  </si>
  <si>
    <t>12/28/2016 13:53</t>
  </si>
  <si>
    <t>12/28/2016 14:01</t>
  </si>
  <si>
    <t>12/28/2016 15:04</t>
  </si>
  <si>
    <t>12/28/2016 15:39</t>
  </si>
  <si>
    <t>12/28/2016 17:02</t>
  </si>
  <si>
    <t>12/28/2016 17:16</t>
  </si>
  <si>
    <t>12/28/2016 18:33</t>
  </si>
  <si>
    <t>12/28/2016 18:56</t>
  </si>
  <si>
    <t>12/28/2016 22:44</t>
  </si>
  <si>
    <t>12/28/2016 23:18</t>
  </si>
  <si>
    <t>12/29/2016 0:49</t>
  </si>
  <si>
    <t>12/29/2016 1:06</t>
  </si>
  <si>
    <t>12/29/2016 9:44</t>
  </si>
  <si>
    <t>12/29/2016 10:07</t>
  </si>
  <si>
    <t>12/29/2016 11:28</t>
  </si>
  <si>
    <t>12/29/2016 12:00</t>
  </si>
  <si>
    <t>12/29/2016 12:25</t>
  </si>
  <si>
    <t>12/29/2016 12:33</t>
  </si>
  <si>
    <t>12/29/2016 13:17</t>
  </si>
  <si>
    <t>12/29/2016 13:24</t>
  </si>
  <si>
    <t>12/29/2016 13:56</t>
  </si>
  <si>
    <t>12/29/2016 14:11</t>
  </si>
  <si>
    <t>12/29/2016 14:42</t>
  </si>
  <si>
    <t>12/29/2016 14:58</t>
  </si>
  <si>
    <t>12/29/2016 15:05</t>
  </si>
  <si>
    <t>12/29/2016 15:16</t>
  </si>
  <si>
    <t>12/29/2016 18:59</t>
  </si>
  <si>
    <t>12/29/2016 19:14</t>
  </si>
  <si>
    <t>12/29/2016 19:50</t>
  </si>
  <si>
    <t>12/29/2016 20:10</t>
  </si>
  <si>
    <t>12/29/2016 20:15</t>
  </si>
  <si>
    <t>12/29/2016 20:45</t>
  </si>
  <si>
    <t>12/29/2016 20:53</t>
  </si>
  <si>
    <t>12/29/2016 21:42</t>
  </si>
  <si>
    <t>12/29/2016 23:14</t>
  </si>
  <si>
    <t>12/29/2016 23:47</t>
  </si>
  <si>
    <t>12/30/2016 10:15</t>
  </si>
  <si>
    <t>12/30/2016 10:33</t>
  </si>
  <si>
    <t>12/30/2016 11:31</t>
  </si>
  <si>
    <t>12/30/2016 11:56</t>
  </si>
  <si>
    <t>12/30/2016 15:41</t>
  </si>
  <si>
    <t>12/30/2016 16:03</t>
  </si>
  <si>
    <t>12/30/2016 16:45</t>
  </si>
  <si>
    <t>12/30/2016 17:08</t>
  </si>
  <si>
    <t>12/30/2016 23:06</t>
  </si>
  <si>
    <t>12/30/2016 23:10</t>
  </si>
  <si>
    <t>12/31/2016 1:07</t>
  </si>
  <si>
    <t>12/31/2016 1:14</t>
  </si>
  <si>
    <t>12/31/2016 13:24</t>
  </si>
  <si>
    <t>12/31/2016 13:42</t>
  </si>
  <si>
    <t>12/31/2016 15:03</t>
  </si>
  <si>
    <t>12/31/2016 15:38</t>
  </si>
  <si>
    <t>12/31/2016 21:32</t>
  </si>
  <si>
    <t>12/31/2016 21:50</t>
  </si>
  <si>
    <t>Katunayake</t>
  </si>
  <si>
    <t>Gampaha</t>
  </si>
  <si>
    <t>12/31/2016 22:08</t>
  </si>
  <si>
    <t>12/31/2016 23:51</t>
  </si>
  <si>
    <t>Ilukwatta</t>
  </si>
  <si>
    <t>Start Date</t>
  </si>
  <si>
    <t>Start Time</t>
  </si>
  <si>
    <t>End Date</t>
  </si>
  <si>
    <t>End Time</t>
  </si>
  <si>
    <t>Speed</t>
  </si>
  <si>
    <t>2/14/2016 0:50</t>
  </si>
  <si>
    <t>2/14/2016 14:07</t>
  </si>
  <si>
    <t>2/14/2016 14:46</t>
  </si>
  <si>
    <t>2/14/2016 16:35</t>
  </si>
  <si>
    <t>2/14/2016 17:06</t>
  </si>
  <si>
    <t>2/16/2016 3:21</t>
  </si>
  <si>
    <t>2/16/2016 8:29</t>
  </si>
  <si>
    <t>Time Diff.</t>
  </si>
  <si>
    <t>Hours Diff.</t>
  </si>
  <si>
    <t>PURPOSE</t>
  </si>
  <si>
    <t>Grand Total</t>
  </si>
  <si>
    <t>10</t>
  </si>
  <si>
    <t>11</t>
  </si>
  <si>
    <t>12</t>
  </si>
  <si>
    <t>15</t>
  </si>
  <si>
    <t>17</t>
  </si>
  <si>
    <t>19</t>
  </si>
  <si>
    <t>20</t>
  </si>
  <si>
    <t>21</t>
  </si>
  <si>
    <t>22</t>
  </si>
  <si>
    <t>Count of CATEGORY*</t>
  </si>
  <si>
    <t>Count of START*</t>
  </si>
  <si>
    <t>Count of STOP*</t>
  </si>
  <si>
    <t>Stop Point</t>
  </si>
  <si>
    <t>Start Point</t>
  </si>
  <si>
    <t>Questions</t>
  </si>
  <si>
    <t>Q2 - What is the standard deviation of "MILES" traveled?</t>
  </si>
  <si>
    <t>Q3 - What is the most common "PURPOSE" for trips?</t>
  </si>
  <si>
    <t>Q3 - What is the average speed for Uber rides in dataset?</t>
  </si>
  <si>
    <t>Q4 - Which day of the week has the highest number of Uber rides?</t>
  </si>
  <si>
    <t>Q5 – Which Time of the day has highest number of Uber rides?</t>
  </si>
  <si>
    <t>Q6 - Are there any outliers in the dataset, such as extremely long or short rides?</t>
  </si>
  <si>
    <t>Q7 - Can you analyze the distribution of rides among different categories (CATEGORY*)?</t>
  </si>
  <si>
    <t>Q8 - What are the most frequently used start and stop locations (START* and STOP*)?</t>
  </si>
  <si>
    <t>Q9 - Is there a noticeable difference in ride patterns on weekdays vs. weekends?</t>
  </si>
  <si>
    <t>Q10 - Can you identify any trends or patterns in Uber ride data over time?</t>
  </si>
  <si>
    <t>Categories</t>
  </si>
  <si>
    <t>Month</t>
  </si>
  <si>
    <r>
      <t xml:space="preserve">:==&gt; The average "Time Diff" between the start and end times of the trips is </t>
    </r>
    <r>
      <rPr>
        <b/>
        <sz val="16"/>
        <color rgb="FFFF0000"/>
        <rFont val="Calibri"/>
        <family val="2"/>
        <scheme val="minor"/>
      </rPr>
      <t>"0.3890 Hour"</t>
    </r>
    <r>
      <rPr>
        <b/>
        <sz val="16"/>
        <color rgb="FF00B050"/>
        <rFont val="Calibri"/>
        <family val="2"/>
        <scheme val="minor"/>
      </rPr>
      <t>.</t>
    </r>
  </si>
  <si>
    <r>
      <t xml:space="preserve">:==&gt; The standard deviation of "MILES" travelled is </t>
    </r>
    <r>
      <rPr>
        <b/>
        <sz val="16"/>
        <color rgb="FFFF0000"/>
        <rFont val="Calibri"/>
        <family val="2"/>
        <scheme val="minor"/>
      </rPr>
      <t>21.56</t>
    </r>
    <r>
      <rPr>
        <b/>
        <sz val="16"/>
        <color rgb="FF00B050"/>
        <rFont val="Calibri"/>
        <family val="2"/>
        <scheme val="minor"/>
      </rPr>
      <t>.</t>
    </r>
  </si>
  <si>
    <r>
      <t xml:space="preserve">:==&gt; The average speed for Uber rides is </t>
    </r>
    <r>
      <rPr>
        <b/>
        <sz val="16"/>
        <color rgb="FFFF0000"/>
        <rFont val="Calibri"/>
        <family val="2"/>
        <scheme val="minor"/>
      </rPr>
      <t>26.83 Miles/Hour</t>
    </r>
    <r>
      <rPr>
        <b/>
        <sz val="16"/>
        <color rgb="FF00B050"/>
        <rFont val="Calibri"/>
        <family val="2"/>
        <scheme val="minor"/>
      </rPr>
      <t>.</t>
    </r>
  </si>
  <si>
    <r>
      <t>:==&gt; Maximum Rides</t>
    </r>
    <r>
      <rPr>
        <b/>
        <sz val="16"/>
        <color rgb="FFFF0000"/>
        <rFont val="Calibri"/>
        <family val="2"/>
        <scheme val="minor"/>
      </rPr>
      <t>(184 Rides)</t>
    </r>
    <r>
      <rPr>
        <b/>
        <sz val="16"/>
        <color rgb="FF00B050"/>
        <rFont val="Calibri"/>
        <family val="2"/>
        <scheme val="minor"/>
      </rPr>
      <t xml:space="preserve"> have  taken on </t>
    </r>
    <r>
      <rPr>
        <b/>
        <sz val="16"/>
        <color rgb="FFFF0000"/>
        <rFont val="Calibri"/>
        <family val="2"/>
        <scheme val="minor"/>
      </rPr>
      <t>“FRIDAY”</t>
    </r>
    <r>
      <rPr>
        <b/>
        <sz val="16"/>
        <color rgb="FF00B050"/>
        <rFont val="Calibri"/>
        <family val="2"/>
        <scheme val="minor"/>
      </rPr>
      <t>.</t>
    </r>
  </si>
  <si>
    <r>
      <t>:==&gt; Most Common time for taking rides is between</t>
    </r>
    <r>
      <rPr>
        <b/>
        <sz val="16"/>
        <color rgb="FFFF0000"/>
        <rFont val="Calibri"/>
        <family val="2"/>
        <scheme val="minor"/>
      </rPr>
      <t xml:space="preserve"> “15:00:00” and “16:00:00” (97 Rides).</t>
    </r>
  </si>
  <si>
    <r>
      <t xml:space="preserve">:==&gt; Yes, There are many outliers in which </t>
    </r>
    <r>
      <rPr>
        <b/>
        <sz val="16"/>
        <color rgb="FFFF0000"/>
        <rFont val="Calibri"/>
        <family val="2"/>
        <scheme val="minor"/>
      </rPr>
      <t>“310.3 Miles”</t>
    </r>
    <r>
      <rPr>
        <b/>
        <sz val="16"/>
        <color rgb="FF00B050"/>
        <rFont val="Calibri"/>
        <family val="2"/>
        <scheme val="minor"/>
      </rPr>
      <t xml:space="preserve"> is</t>
    </r>
    <r>
      <rPr>
        <b/>
        <sz val="16"/>
        <color rgb="FFFF0000"/>
        <rFont val="Calibri"/>
        <family val="2"/>
        <scheme val="minor"/>
      </rPr>
      <t xml:space="preserve"> longest ride</t>
    </r>
    <r>
      <rPr>
        <b/>
        <sz val="16"/>
        <color rgb="FF00B050"/>
        <rFont val="Calibri"/>
        <family val="2"/>
        <scheme val="minor"/>
      </rPr>
      <t>.</t>
    </r>
  </si>
  <si>
    <r>
      <t xml:space="preserve">:==&gt; Most of rides have been taken for </t>
    </r>
    <r>
      <rPr>
        <b/>
        <sz val="16"/>
        <color rgb="FFFF0000"/>
        <rFont val="Calibri"/>
        <family val="2"/>
        <scheme val="minor"/>
      </rPr>
      <t>“BUSINESS”</t>
    </r>
    <r>
      <rPr>
        <b/>
        <sz val="16"/>
        <color rgb="FF00B050"/>
        <rFont val="Calibri"/>
        <family val="2"/>
        <scheme val="minor"/>
      </rPr>
      <t xml:space="preserve"> </t>
    </r>
    <r>
      <rPr>
        <b/>
        <sz val="16"/>
        <color rgb="FFFF0000"/>
        <rFont val="Calibri"/>
        <family val="2"/>
        <scheme val="minor"/>
      </rPr>
      <t>(1073 Rides, 93%)</t>
    </r>
    <r>
      <rPr>
        <b/>
        <sz val="16"/>
        <color rgb="FF00B050"/>
        <rFont val="Calibri"/>
        <family val="2"/>
        <scheme val="minor"/>
      </rPr>
      <t xml:space="preserve"> category.</t>
    </r>
  </si>
  <si>
    <r>
      <t xml:space="preserve">:==&gt; The most frequently used start and stop locations is </t>
    </r>
    <r>
      <rPr>
        <b/>
        <sz val="16"/>
        <color rgb="FFFF0000"/>
        <rFont val="Calibri"/>
        <family val="2"/>
        <scheme val="minor"/>
      </rPr>
      <t>“Cary”</t>
    </r>
    <r>
      <rPr>
        <b/>
        <sz val="16"/>
        <color rgb="FF00B050"/>
        <rFont val="Calibri"/>
        <family val="2"/>
        <scheme val="minor"/>
      </rPr>
      <t xml:space="preserve">(Almost </t>
    </r>
    <r>
      <rPr>
        <b/>
        <sz val="16"/>
        <color rgb="FFFF0000"/>
        <rFont val="Calibri"/>
        <family val="2"/>
        <scheme val="minor"/>
      </rPr>
      <t>200 Rides</t>
    </r>
    <r>
      <rPr>
        <b/>
        <sz val="16"/>
        <color rgb="FF00B050"/>
        <rFont val="Calibri"/>
        <family val="2"/>
        <scheme val="minor"/>
      </rPr>
      <t>).</t>
    </r>
  </si>
  <si>
    <r>
      <t>:==&gt;</t>
    </r>
    <r>
      <rPr>
        <b/>
        <sz val="16"/>
        <color rgb="FFFF0000"/>
        <rFont val="Calibri"/>
        <family val="2"/>
        <scheme val="minor"/>
      </rPr>
      <t xml:space="preserve"> No</t>
    </r>
    <r>
      <rPr>
        <b/>
        <sz val="16"/>
        <color rgb="FF00B050"/>
        <rFont val="Calibri"/>
        <family val="2"/>
        <scheme val="minor"/>
      </rPr>
      <t>, There is not any difference in ride patterns on weekdays vs. weekends.</t>
    </r>
  </si>
  <si>
    <r>
      <t xml:space="preserve">:==&gt; The Line Graph narrates </t>
    </r>
    <r>
      <rPr>
        <b/>
        <sz val="16"/>
        <color rgb="FFFF0000"/>
        <rFont val="Calibri"/>
        <family val="2"/>
        <scheme val="minor"/>
      </rPr>
      <t>steady rose</t>
    </r>
    <r>
      <rPr>
        <b/>
        <sz val="16"/>
        <color rgb="FF00B050"/>
        <rFont val="Calibri"/>
        <family val="2"/>
        <scheme val="minor"/>
      </rPr>
      <t xml:space="preserve"> in number of rides was taken over the year </t>
    </r>
    <r>
      <rPr>
        <b/>
        <sz val="16"/>
        <color rgb="FFFF0000"/>
        <rFont val="Calibri"/>
        <family val="2"/>
        <scheme val="minor"/>
      </rPr>
      <t>2016</t>
    </r>
    <r>
      <rPr>
        <b/>
        <sz val="16"/>
        <color rgb="FF00B050"/>
        <rFont val="Calibri"/>
        <family val="2"/>
        <scheme val="minor"/>
      </rPr>
      <t>.</t>
    </r>
  </si>
  <si>
    <r>
      <t xml:space="preserve">:==&gt; The most common "PURPOSE" for trips is </t>
    </r>
    <r>
      <rPr>
        <b/>
        <sz val="16"/>
        <color rgb="FFFF0000"/>
        <rFont val="Calibri"/>
        <family val="2"/>
        <scheme val="minor"/>
      </rPr>
      <t>"MEETING"</t>
    </r>
    <r>
      <rPr>
        <b/>
        <sz val="16"/>
        <color rgb="FF00B050"/>
        <rFont val="Calibri"/>
        <family val="2"/>
        <scheme val="minor"/>
      </rPr>
      <t>.</t>
    </r>
  </si>
  <si>
    <t>UBER RIDES ANALYSIS</t>
  </si>
  <si>
    <t>Row Labels</t>
  </si>
  <si>
    <t>Count of Start Date</t>
  </si>
  <si>
    <t>Count of Start Time</t>
  </si>
  <si>
    <t>Most Common Time Of Day</t>
  </si>
  <si>
    <t>No Purpose</t>
  </si>
  <si>
    <t>Count of PURPOSE</t>
  </si>
  <si>
    <t>00</t>
  </si>
  <si>
    <t>03</t>
  </si>
  <si>
    <t>06</t>
  </si>
  <si>
    <t>07</t>
  </si>
  <si>
    <t>08</t>
  </si>
  <si>
    <t>09</t>
  </si>
  <si>
    <t>13</t>
  </si>
  <si>
    <t>14</t>
  </si>
  <si>
    <t>16</t>
  </si>
  <si>
    <t>18</t>
  </si>
  <si>
    <t>23</t>
  </si>
  <si>
    <t>Monday</t>
  </si>
  <si>
    <t>01</t>
  </si>
  <si>
    <t>05</t>
  </si>
  <si>
    <t>Purpose</t>
  </si>
  <si>
    <t>Tuesday</t>
  </si>
  <si>
    <t>Wednesday</t>
  </si>
  <si>
    <t>Thursday</t>
  </si>
  <si>
    <t>Friday</t>
  </si>
  <si>
    <t>Saturday</t>
  </si>
  <si>
    <t>Sunday</t>
  </si>
  <si>
    <t>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</si>
</sst>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24009]mm/dd/yyyy;@"/>
    <numFmt numFmtId="165" formatCode="[$-F400]h:mm:ss\ AM/PM"/>
    <numFmt numFmtId="166" formatCode="[$-14009]dd/mm/yy;@"/>
    <numFmt numFmtId="167" formatCode="[$-10409]hh:mm:ss\ AM/PM;@"/>
    <numFmt numFmtId="168" formatCode="0.0000"/>
    <numFmt numFmtId="169" formatCode="dddd"/>
    <numFmt numFmtId="170" formatCode="[$-10409]h\.mm\.ss\ AM/PM;@"/>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0"/>
      <color theme="0"/>
      <name val="Calibri"/>
      <family val="2"/>
      <scheme val="minor"/>
    </font>
    <font>
      <b/>
      <sz val="11"/>
      <color rgb="FFFF0000"/>
      <name val="Calibri"/>
      <family val="2"/>
      <scheme val="minor"/>
    </font>
    <font>
      <b/>
      <sz val="11"/>
      <color rgb="FF00B050"/>
      <name val="Calibri"/>
      <family val="2"/>
      <scheme val="minor"/>
    </font>
    <font>
      <b/>
      <sz val="11"/>
      <color rgb="FF002060"/>
      <name val="Calibri"/>
      <family val="2"/>
      <scheme val="minor"/>
    </font>
    <font>
      <b/>
      <sz val="16"/>
      <color rgb="FF002060"/>
      <name val="Calibri"/>
      <family val="2"/>
      <scheme val="minor"/>
    </font>
    <font>
      <b/>
      <sz val="16"/>
      <color rgb="FF00B050"/>
      <name val="Calibri"/>
      <family val="2"/>
      <scheme val="minor"/>
    </font>
    <font>
      <b/>
      <sz val="16"/>
      <color rgb="FFFF0000"/>
      <name val="Calibri"/>
      <family val="2"/>
      <scheme val="minor"/>
    </font>
    <font>
      <sz val="24"/>
      <color rgb="FF002060"/>
      <name val="Algerian"/>
      <family val="5"/>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79998168889431442"/>
        <bgColor indexed="64"/>
      </patternFill>
    </fill>
    <fill>
      <patternFill patternType="solid">
        <fgColor theme="1"/>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3">
    <xf numFmtId="0" fontId="0" fillId="0" borderId="0" xfId="0"/>
    <xf numFmtId="22" fontId="0" fillId="0" borderId="0" xfId="0" applyNumberFormat="1"/>
    <xf numFmtId="14" fontId="0" fillId="0" borderId="0" xfId="0" applyNumberFormat="1"/>
    <xf numFmtId="166" fontId="0" fillId="0" borderId="0" xfId="0" applyNumberFormat="1"/>
    <xf numFmtId="0" fontId="0" fillId="34" borderId="0" xfId="0" applyFill="1"/>
    <xf numFmtId="1" fontId="0" fillId="34" borderId="0" xfId="0" applyNumberFormat="1" applyFill="1"/>
    <xf numFmtId="164" fontId="0" fillId="0" borderId="0" xfId="0" applyNumberFormat="1"/>
    <xf numFmtId="165" fontId="0" fillId="0" borderId="0" xfId="0" applyNumberFormat="1"/>
    <xf numFmtId="167" fontId="0" fillId="0" borderId="0" xfId="0" applyNumberFormat="1"/>
    <xf numFmtId="164" fontId="0" fillId="33" borderId="0" xfId="0" applyNumberFormat="1" applyFill="1"/>
    <xf numFmtId="167" fontId="0" fillId="33" borderId="0" xfId="0" applyNumberFormat="1" applyFill="1"/>
    <xf numFmtId="0" fontId="16" fillId="33" borderId="0" xfId="0" applyFont="1" applyFill="1"/>
    <xf numFmtId="168" fontId="16" fillId="33" borderId="0" xfId="0" applyNumberFormat="1" applyFont="1" applyFill="1"/>
    <xf numFmtId="168" fontId="0" fillId="0" borderId="0" xfId="0" applyNumberFormat="1"/>
    <xf numFmtId="0" fontId="0" fillId="0" borderId="0" xfId="0" pivotButton="1"/>
    <xf numFmtId="0" fontId="0" fillId="0" borderId="0" xfId="0" applyAlignment="1">
      <alignment horizontal="left"/>
    </xf>
    <xf numFmtId="165" fontId="16" fillId="33" borderId="0" xfId="0" applyNumberFormat="1" applyFont="1" applyFill="1"/>
    <xf numFmtId="165" fontId="0" fillId="33" borderId="0" xfId="0" applyNumberFormat="1" applyFill="1"/>
    <xf numFmtId="0" fontId="19" fillId="0" borderId="0" xfId="0" applyFont="1"/>
    <xf numFmtId="0" fontId="20" fillId="0" borderId="0" xfId="0" applyFont="1"/>
    <xf numFmtId="0" fontId="21"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170" fontId="0" fillId="0" borderId="0" xfId="0" applyNumberFormat="1" applyAlignment="1">
      <alignment horizontal="left"/>
    </xf>
    <xf numFmtId="17" fontId="0" fillId="0" borderId="0" xfId="0" applyNumberFormat="1" applyAlignment="1">
      <alignment horizontal="left"/>
    </xf>
    <xf numFmtId="0" fontId="22" fillId="0" borderId="0" xfId="0" applyFont="1" applyAlignment="1">
      <alignment vertical="center"/>
    </xf>
    <xf numFmtId="0" fontId="23" fillId="0" borderId="0" xfId="0" applyFont="1" applyAlignment="1">
      <alignment vertical="center"/>
    </xf>
    <xf numFmtId="0" fontId="18" fillId="35" borderId="0" xfId="0" applyFont="1" applyFill="1" applyAlignment="1">
      <alignment horizontal="center"/>
    </xf>
    <xf numFmtId="0" fontId="17" fillId="35" borderId="0" xfId="0" applyFont="1" applyFill="1" applyAlignment="1">
      <alignment horizontal="center"/>
    </xf>
    <xf numFmtId="0" fontId="21" fillId="0" borderId="0" xfId="0" applyFont="1" applyAlignment="1">
      <alignment vertical="center"/>
    </xf>
    <xf numFmtId="0" fontId="0" fillId="0" borderId="0" xfId="0" applyNumberFormat="1"/>
    <xf numFmtId="0" fontId="0" fillId="36" borderId="0" xfId="0" applyFill="1"/>
    <xf numFmtId="0" fontId="25" fillId="36"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00FFFF"/>
      <color rgb="FFFF66FF"/>
      <color rgb="FFCCCCFF"/>
      <color rgb="FF6600CC"/>
      <color rgb="FFCC99FF"/>
      <color rgb="FFCC00FF"/>
      <color rgb="FFFFCCFF"/>
      <color rgb="FFCAE8AA"/>
      <color rgb="FF9966FF"/>
      <color rgb="FFF907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[uber case study.xlsm]Trend!PivotTable1</c:name>
    <c:fmtId val="8"/>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Trend Of Rides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1"/>
      </c:pivotFmt>
      <c:pivotFmt>
        <c:idx val="2"/>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Trend!$B$3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cat>
            <c:strRef>
              <c:f>Trend!$A$4:$A$296</c:f>
              <c:strCache>
                <c:ptCount val="292"/>
                <c:pt idx="0">
                  <c:v>Jan-16</c:v>
                </c:pt>
                <c:pt idx="1">
                  <c:v>Jan-16</c:v>
                </c:pt>
                <c:pt idx="2">
                  <c:v>Jan-16</c:v>
                </c:pt>
                <c:pt idx="3">
                  <c:v>Jan-16</c:v>
                </c:pt>
                <c:pt idx="4">
                  <c:v>Jan-16</c:v>
                </c:pt>
                <c:pt idx="5">
                  <c:v>Jan-16</c:v>
                </c:pt>
                <c:pt idx="6">
                  <c:v>Jan-16</c:v>
                </c:pt>
                <c:pt idx="7">
                  <c:v>Jan-16</c:v>
                </c:pt>
                <c:pt idx="8">
                  <c:v>Jan-16</c:v>
                </c:pt>
                <c:pt idx="9">
                  <c:v>Jan-16</c:v>
                </c:pt>
                <c:pt idx="10">
                  <c:v>Jan-16</c:v>
                </c:pt>
                <c:pt idx="11">
                  <c:v>Jan-16</c:v>
                </c:pt>
                <c:pt idx="12">
                  <c:v>Jan-16</c:v>
                </c:pt>
                <c:pt idx="13">
                  <c:v>Jan-16</c:v>
                </c:pt>
                <c:pt idx="14">
                  <c:v>Jan-16</c:v>
                </c:pt>
                <c:pt idx="15">
                  <c:v>Jan-16</c:v>
                </c:pt>
                <c:pt idx="16">
                  <c:v>Jan-16</c:v>
                </c:pt>
                <c:pt idx="17">
                  <c:v>Jan-16</c:v>
                </c:pt>
                <c:pt idx="18">
                  <c:v>Jan-16</c:v>
                </c:pt>
                <c:pt idx="19">
                  <c:v>Jan-16</c:v>
                </c:pt>
                <c:pt idx="20">
                  <c:v>Jan-16</c:v>
                </c:pt>
                <c:pt idx="21">
                  <c:v>Jan-16</c:v>
                </c:pt>
                <c:pt idx="22">
                  <c:v>Jan-16</c:v>
                </c:pt>
                <c:pt idx="23">
                  <c:v>Feb-16</c:v>
                </c:pt>
                <c:pt idx="24">
                  <c:v>Feb-16</c:v>
                </c:pt>
                <c:pt idx="25">
                  <c:v>Feb-16</c:v>
                </c:pt>
                <c:pt idx="26">
                  <c:v>Feb-16</c:v>
                </c:pt>
                <c:pt idx="27">
                  <c:v>Feb-16</c:v>
                </c:pt>
                <c:pt idx="28">
                  <c:v>Feb-16</c:v>
                </c:pt>
                <c:pt idx="29">
                  <c:v>Feb-16</c:v>
                </c:pt>
                <c:pt idx="30">
                  <c:v>Feb-16</c:v>
                </c:pt>
                <c:pt idx="31">
                  <c:v>Feb-16</c:v>
                </c:pt>
                <c:pt idx="32">
                  <c:v>Feb-16</c:v>
                </c:pt>
                <c:pt idx="33">
                  <c:v>Feb-16</c:v>
                </c:pt>
                <c:pt idx="34">
                  <c:v>Feb-16</c:v>
                </c:pt>
                <c:pt idx="35">
                  <c:v>Feb-16</c:v>
                </c:pt>
                <c:pt idx="36">
                  <c:v>Feb-16</c:v>
                </c:pt>
                <c:pt idx="37">
                  <c:v>Feb-16</c:v>
                </c:pt>
                <c:pt idx="38">
                  <c:v>Feb-16</c:v>
                </c:pt>
                <c:pt idx="39">
                  <c:v>Feb-16</c:v>
                </c:pt>
                <c:pt idx="40">
                  <c:v>Feb-16</c:v>
                </c:pt>
                <c:pt idx="41">
                  <c:v>Feb-16</c:v>
                </c:pt>
                <c:pt idx="42">
                  <c:v>Feb-16</c:v>
                </c:pt>
                <c:pt idx="43">
                  <c:v>Feb-16</c:v>
                </c:pt>
                <c:pt idx="44">
                  <c:v>Feb-16</c:v>
                </c:pt>
                <c:pt idx="45">
                  <c:v>Feb-16</c:v>
                </c:pt>
                <c:pt idx="46">
                  <c:v>Mar-16</c:v>
                </c:pt>
                <c:pt idx="47">
                  <c:v>Mar-16</c:v>
                </c:pt>
                <c:pt idx="48">
                  <c:v>Mar-16</c:v>
                </c:pt>
                <c:pt idx="49">
                  <c:v>Mar-16</c:v>
                </c:pt>
                <c:pt idx="50">
                  <c:v>Mar-16</c:v>
                </c:pt>
                <c:pt idx="51">
                  <c:v>Mar-16</c:v>
                </c:pt>
                <c:pt idx="52">
                  <c:v>Mar-16</c:v>
                </c:pt>
                <c:pt idx="53">
                  <c:v>Mar-16</c:v>
                </c:pt>
                <c:pt idx="54">
                  <c:v>Mar-16</c:v>
                </c:pt>
                <c:pt idx="55">
                  <c:v>Mar-16</c:v>
                </c:pt>
                <c:pt idx="56">
                  <c:v>Mar-16</c:v>
                </c:pt>
                <c:pt idx="57">
                  <c:v>Mar-16</c:v>
                </c:pt>
                <c:pt idx="58">
                  <c:v>Mar-16</c:v>
                </c:pt>
                <c:pt idx="59">
                  <c:v>Mar-16</c:v>
                </c:pt>
                <c:pt idx="60">
                  <c:v>Mar-16</c:v>
                </c:pt>
                <c:pt idx="61">
                  <c:v>Mar-16</c:v>
                </c:pt>
                <c:pt idx="62">
                  <c:v>Mar-16</c:v>
                </c:pt>
                <c:pt idx="63">
                  <c:v>Mar-16</c:v>
                </c:pt>
                <c:pt idx="64">
                  <c:v>Mar-16</c:v>
                </c:pt>
                <c:pt idx="65">
                  <c:v>Mar-16</c:v>
                </c:pt>
                <c:pt idx="66">
                  <c:v>Mar-16</c:v>
                </c:pt>
                <c:pt idx="67">
                  <c:v>Mar-16</c:v>
                </c:pt>
                <c:pt idx="68">
                  <c:v>Mar-16</c:v>
                </c:pt>
                <c:pt idx="69">
                  <c:v>Mar-16</c:v>
                </c:pt>
                <c:pt idx="70">
                  <c:v>Mar-16</c:v>
                </c:pt>
                <c:pt idx="71">
                  <c:v>Mar-16</c:v>
                </c:pt>
                <c:pt idx="72">
                  <c:v>Mar-16</c:v>
                </c:pt>
                <c:pt idx="73">
                  <c:v>Mar-16</c:v>
                </c:pt>
                <c:pt idx="74">
                  <c:v>Apr-16</c:v>
                </c:pt>
                <c:pt idx="75">
                  <c:v>Apr-16</c:v>
                </c:pt>
                <c:pt idx="76">
                  <c:v>Apr-16</c:v>
                </c:pt>
                <c:pt idx="77">
                  <c:v>Apr-16</c:v>
                </c:pt>
                <c:pt idx="78">
                  <c:v>Apr-16</c:v>
                </c:pt>
                <c:pt idx="79">
                  <c:v>Apr-16</c:v>
                </c:pt>
                <c:pt idx="80">
                  <c:v>Apr-16</c:v>
                </c:pt>
                <c:pt idx="81">
                  <c:v>Apr-16</c:v>
                </c:pt>
                <c:pt idx="82">
                  <c:v>Apr-16</c:v>
                </c:pt>
                <c:pt idx="83">
                  <c:v>Apr-16</c:v>
                </c:pt>
                <c:pt idx="84">
                  <c:v>Apr-16</c:v>
                </c:pt>
                <c:pt idx="85">
                  <c:v>Apr-16</c:v>
                </c:pt>
                <c:pt idx="86">
                  <c:v>Apr-16</c:v>
                </c:pt>
                <c:pt idx="87">
                  <c:v>Apr-16</c:v>
                </c:pt>
                <c:pt idx="88">
                  <c:v>Apr-16</c:v>
                </c:pt>
                <c:pt idx="89">
                  <c:v>Apr-16</c:v>
                </c:pt>
                <c:pt idx="90">
                  <c:v>Apr-16</c:v>
                </c:pt>
                <c:pt idx="91">
                  <c:v>Apr-16</c:v>
                </c:pt>
                <c:pt idx="92">
                  <c:v>May-16</c:v>
                </c:pt>
                <c:pt idx="93">
                  <c:v>May-16</c:v>
                </c:pt>
                <c:pt idx="94">
                  <c:v>May-16</c:v>
                </c:pt>
                <c:pt idx="95">
                  <c:v>May-16</c:v>
                </c:pt>
                <c:pt idx="96">
                  <c:v>May-16</c:v>
                </c:pt>
                <c:pt idx="97">
                  <c:v>May-16</c:v>
                </c:pt>
                <c:pt idx="98">
                  <c:v>May-16</c:v>
                </c:pt>
                <c:pt idx="99">
                  <c:v>May-16</c:v>
                </c:pt>
                <c:pt idx="100">
                  <c:v>May-16</c:v>
                </c:pt>
                <c:pt idx="101">
                  <c:v>May-16</c:v>
                </c:pt>
                <c:pt idx="102">
                  <c:v>May-16</c:v>
                </c:pt>
                <c:pt idx="103">
                  <c:v>May-16</c:v>
                </c:pt>
                <c:pt idx="104">
                  <c:v>May-16</c:v>
                </c:pt>
                <c:pt idx="105">
                  <c:v>May-16</c:v>
                </c:pt>
                <c:pt idx="106">
                  <c:v>May-16</c:v>
                </c:pt>
                <c:pt idx="107">
                  <c:v>May-16</c:v>
                </c:pt>
                <c:pt idx="108">
                  <c:v>May-16</c:v>
                </c:pt>
                <c:pt idx="109">
                  <c:v>May-16</c:v>
                </c:pt>
                <c:pt idx="110">
                  <c:v>May-16</c:v>
                </c:pt>
                <c:pt idx="111">
                  <c:v>May-16</c:v>
                </c:pt>
                <c:pt idx="112">
                  <c:v>May-16</c:v>
                </c:pt>
                <c:pt idx="113">
                  <c:v>Jun-16</c:v>
                </c:pt>
                <c:pt idx="114">
                  <c:v>Jun-16</c:v>
                </c:pt>
                <c:pt idx="115">
                  <c:v>Jun-16</c:v>
                </c:pt>
                <c:pt idx="116">
                  <c:v>Jun-16</c:v>
                </c:pt>
                <c:pt idx="117">
                  <c:v>Jun-16</c:v>
                </c:pt>
                <c:pt idx="118">
                  <c:v>Jun-16</c:v>
                </c:pt>
                <c:pt idx="119">
                  <c:v>Jun-16</c:v>
                </c:pt>
                <c:pt idx="120">
                  <c:v>Jun-16</c:v>
                </c:pt>
                <c:pt idx="121">
                  <c:v>Jun-16</c:v>
                </c:pt>
                <c:pt idx="122">
                  <c:v>Jun-16</c:v>
                </c:pt>
                <c:pt idx="123">
                  <c:v>Jun-16</c:v>
                </c:pt>
                <c:pt idx="124">
                  <c:v>Jun-16</c:v>
                </c:pt>
                <c:pt idx="125">
                  <c:v>Jun-16</c:v>
                </c:pt>
                <c:pt idx="126">
                  <c:v>Jun-16</c:v>
                </c:pt>
                <c:pt idx="127">
                  <c:v>Jun-16</c:v>
                </c:pt>
                <c:pt idx="128">
                  <c:v>Jun-16</c:v>
                </c:pt>
                <c:pt idx="129">
                  <c:v>Jun-16</c:v>
                </c:pt>
                <c:pt idx="130">
                  <c:v>Jun-16</c:v>
                </c:pt>
                <c:pt idx="131">
                  <c:v>Jun-16</c:v>
                </c:pt>
                <c:pt idx="132">
                  <c:v>Jun-16</c:v>
                </c:pt>
                <c:pt idx="133">
                  <c:v>Jun-16</c:v>
                </c:pt>
                <c:pt idx="134">
                  <c:v>Jun-16</c:v>
                </c:pt>
                <c:pt idx="135">
                  <c:v>Jun-16</c:v>
                </c:pt>
                <c:pt idx="136">
                  <c:v>Jun-16</c:v>
                </c:pt>
                <c:pt idx="137">
                  <c:v>Jul-16</c:v>
                </c:pt>
                <c:pt idx="138">
                  <c:v>Jul-16</c:v>
                </c:pt>
                <c:pt idx="139">
                  <c:v>Jul-16</c:v>
                </c:pt>
                <c:pt idx="140">
                  <c:v>Jul-16</c:v>
                </c:pt>
                <c:pt idx="141">
                  <c:v>Jul-16</c:v>
                </c:pt>
                <c:pt idx="142">
                  <c:v>Jul-16</c:v>
                </c:pt>
                <c:pt idx="143">
                  <c:v>Jul-16</c:v>
                </c:pt>
                <c:pt idx="144">
                  <c:v>Jul-16</c:v>
                </c:pt>
                <c:pt idx="145">
                  <c:v>Jul-16</c:v>
                </c:pt>
                <c:pt idx="146">
                  <c:v>Jul-16</c:v>
                </c:pt>
                <c:pt idx="147">
                  <c:v>Jul-16</c:v>
                </c:pt>
                <c:pt idx="148">
                  <c:v>Jul-16</c:v>
                </c:pt>
                <c:pt idx="149">
                  <c:v>Jul-16</c:v>
                </c:pt>
                <c:pt idx="150">
                  <c:v>Jul-16</c:v>
                </c:pt>
                <c:pt idx="151">
                  <c:v>Jul-16</c:v>
                </c:pt>
                <c:pt idx="152">
                  <c:v>Jul-16</c:v>
                </c:pt>
                <c:pt idx="153">
                  <c:v>Jul-16</c:v>
                </c:pt>
                <c:pt idx="154">
                  <c:v>Jul-16</c:v>
                </c:pt>
                <c:pt idx="155">
                  <c:v>Jul-16</c:v>
                </c:pt>
                <c:pt idx="156">
                  <c:v>Jul-16</c:v>
                </c:pt>
                <c:pt idx="157">
                  <c:v>Jul-16</c:v>
                </c:pt>
                <c:pt idx="158">
                  <c:v>Jul-16</c:v>
                </c:pt>
                <c:pt idx="159">
                  <c:v>Jul-16</c:v>
                </c:pt>
                <c:pt idx="160">
                  <c:v>Jul-16</c:v>
                </c:pt>
                <c:pt idx="161">
                  <c:v>Jul-16</c:v>
                </c:pt>
                <c:pt idx="162">
                  <c:v>Jul-16</c:v>
                </c:pt>
                <c:pt idx="163">
                  <c:v>Jul-16</c:v>
                </c:pt>
                <c:pt idx="164">
                  <c:v>Jul-16</c:v>
                </c:pt>
                <c:pt idx="165">
                  <c:v>Aug-16</c:v>
                </c:pt>
                <c:pt idx="166">
                  <c:v>Aug-16</c:v>
                </c:pt>
                <c:pt idx="167">
                  <c:v>Aug-16</c:v>
                </c:pt>
                <c:pt idx="168">
                  <c:v>Aug-16</c:v>
                </c:pt>
                <c:pt idx="169">
                  <c:v>Aug-16</c:v>
                </c:pt>
                <c:pt idx="170">
                  <c:v>Aug-16</c:v>
                </c:pt>
                <c:pt idx="171">
                  <c:v>Aug-16</c:v>
                </c:pt>
                <c:pt idx="172">
                  <c:v>Aug-16</c:v>
                </c:pt>
                <c:pt idx="173">
                  <c:v>Aug-16</c:v>
                </c:pt>
                <c:pt idx="174">
                  <c:v>Aug-16</c:v>
                </c:pt>
                <c:pt idx="175">
                  <c:v>Aug-16</c:v>
                </c:pt>
                <c:pt idx="176">
                  <c:v>Aug-16</c:v>
                </c:pt>
                <c:pt idx="177">
                  <c:v>Aug-16</c:v>
                </c:pt>
                <c:pt idx="178">
                  <c:v>Aug-16</c:v>
                </c:pt>
                <c:pt idx="179">
                  <c:v>Aug-16</c:v>
                </c:pt>
                <c:pt idx="180">
                  <c:v>Aug-16</c:v>
                </c:pt>
                <c:pt idx="181">
                  <c:v>Aug-16</c:v>
                </c:pt>
                <c:pt idx="182">
                  <c:v>Aug-16</c:v>
                </c:pt>
                <c:pt idx="183">
                  <c:v>Aug-16</c:v>
                </c:pt>
                <c:pt idx="184">
                  <c:v>Aug-16</c:v>
                </c:pt>
                <c:pt idx="185">
                  <c:v>Aug-16</c:v>
                </c:pt>
                <c:pt idx="186">
                  <c:v>Aug-16</c:v>
                </c:pt>
                <c:pt idx="187">
                  <c:v>Aug-16</c:v>
                </c:pt>
                <c:pt idx="188">
                  <c:v>Aug-16</c:v>
                </c:pt>
                <c:pt idx="189">
                  <c:v>Aug-16</c:v>
                </c:pt>
                <c:pt idx="190">
                  <c:v>Sep-16</c:v>
                </c:pt>
                <c:pt idx="191">
                  <c:v>Sep-16</c:v>
                </c:pt>
                <c:pt idx="192">
                  <c:v>Sep-16</c:v>
                </c:pt>
                <c:pt idx="193">
                  <c:v>Sep-16</c:v>
                </c:pt>
                <c:pt idx="194">
                  <c:v>Sep-16</c:v>
                </c:pt>
                <c:pt idx="195">
                  <c:v>Sep-16</c:v>
                </c:pt>
                <c:pt idx="196">
                  <c:v>Sep-16</c:v>
                </c:pt>
                <c:pt idx="197">
                  <c:v>Sep-16</c:v>
                </c:pt>
                <c:pt idx="198">
                  <c:v>Sep-16</c:v>
                </c:pt>
                <c:pt idx="199">
                  <c:v>Sep-16</c:v>
                </c:pt>
                <c:pt idx="200">
                  <c:v>Sep-16</c:v>
                </c:pt>
                <c:pt idx="201">
                  <c:v>Sep-16</c:v>
                </c:pt>
                <c:pt idx="202">
                  <c:v>Sep-16</c:v>
                </c:pt>
                <c:pt idx="203">
                  <c:v>Sep-16</c:v>
                </c:pt>
                <c:pt idx="204">
                  <c:v>Sep-16</c:v>
                </c:pt>
                <c:pt idx="205">
                  <c:v>Sep-16</c:v>
                </c:pt>
                <c:pt idx="206">
                  <c:v>Sep-16</c:v>
                </c:pt>
                <c:pt idx="207">
                  <c:v>Sep-16</c:v>
                </c:pt>
                <c:pt idx="208">
                  <c:v>Sep-16</c:v>
                </c:pt>
                <c:pt idx="209">
                  <c:v>Oct-16</c:v>
                </c:pt>
                <c:pt idx="210">
                  <c:v>Oct-16</c:v>
                </c:pt>
                <c:pt idx="211">
                  <c:v>Oct-16</c:v>
                </c:pt>
                <c:pt idx="212">
                  <c:v>Oct-16</c:v>
                </c:pt>
                <c:pt idx="213">
                  <c:v>Oct-16</c:v>
                </c:pt>
                <c:pt idx="214">
                  <c:v>Oct-16</c:v>
                </c:pt>
                <c:pt idx="215">
                  <c:v>Oct-16</c:v>
                </c:pt>
                <c:pt idx="216">
                  <c:v>Oct-16</c:v>
                </c:pt>
                <c:pt idx="217">
                  <c:v>Oct-16</c:v>
                </c:pt>
                <c:pt idx="218">
                  <c:v>Oct-16</c:v>
                </c:pt>
                <c:pt idx="219">
                  <c:v>Oct-16</c:v>
                </c:pt>
                <c:pt idx="220">
                  <c:v>Oct-16</c:v>
                </c:pt>
                <c:pt idx="221">
                  <c:v>Oct-16</c:v>
                </c:pt>
                <c:pt idx="222">
                  <c:v>Oct-16</c:v>
                </c:pt>
                <c:pt idx="223">
                  <c:v>Oct-16</c:v>
                </c:pt>
                <c:pt idx="224">
                  <c:v>Oct-16</c:v>
                </c:pt>
                <c:pt idx="225">
                  <c:v>Oct-16</c:v>
                </c:pt>
                <c:pt idx="226">
                  <c:v>Oct-16</c:v>
                </c:pt>
                <c:pt idx="227">
                  <c:v>Oct-16</c:v>
                </c:pt>
                <c:pt idx="228">
                  <c:v>Oct-16</c:v>
                </c:pt>
                <c:pt idx="229">
                  <c:v>Oct-16</c:v>
                </c:pt>
                <c:pt idx="230">
                  <c:v>Oct-16</c:v>
                </c:pt>
                <c:pt idx="231">
                  <c:v>Oct-16</c:v>
                </c:pt>
                <c:pt idx="232">
                  <c:v>Oct-16</c:v>
                </c:pt>
                <c:pt idx="233">
                  <c:v>Oct-16</c:v>
                </c:pt>
                <c:pt idx="234">
                  <c:v>Oct-16</c:v>
                </c:pt>
                <c:pt idx="235">
                  <c:v>Oct-16</c:v>
                </c:pt>
                <c:pt idx="236">
                  <c:v>Oct-16</c:v>
                </c:pt>
                <c:pt idx="237">
                  <c:v>Oct-16</c:v>
                </c:pt>
                <c:pt idx="238">
                  <c:v>Nov-16</c:v>
                </c:pt>
                <c:pt idx="239">
                  <c:v>Nov-16</c:v>
                </c:pt>
                <c:pt idx="240">
                  <c:v>Nov-16</c:v>
                </c:pt>
                <c:pt idx="241">
                  <c:v>Nov-16</c:v>
                </c:pt>
                <c:pt idx="242">
                  <c:v>Nov-16</c:v>
                </c:pt>
                <c:pt idx="243">
                  <c:v>Nov-16</c:v>
                </c:pt>
                <c:pt idx="244">
                  <c:v>Nov-16</c:v>
                </c:pt>
                <c:pt idx="245">
                  <c:v>Nov-16</c:v>
                </c:pt>
                <c:pt idx="246">
                  <c:v>Nov-16</c:v>
                </c:pt>
                <c:pt idx="247">
                  <c:v>Nov-16</c:v>
                </c:pt>
                <c:pt idx="248">
                  <c:v>Nov-16</c:v>
                </c:pt>
                <c:pt idx="249">
                  <c:v>Nov-16</c:v>
                </c:pt>
                <c:pt idx="250">
                  <c:v>Nov-16</c:v>
                </c:pt>
                <c:pt idx="251">
                  <c:v>Nov-16</c:v>
                </c:pt>
                <c:pt idx="252">
                  <c:v>Nov-16</c:v>
                </c:pt>
                <c:pt idx="253">
                  <c:v>Nov-16</c:v>
                </c:pt>
                <c:pt idx="254">
                  <c:v>Nov-16</c:v>
                </c:pt>
                <c:pt idx="255">
                  <c:v>Nov-16</c:v>
                </c:pt>
                <c:pt idx="256">
                  <c:v>Nov-16</c:v>
                </c:pt>
                <c:pt idx="257">
                  <c:v>Nov-16</c:v>
                </c:pt>
                <c:pt idx="258">
                  <c:v>Nov-16</c:v>
                </c:pt>
                <c:pt idx="259">
                  <c:v>Nov-16</c:v>
                </c:pt>
                <c:pt idx="260">
                  <c:v>Nov-16</c:v>
                </c:pt>
                <c:pt idx="261">
                  <c:v>Nov-16</c:v>
                </c:pt>
                <c:pt idx="262">
                  <c:v>Nov-16</c:v>
                </c:pt>
                <c:pt idx="263">
                  <c:v>Dec-16</c:v>
                </c:pt>
                <c:pt idx="264">
                  <c:v>Dec-16</c:v>
                </c:pt>
                <c:pt idx="265">
                  <c:v>Dec-16</c:v>
                </c:pt>
                <c:pt idx="266">
                  <c:v>Dec-16</c:v>
                </c:pt>
                <c:pt idx="267">
                  <c:v>Dec-16</c:v>
                </c:pt>
                <c:pt idx="268">
                  <c:v>Dec-16</c:v>
                </c:pt>
                <c:pt idx="269">
                  <c:v>Dec-16</c:v>
                </c:pt>
                <c:pt idx="270">
                  <c:v>Dec-16</c:v>
                </c:pt>
                <c:pt idx="271">
                  <c:v>Dec-16</c:v>
                </c:pt>
                <c:pt idx="272">
                  <c:v>Dec-16</c:v>
                </c:pt>
                <c:pt idx="273">
                  <c:v>Dec-16</c:v>
                </c:pt>
                <c:pt idx="274">
                  <c:v>Dec-16</c:v>
                </c:pt>
                <c:pt idx="275">
                  <c:v>Dec-16</c:v>
                </c:pt>
                <c:pt idx="276">
                  <c:v>Dec-16</c:v>
                </c:pt>
                <c:pt idx="277">
                  <c:v>Dec-16</c:v>
                </c:pt>
                <c:pt idx="278">
                  <c:v>Dec-16</c:v>
                </c:pt>
                <c:pt idx="279">
                  <c:v>Dec-16</c:v>
                </c:pt>
                <c:pt idx="280">
                  <c:v>Dec-16</c:v>
                </c:pt>
                <c:pt idx="281">
                  <c:v>Dec-16</c:v>
                </c:pt>
                <c:pt idx="282">
                  <c:v>Dec-16</c:v>
                </c:pt>
                <c:pt idx="283">
                  <c:v>Dec-16</c:v>
                </c:pt>
                <c:pt idx="284">
                  <c:v>Dec-16</c:v>
                </c:pt>
                <c:pt idx="285">
                  <c:v>Dec-16</c:v>
                </c:pt>
                <c:pt idx="286">
                  <c:v>Dec-16</c:v>
                </c:pt>
                <c:pt idx="287">
                  <c:v>Dec-16</c:v>
                </c:pt>
                <c:pt idx="288">
                  <c:v>Dec-16</c:v>
                </c:pt>
                <c:pt idx="289">
                  <c:v>Dec-16</c:v>
                </c:pt>
                <c:pt idx="290">
                  <c:v>Dec-16</c:v>
                </c:pt>
                <c:pt idx="291">
                  <c:v>Dec-16</c:v>
                </c:pt>
              </c:strCache>
            </c:strRef>
          </c:cat>
          <c:val>
            <c:numRef>
              <c:f>Trend!$B$4:$B$296</c:f>
              <c:numCache>
                <c:formatCode>General</c:formatCode>
                <c:ptCount val="292"/>
                <c:pt idx="0">
                  <c:v>1</c:v>
                </c:pt>
                <c:pt idx="1">
                  <c:v>3</c:v>
                </c:pt>
                <c:pt idx="2">
                  <c:v>2</c:v>
                </c:pt>
                <c:pt idx="3">
                  <c:v>4</c:v>
                </c:pt>
                <c:pt idx="4">
                  <c:v>5</c:v>
                </c:pt>
                <c:pt idx="5">
                  <c:v>2</c:v>
                </c:pt>
                <c:pt idx="6">
                  <c:v>5</c:v>
                </c:pt>
                <c:pt idx="7">
                  <c:v>8</c:v>
                </c:pt>
                <c:pt idx="8">
                  <c:v>3</c:v>
                </c:pt>
                <c:pt idx="9">
                  <c:v>6</c:v>
                </c:pt>
                <c:pt idx="10">
                  <c:v>4</c:v>
                </c:pt>
                <c:pt idx="11">
                  <c:v>2</c:v>
                </c:pt>
                <c:pt idx="12">
                  <c:v>2</c:v>
                </c:pt>
                <c:pt idx="13">
                  <c:v>3</c:v>
                </c:pt>
                <c:pt idx="14">
                  <c:v>2</c:v>
                </c:pt>
                <c:pt idx="15">
                  <c:v>2</c:v>
                </c:pt>
                <c:pt idx="16">
                  <c:v>3</c:v>
                </c:pt>
                <c:pt idx="17">
                  <c:v>3</c:v>
                </c:pt>
                <c:pt idx="18">
                  <c:v>5</c:v>
                </c:pt>
                <c:pt idx="19">
                  <c:v>5</c:v>
                </c:pt>
                <c:pt idx="20">
                  <c:v>3</c:v>
                </c:pt>
                <c:pt idx="21">
                  <c:v>6</c:v>
                </c:pt>
                <c:pt idx="22">
                  <c:v>2</c:v>
                </c:pt>
                <c:pt idx="23">
                  <c:v>2</c:v>
                </c:pt>
                <c:pt idx="24">
                  <c:v>3</c:v>
                </c:pt>
                <c:pt idx="25">
                  <c:v>6</c:v>
                </c:pt>
                <c:pt idx="26">
                  <c:v>2</c:v>
                </c:pt>
                <c:pt idx="27">
                  <c:v>2</c:v>
                </c:pt>
                <c:pt idx="28">
                  <c:v>4</c:v>
                </c:pt>
                <c:pt idx="29">
                  <c:v>2</c:v>
                </c:pt>
                <c:pt idx="30">
                  <c:v>5</c:v>
                </c:pt>
                <c:pt idx="31">
                  <c:v>4</c:v>
                </c:pt>
                <c:pt idx="32">
                  <c:v>1</c:v>
                </c:pt>
                <c:pt idx="33">
                  <c:v>5</c:v>
                </c:pt>
                <c:pt idx="34">
                  <c:v>8</c:v>
                </c:pt>
                <c:pt idx="35">
                  <c:v>4</c:v>
                </c:pt>
                <c:pt idx="36">
                  <c:v>5</c:v>
                </c:pt>
                <c:pt idx="37">
                  <c:v>10</c:v>
                </c:pt>
                <c:pt idx="38">
                  <c:v>8</c:v>
                </c:pt>
                <c:pt idx="39">
                  <c:v>11</c:v>
                </c:pt>
                <c:pt idx="40">
                  <c:v>1</c:v>
                </c:pt>
                <c:pt idx="41">
                  <c:v>2</c:v>
                </c:pt>
                <c:pt idx="42">
                  <c:v>4</c:v>
                </c:pt>
                <c:pt idx="43">
                  <c:v>7</c:v>
                </c:pt>
                <c:pt idx="44">
                  <c:v>2</c:v>
                </c:pt>
                <c:pt idx="45">
                  <c:v>5</c:v>
                </c:pt>
                <c:pt idx="46">
                  <c:v>5</c:v>
                </c:pt>
                <c:pt idx="47">
                  <c:v>1</c:v>
                </c:pt>
                <c:pt idx="48">
                  <c:v>1</c:v>
                </c:pt>
                <c:pt idx="49">
                  <c:v>7</c:v>
                </c:pt>
                <c:pt idx="50">
                  <c:v>3</c:v>
                </c:pt>
                <c:pt idx="51">
                  <c:v>3</c:v>
                </c:pt>
                <c:pt idx="52">
                  <c:v>4</c:v>
                </c:pt>
                <c:pt idx="53">
                  <c:v>6</c:v>
                </c:pt>
                <c:pt idx="54">
                  <c:v>3</c:v>
                </c:pt>
                <c:pt idx="55">
                  <c:v>6</c:v>
                </c:pt>
                <c:pt idx="56">
                  <c:v>2</c:v>
                </c:pt>
                <c:pt idx="57">
                  <c:v>2</c:v>
                </c:pt>
                <c:pt idx="58">
                  <c:v>3</c:v>
                </c:pt>
                <c:pt idx="59">
                  <c:v>7</c:v>
                </c:pt>
                <c:pt idx="60">
                  <c:v>5</c:v>
                </c:pt>
                <c:pt idx="61">
                  <c:v>9</c:v>
                </c:pt>
                <c:pt idx="62">
                  <c:v>5</c:v>
                </c:pt>
                <c:pt idx="63">
                  <c:v>4</c:v>
                </c:pt>
                <c:pt idx="64">
                  <c:v>3</c:v>
                </c:pt>
                <c:pt idx="65">
                  <c:v>2</c:v>
                </c:pt>
                <c:pt idx="66">
                  <c:v>2</c:v>
                </c:pt>
                <c:pt idx="67">
                  <c:v>3</c:v>
                </c:pt>
                <c:pt idx="68">
                  <c:v>3</c:v>
                </c:pt>
                <c:pt idx="69">
                  <c:v>5</c:v>
                </c:pt>
                <c:pt idx="70">
                  <c:v>3</c:v>
                </c:pt>
                <c:pt idx="71">
                  <c:v>4</c:v>
                </c:pt>
                <c:pt idx="72">
                  <c:v>1</c:v>
                </c:pt>
                <c:pt idx="73">
                  <c:v>2</c:v>
                </c:pt>
                <c:pt idx="74">
                  <c:v>7</c:v>
                </c:pt>
                <c:pt idx="75">
                  <c:v>10</c:v>
                </c:pt>
                <c:pt idx="76">
                  <c:v>4</c:v>
                </c:pt>
                <c:pt idx="77">
                  <c:v>4</c:v>
                </c:pt>
                <c:pt idx="78">
                  <c:v>2</c:v>
                </c:pt>
                <c:pt idx="79">
                  <c:v>4</c:v>
                </c:pt>
                <c:pt idx="80">
                  <c:v>2</c:v>
                </c:pt>
                <c:pt idx="81">
                  <c:v>2</c:v>
                </c:pt>
                <c:pt idx="82">
                  <c:v>3</c:v>
                </c:pt>
                <c:pt idx="83">
                  <c:v>2</c:v>
                </c:pt>
                <c:pt idx="84">
                  <c:v>2</c:v>
                </c:pt>
                <c:pt idx="85">
                  <c:v>4</c:v>
                </c:pt>
                <c:pt idx="86">
                  <c:v>2</c:v>
                </c:pt>
                <c:pt idx="87">
                  <c:v>3</c:v>
                </c:pt>
                <c:pt idx="88">
                  <c:v>2</c:v>
                </c:pt>
                <c:pt idx="89">
                  <c:v>3</c:v>
                </c:pt>
                <c:pt idx="90">
                  <c:v>4</c:v>
                </c:pt>
                <c:pt idx="91">
                  <c:v>2</c:v>
                </c:pt>
                <c:pt idx="92">
                  <c:v>1</c:v>
                </c:pt>
                <c:pt idx="93">
                  <c:v>2</c:v>
                </c:pt>
                <c:pt idx="94">
                  <c:v>6</c:v>
                </c:pt>
                <c:pt idx="95">
                  <c:v>1</c:v>
                </c:pt>
                <c:pt idx="96">
                  <c:v>3</c:v>
                </c:pt>
                <c:pt idx="97">
                  <c:v>6</c:v>
                </c:pt>
                <c:pt idx="98">
                  <c:v>5</c:v>
                </c:pt>
                <c:pt idx="99">
                  <c:v>3</c:v>
                </c:pt>
                <c:pt idx="100">
                  <c:v>1</c:v>
                </c:pt>
                <c:pt idx="101">
                  <c:v>3</c:v>
                </c:pt>
                <c:pt idx="102">
                  <c:v>2</c:v>
                </c:pt>
                <c:pt idx="103">
                  <c:v>2</c:v>
                </c:pt>
                <c:pt idx="104">
                  <c:v>3</c:v>
                </c:pt>
                <c:pt idx="105">
                  <c:v>2</c:v>
                </c:pt>
                <c:pt idx="106">
                  <c:v>1</c:v>
                </c:pt>
                <c:pt idx="107">
                  <c:v>2</c:v>
                </c:pt>
                <c:pt idx="108">
                  <c:v>2</c:v>
                </c:pt>
                <c:pt idx="109">
                  <c:v>2</c:v>
                </c:pt>
                <c:pt idx="110">
                  <c:v>3</c:v>
                </c:pt>
                <c:pt idx="111">
                  <c:v>3</c:v>
                </c:pt>
                <c:pt idx="112">
                  <c:v>3</c:v>
                </c:pt>
                <c:pt idx="113">
                  <c:v>3</c:v>
                </c:pt>
                <c:pt idx="114">
                  <c:v>3</c:v>
                </c:pt>
                <c:pt idx="115">
                  <c:v>1</c:v>
                </c:pt>
                <c:pt idx="116">
                  <c:v>3</c:v>
                </c:pt>
                <c:pt idx="117">
                  <c:v>6</c:v>
                </c:pt>
                <c:pt idx="118">
                  <c:v>5</c:v>
                </c:pt>
                <c:pt idx="119">
                  <c:v>2</c:v>
                </c:pt>
                <c:pt idx="120">
                  <c:v>4</c:v>
                </c:pt>
                <c:pt idx="121">
                  <c:v>5</c:v>
                </c:pt>
                <c:pt idx="122">
                  <c:v>5</c:v>
                </c:pt>
                <c:pt idx="123">
                  <c:v>4</c:v>
                </c:pt>
                <c:pt idx="124">
                  <c:v>5</c:v>
                </c:pt>
                <c:pt idx="125">
                  <c:v>5</c:v>
                </c:pt>
                <c:pt idx="126">
                  <c:v>1</c:v>
                </c:pt>
                <c:pt idx="127">
                  <c:v>1</c:v>
                </c:pt>
                <c:pt idx="128">
                  <c:v>2</c:v>
                </c:pt>
                <c:pt idx="129">
                  <c:v>2</c:v>
                </c:pt>
                <c:pt idx="130">
                  <c:v>7</c:v>
                </c:pt>
                <c:pt idx="131">
                  <c:v>8</c:v>
                </c:pt>
                <c:pt idx="132">
                  <c:v>4</c:v>
                </c:pt>
                <c:pt idx="133">
                  <c:v>11</c:v>
                </c:pt>
                <c:pt idx="134">
                  <c:v>4</c:v>
                </c:pt>
                <c:pt idx="135">
                  <c:v>6</c:v>
                </c:pt>
                <c:pt idx="136">
                  <c:v>1</c:v>
                </c:pt>
                <c:pt idx="137">
                  <c:v>1</c:v>
                </c:pt>
                <c:pt idx="138">
                  <c:v>4</c:v>
                </c:pt>
                <c:pt idx="139">
                  <c:v>5</c:v>
                </c:pt>
                <c:pt idx="140">
                  <c:v>2</c:v>
                </c:pt>
                <c:pt idx="141">
                  <c:v>2</c:v>
                </c:pt>
                <c:pt idx="142">
                  <c:v>3</c:v>
                </c:pt>
                <c:pt idx="143">
                  <c:v>4</c:v>
                </c:pt>
                <c:pt idx="144">
                  <c:v>7</c:v>
                </c:pt>
                <c:pt idx="145">
                  <c:v>2</c:v>
                </c:pt>
                <c:pt idx="146">
                  <c:v>4</c:v>
                </c:pt>
                <c:pt idx="147">
                  <c:v>3</c:v>
                </c:pt>
                <c:pt idx="148">
                  <c:v>3</c:v>
                </c:pt>
                <c:pt idx="149">
                  <c:v>5</c:v>
                </c:pt>
                <c:pt idx="150">
                  <c:v>6</c:v>
                </c:pt>
                <c:pt idx="151">
                  <c:v>2</c:v>
                </c:pt>
                <c:pt idx="152">
                  <c:v>9</c:v>
                </c:pt>
                <c:pt idx="153">
                  <c:v>5</c:v>
                </c:pt>
                <c:pt idx="154">
                  <c:v>3</c:v>
                </c:pt>
                <c:pt idx="155">
                  <c:v>4</c:v>
                </c:pt>
                <c:pt idx="156">
                  <c:v>8</c:v>
                </c:pt>
                <c:pt idx="157">
                  <c:v>6</c:v>
                </c:pt>
                <c:pt idx="158">
                  <c:v>4</c:v>
                </c:pt>
                <c:pt idx="159">
                  <c:v>4</c:v>
                </c:pt>
                <c:pt idx="160">
                  <c:v>3</c:v>
                </c:pt>
                <c:pt idx="161">
                  <c:v>1</c:v>
                </c:pt>
                <c:pt idx="162">
                  <c:v>2</c:v>
                </c:pt>
                <c:pt idx="163">
                  <c:v>2</c:v>
                </c:pt>
                <c:pt idx="164">
                  <c:v>1</c:v>
                </c:pt>
                <c:pt idx="165">
                  <c:v>2</c:v>
                </c:pt>
                <c:pt idx="166">
                  <c:v>3</c:v>
                </c:pt>
                <c:pt idx="167">
                  <c:v>5</c:v>
                </c:pt>
                <c:pt idx="168">
                  <c:v>8</c:v>
                </c:pt>
                <c:pt idx="169">
                  <c:v>4</c:v>
                </c:pt>
                <c:pt idx="170">
                  <c:v>5</c:v>
                </c:pt>
                <c:pt idx="171">
                  <c:v>1</c:v>
                </c:pt>
                <c:pt idx="172">
                  <c:v>4</c:v>
                </c:pt>
                <c:pt idx="173">
                  <c:v>4</c:v>
                </c:pt>
                <c:pt idx="174">
                  <c:v>1</c:v>
                </c:pt>
                <c:pt idx="175">
                  <c:v>4</c:v>
                </c:pt>
                <c:pt idx="176">
                  <c:v>7</c:v>
                </c:pt>
                <c:pt idx="177">
                  <c:v>8</c:v>
                </c:pt>
                <c:pt idx="178">
                  <c:v>1</c:v>
                </c:pt>
                <c:pt idx="179">
                  <c:v>7</c:v>
                </c:pt>
                <c:pt idx="180">
                  <c:v>5</c:v>
                </c:pt>
                <c:pt idx="181">
                  <c:v>10</c:v>
                </c:pt>
                <c:pt idx="182">
                  <c:v>8</c:v>
                </c:pt>
                <c:pt idx="183">
                  <c:v>2</c:v>
                </c:pt>
                <c:pt idx="184">
                  <c:v>5</c:v>
                </c:pt>
                <c:pt idx="185">
                  <c:v>10</c:v>
                </c:pt>
                <c:pt idx="186">
                  <c:v>5</c:v>
                </c:pt>
                <c:pt idx="187">
                  <c:v>4</c:v>
                </c:pt>
                <c:pt idx="188">
                  <c:v>8</c:v>
                </c:pt>
                <c:pt idx="189">
                  <c:v>5</c:v>
                </c:pt>
                <c:pt idx="190">
                  <c:v>6</c:v>
                </c:pt>
                <c:pt idx="191">
                  <c:v>4</c:v>
                </c:pt>
                <c:pt idx="192">
                  <c:v>3</c:v>
                </c:pt>
                <c:pt idx="193">
                  <c:v>3</c:v>
                </c:pt>
                <c:pt idx="194">
                  <c:v>1</c:v>
                </c:pt>
                <c:pt idx="195">
                  <c:v>8</c:v>
                </c:pt>
                <c:pt idx="196">
                  <c:v>4</c:v>
                </c:pt>
                <c:pt idx="197">
                  <c:v>1</c:v>
                </c:pt>
                <c:pt idx="198">
                  <c:v>1</c:v>
                </c:pt>
                <c:pt idx="199">
                  <c:v>1</c:v>
                </c:pt>
                <c:pt idx="200">
                  <c:v>1</c:v>
                </c:pt>
                <c:pt idx="201">
                  <c:v>5</c:v>
                </c:pt>
                <c:pt idx="202">
                  <c:v>2</c:v>
                </c:pt>
                <c:pt idx="203">
                  <c:v>1</c:v>
                </c:pt>
                <c:pt idx="204">
                  <c:v>2</c:v>
                </c:pt>
                <c:pt idx="205">
                  <c:v>4</c:v>
                </c:pt>
                <c:pt idx="206">
                  <c:v>1</c:v>
                </c:pt>
                <c:pt idx="207">
                  <c:v>1</c:v>
                </c:pt>
                <c:pt idx="208">
                  <c:v>2</c:v>
                </c:pt>
                <c:pt idx="209">
                  <c:v>5</c:v>
                </c:pt>
                <c:pt idx="210">
                  <c:v>4</c:v>
                </c:pt>
                <c:pt idx="211">
                  <c:v>2</c:v>
                </c:pt>
                <c:pt idx="212">
                  <c:v>3</c:v>
                </c:pt>
                <c:pt idx="213">
                  <c:v>4</c:v>
                </c:pt>
                <c:pt idx="214">
                  <c:v>4</c:v>
                </c:pt>
                <c:pt idx="215">
                  <c:v>1</c:v>
                </c:pt>
                <c:pt idx="216">
                  <c:v>2</c:v>
                </c:pt>
                <c:pt idx="217">
                  <c:v>6</c:v>
                </c:pt>
                <c:pt idx="218">
                  <c:v>4</c:v>
                </c:pt>
                <c:pt idx="219">
                  <c:v>4</c:v>
                </c:pt>
                <c:pt idx="220">
                  <c:v>4</c:v>
                </c:pt>
                <c:pt idx="221">
                  <c:v>1</c:v>
                </c:pt>
                <c:pt idx="222">
                  <c:v>7</c:v>
                </c:pt>
                <c:pt idx="223">
                  <c:v>5</c:v>
                </c:pt>
                <c:pt idx="224">
                  <c:v>6</c:v>
                </c:pt>
                <c:pt idx="225">
                  <c:v>7</c:v>
                </c:pt>
                <c:pt idx="226">
                  <c:v>3</c:v>
                </c:pt>
                <c:pt idx="227">
                  <c:v>1</c:v>
                </c:pt>
                <c:pt idx="228">
                  <c:v>3</c:v>
                </c:pt>
                <c:pt idx="229">
                  <c:v>4</c:v>
                </c:pt>
                <c:pt idx="230">
                  <c:v>3</c:v>
                </c:pt>
                <c:pt idx="231">
                  <c:v>6</c:v>
                </c:pt>
                <c:pt idx="232">
                  <c:v>2</c:v>
                </c:pt>
                <c:pt idx="233">
                  <c:v>5</c:v>
                </c:pt>
                <c:pt idx="234">
                  <c:v>5</c:v>
                </c:pt>
                <c:pt idx="235">
                  <c:v>2</c:v>
                </c:pt>
                <c:pt idx="236">
                  <c:v>9</c:v>
                </c:pt>
                <c:pt idx="237">
                  <c:v>4</c:v>
                </c:pt>
                <c:pt idx="238">
                  <c:v>4</c:v>
                </c:pt>
                <c:pt idx="239">
                  <c:v>4</c:v>
                </c:pt>
                <c:pt idx="240">
                  <c:v>5</c:v>
                </c:pt>
                <c:pt idx="241">
                  <c:v>2</c:v>
                </c:pt>
                <c:pt idx="242">
                  <c:v>5</c:v>
                </c:pt>
                <c:pt idx="243">
                  <c:v>5</c:v>
                </c:pt>
                <c:pt idx="244">
                  <c:v>2</c:v>
                </c:pt>
                <c:pt idx="245">
                  <c:v>1</c:v>
                </c:pt>
                <c:pt idx="246">
                  <c:v>6</c:v>
                </c:pt>
                <c:pt idx="247">
                  <c:v>3</c:v>
                </c:pt>
                <c:pt idx="248">
                  <c:v>10</c:v>
                </c:pt>
                <c:pt idx="249">
                  <c:v>4</c:v>
                </c:pt>
                <c:pt idx="250">
                  <c:v>3</c:v>
                </c:pt>
                <c:pt idx="251">
                  <c:v>2</c:v>
                </c:pt>
                <c:pt idx="252">
                  <c:v>1</c:v>
                </c:pt>
                <c:pt idx="253">
                  <c:v>3</c:v>
                </c:pt>
                <c:pt idx="254">
                  <c:v>6</c:v>
                </c:pt>
                <c:pt idx="255">
                  <c:v>4</c:v>
                </c:pt>
                <c:pt idx="256">
                  <c:v>5</c:v>
                </c:pt>
                <c:pt idx="257">
                  <c:v>5</c:v>
                </c:pt>
                <c:pt idx="258">
                  <c:v>4</c:v>
                </c:pt>
                <c:pt idx="259">
                  <c:v>2</c:v>
                </c:pt>
                <c:pt idx="260">
                  <c:v>5</c:v>
                </c:pt>
                <c:pt idx="261">
                  <c:v>2</c:v>
                </c:pt>
                <c:pt idx="262">
                  <c:v>3</c:v>
                </c:pt>
                <c:pt idx="263">
                  <c:v>6</c:v>
                </c:pt>
                <c:pt idx="264">
                  <c:v>6</c:v>
                </c:pt>
                <c:pt idx="265">
                  <c:v>2</c:v>
                </c:pt>
                <c:pt idx="266">
                  <c:v>5</c:v>
                </c:pt>
                <c:pt idx="267">
                  <c:v>3</c:v>
                </c:pt>
                <c:pt idx="268">
                  <c:v>3</c:v>
                </c:pt>
                <c:pt idx="269">
                  <c:v>2</c:v>
                </c:pt>
                <c:pt idx="270">
                  <c:v>3</c:v>
                </c:pt>
                <c:pt idx="271">
                  <c:v>1</c:v>
                </c:pt>
                <c:pt idx="272">
                  <c:v>8</c:v>
                </c:pt>
                <c:pt idx="273">
                  <c:v>5</c:v>
                </c:pt>
                <c:pt idx="274">
                  <c:v>2</c:v>
                </c:pt>
                <c:pt idx="275">
                  <c:v>4</c:v>
                </c:pt>
                <c:pt idx="276">
                  <c:v>1</c:v>
                </c:pt>
                <c:pt idx="277">
                  <c:v>2</c:v>
                </c:pt>
                <c:pt idx="278">
                  <c:v>3</c:v>
                </c:pt>
                <c:pt idx="279">
                  <c:v>11</c:v>
                </c:pt>
                <c:pt idx="280">
                  <c:v>8</c:v>
                </c:pt>
                <c:pt idx="281">
                  <c:v>10</c:v>
                </c:pt>
                <c:pt idx="282">
                  <c:v>9</c:v>
                </c:pt>
                <c:pt idx="283">
                  <c:v>5</c:v>
                </c:pt>
                <c:pt idx="284">
                  <c:v>8</c:v>
                </c:pt>
                <c:pt idx="285">
                  <c:v>3</c:v>
                </c:pt>
                <c:pt idx="286">
                  <c:v>5</c:v>
                </c:pt>
                <c:pt idx="287">
                  <c:v>6</c:v>
                </c:pt>
                <c:pt idx="288">
                  <c:v>7</c:v>
                </c:pt>
                <c:pt idx="289">
                  <c:v>13</c:v>
                </c:pt>
                <c:pt idx="290">
                  <c:v>5</c:v>
                </c:pt>
                <c:pt idx="291">
                  <c:v>5</c:v>
                </c:pt>
              </c:numCache>
            </c:numRef>
          </c:val>
          <c:extLst>
            <c:ext xmlns:c16="http://schemas.microsoft.com/office/drawing/2014/chart" uri="{C3380CC4-5D6E-409C-BE32-E72D297353CC}">
              <c16:uniqueId val="{0000000A-BF01-418D-838F-61BF340FBFDE}"/>
            </c:ext>
          </c:extLst>
        </c:ser>
        <c:dLbls>
          <c:showLegendKey val="0"/>
          <c:showVal val="0"/>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54959056"/>
        <c:axId val="1376540720"/>
      </c:areaChart>
      <c:catAx>
        <c:axId val="1254959056"/>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76540720"/>
        <c:crosses val="autoZero"/>
        <c:auto val="1"/>
        <c:lblAlgn val="ctr"/>
        <c:lblOffset val="100"/>
        <c:noMultiLvlLbl val="0"/>
      </c:catAx>
      <c:valAx>
        <c:axId val="1376540720"/>
        <c:scaling>
          <c:orientation val="minMax"/>
        </c:scaling>
        <c:delete val="1"/>
        <c:axPos val="l"/>
        <c:numFmt formatCode="General" sourceLinked="1"/>
        <c:majorTickMark val="out"/>
        <c:minorTickMark val="none"/>
        <c:tickLblPos val="nextTo"/>
        <c:crossAx val="12549590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study.xlsm]Start Point!PivotTable2</c:name>
    <c:fmtId val="14"/>
  </c:pivotSource>
  <c:chart>
    <c:title>
      <c:tx>
        <c:rich>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r>
              <a:rPr lang="en-US" sz="1400" b="1">
                <a:solidFill>
                  <a:schemeClr val="bg1"/>
                </a:solidFill>
              </a:rPr>
              <a:t>Most</a:t>
            </a:r>
            <a:r>
              <a:rPr lang="en-US" sz="1400" b="1" baseline="0">
                <a:solidFill>
                  <a:schemeClr val="bg1"/>
                </a:solidFill>
              </a:rPr>
              <a:t> Common </a:t>
            </a:r>
            <a:r>
              <a:rPr lang="en-US" sz="1400" b="1">
                <a:solidFill>
                  <a:schemeClr val="bg1"/>
                </a:solidFill>
              </a:rPr>
              <a:t>Start Point</a:t>
            </a:r>
            <a:endParaRPr lang="en-US" sz="1400" b="1" baseline="0">
              <a:solidFill>
                <a:schemeClr val="bg1"/>
              </a:solidFill>
            </a:endParaRPr>
          </a:p>
        </c:rich>
      </c:tx>
      <c:overlay val="0"/>
      <c:spPr>
        <a:solidFill>
          <a:srgbClr val="002060"/>
        </a:solid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pivotFmt>
      <c:pivotFmt>
        <c:idx val="8"/>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w="19050">
            <a:solidFill>
              <a:schemeClr val="bg1"/>
            </a:solidFill>
          </a:ln>
          <a:effectLst/>
        </c:spPr>
      </c:pivotFmt>
    </c:pivotFmts>
    <c:plotArea>
      <c:layout>
        <c:manualLayout>
          <c:layoutTarget val="inner"/>
          <c:xMode val="edge"/>
          <c:yMode val="edge"/>
          <c:x val="0.16347127210490339"/>
          <c:y val="0.14940908828704103"/>
          <c:w val="0.81525636208992758"/>
          <c:h val="0.76726551008047073"/>
        </c:manualLayout>
      </c:layout>
      <c:barChart>
        <c:barDir val="bar"/>
        <c:grouping val="clustered"/>
        <c:varyColors val="0"/>
        <c:ser>
          <c:idx val="0"/>
          <c:order val="0"/>
          <c:tx>
            <c:strRef>
              <c:f>'Start Point'!$B$3</c:f>
              <c:strCache>
                <c:ptCount val="1"/>
                <c:pt idx="0">
                  <c:v>Total</c:v>
                </c:pt>
              </c:strCache>
            </c:strRef>
          </c:tx>
          <c:spPr>
            <a:solidFill>
              <a:schemeClr val="accent1"/>
            </a:solidFill>
            <a:ln w="19050">
              <a:solidFill>
                <a:schemeClr val="bg1"/>
              </a:solidFill>
            </a:ln>
            <a:effectLst/>
          </c:spPr>
          <c:invertIfNegative val="0"/>
          <c:dPt>
            <c:idx val="1"/>
            <c:invertIfNegative val="0"/>
            <c:bubble3D val="0"/>
            <c:extLst>
              <c:ext xmlns:c16="http://schemas.microsoft.com/office/drawing/2014/chart" uri="{C3380CC4-5D6E-409C-BE32-E72D297353CC}">
                <c16:uniqueId val="{00000006-F516-4A8C-AD73-E47B6EB205F8}"/>
              </c:ext>
            </c:extLst>
          </c:dPt>
          <c:dPt>
            <c:idx val="4"/>
            <c:invertIfNegative val="0"/>
            <c:bubble3D val="0"/>
            <c:spPr>
              <a:solidFill>
                <a:schemeClr val="accent2"/>
              </a:solidFill>
              <a:ln w="19050">
                <a:solidFill>
                  <a:schemeClr val="bg1"/>
                </a:solidFill>
              </a:ln>
              <a:effectLst/>
            </c:spPr>
            <c:extLst>
              <c:ext xmlns:c16="http://schemas.microsoft.com/office/drawing/2014/chart" uri="{C3380CC4-5D6E-409C-BE32-E72D297353CC}">
                <c16:uniqueId val="{00000008-F516-4A8C-AD73-E47B6EB205F8}"/>
              </c:ext>
            </c:extLst>
          </c:dPt>
          <c:dPt>
            <c:idx val="6"/>
            <c:invertIfNegative val="0"/>
            <c:bubble3D val="0"/>
            <c:extLst>
              <c:ext xmlns:c16="http://schemas.microsoft.com/office/drawing/2014/chart" uri="{C3380CC4-5D6E-409C-BE32-E72D297353CC}">
                <c16:uniqueId val="{00000003-505E-4062-A4FE-A6EB75FB89C3}"/>
              </c:ext>
            </c:extLst>
          </c:dPt>
          <c:dPt>
            <c:idx val="9"/>
            <c:invertIfNegative val="0"/>
            <c:bubble3D val="0"/>
            <c:extLst>
              <c:ext xmlns:c16="http://schemas.microsoft.com/office/drawing/2014/chart" uri="{C3380CC4-5D6E-409C-BE32-E72D297353CC}">
                <c16:uniqueId val="{00000009-F516-4A8C-AD73-E47B6EB205F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'Start Point'!$A$4:$A$9</c:f>
              <c:strCache>
                <c:ptCount val="5"/>
                <c:pt idx="0">
                  <c:v>Islamabad</c:v>
                </c:pt>
                <c:pt idx="1">
                  <c:v>Whitebridge</c:v>
                </c:pt>
                <c:pt idx="2">
                  <c:v>Morrisville</c:v>
                </c:pt>
                <c:pt idx="3">
                  <c:v>Unknown Location</c:v>
                </c:pt>
                <c:pt idx="4">
                  <c:v>Cary</c:v>
                </c:pt>
              </c:strCache>
            </c:strRef>
          </c:cat>
          <c:val>
            <c:numRef>
              <c:f>'Start Point'!$B$4:$B$9</c:f>
              <c:numCache>
                <c:formatCode>General</c:formatCode>
                <c:ptCount val="5"/>
                <c:pt idx="0">
                  <c:v>56</c:v>
                </c:pt>
                <c:pt idx="1">
                  <c:v>68</c:v>
                </c:pt>
                <c:pt idx="2">
                  <c:v>85</c:v>
                </c:pt>
                <c:pt idx="3">
                  <c:v>146</c:v>
                </c:pt>
                <c:pt idx="4">
                  <c:v>201</c:v>
                </c:pt>
              </c:numCache>
            </c:numRef>
          </c:val>
          <c:extLst>
            <c:ext xmlns:c16="http://schemas.microsoft.com/office/drawing/2014/chart" uri="{C3380CC4-5D6E-409C-BE32-E72D297353CC}">
              <c16:uniqueId val="{0000000A-F516-4A8C-AD73-E47B6EB205F8}"/>
            </c:ext>
          </c:extLst>
        </c:ser>
        <c:dLbls>
          <c:dLblPos val="out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solidFill>
            <a:srgbClr val="00206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B0F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069718736"/>
        <c:crosses val="autoZero"/>
        <c:crossBetween val="between"/>
      </c:valAx>
      <c:spPr>
        <a:solidFill>
          <a:srgbClr val="002060"/>
        </a:solidFill>
      </c:spPr>
    </c:plotArea>
    <c:plotVisOnly val="1"/>
    <c:dispBlanksAs val="gap"/>
    <c:showDLblsOverMax val="0"/>
    <c:extLst/>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study.xlsm]Stop Point!PivotTable2</c:name>
    <c:fmtId val="11"/>
  </c:pivotSource>
  <c:chart>
    <c:title>
      <c:tx>
        <c:rich>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r>
              <a:rPr lang="en-US" sz="1400" b="1" baseline="0">
                <a:solidFill>
                  <a:schemeClr val="bg1"/>
                </a:solidFill>
              </a:rPr>
              <a:t>Most Common Stop Points</a:t>
            </a:r>
          </a:p>
        </c:rich>
      </c:tx>
      <c:overlay val="0"/>
      <c:spPr>
        <a:solidFill>
          <a:srgbClr val="002060"/>
        </a:solidFill>
        <a:ln>
          <a:noFill/>
        </a:ln>
        <a:effectLst/>
      </c:spPr>
      <c:txPr>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pivotFmt>
      <c:pivotFmt>
        <c:idx val="6"/>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19050">
            <a:solidFill>
              <a:schemeClr val="bg1"/>
            </a:solidFill>
          </a:ln>
          <a:effectLst/>
        </c:spPr>
      </c:pivotFmt>
    </c:pivotFmts>
    <c:plotArea>
      <c:layout>
        <c:manualLayout>
          <c:layoutTarget val="inner"/>
          <c:xMode val="edge"/>
          <c:yMode val="edge"/>
          <c:x val="0.16347127210490339"/>
          <c:y val="0.17934674832312628"/>
          <c:w val="0.81525636208992758"/>
          <c:h val="0.70831826577233403"/>
        </c:manualLayout>
      </c:layout>
      <c:barChart>
        <c:barDir val="bar"/>
        <c:grouping val="clustered"/>
        <c:varyColors val="0"/>
        <c:ser>
          <c:idx val="0"/>
          <c:order val="0"/>
          <c:tx>
            <c:strRef>
              <c:f>'Stop Point'!$B$3</c:f>
              <c:strCache>
                <c:ptCount val="1"/>
                <c:pt idx="0">
                  <c:v>Total</c:v>
                </c:pt>
              </c:strCache>
            </c:strRef>
          </c:tx>
          <c:spPr>
            <a:solidFill>
              <a:schemeClr val="accent1"/>
            </a:solidFill>
            <a:ln w="19050">
              <a:solidFill>
                <a:schemeClr val="bg1"/>
              </a:solidFill>
            </a:ln>
            <a:effectLst/>
          </c:spPr>
          <c:invertIfNegative val="0"/>
          <c:dPt>
            <c:idx val="1"/>
            <c:invertIfNegative val="0"/>
            <c:bubble3D val="0"/>
            <c:extLst>
              <c:ext xmlns:c16="http://schemas.microsoft.com/office/drawing/2014/chart" uri="{C3380CC4-5D6E-409C-BE32-E72D297353CC}">
                <c16:uniqueId val="{00000000-BBCD-46FF-BD77-8B8F51C33039}"/>
              </c:ext>
            </c:extLst>
          </c:dPt>
          <c:dPt>
            <c:idx val="4"/>
            <c:invertIfNegative val="0"/>
            <c:bubble3D val="0"/>
            <c:spPr>
              <a:solidFill>
                <a:schemeClr val="accent2"/>
              </a:solidFill>
              <a:ln w="19050">
                <a:solidFill>
                  <a:schemeClr val="bg1"/>
                </a:solidFill>
              </a:ln>
              <a:effectLst/>
            </c:spPr>
            <c:extLst>
              <c:ext xmlns:c16="http://schemas.microsoft.com/office/drawing/2014/chart" uri="{C3380CC4-5D6E-409C-BE32-E72D297353CC}">
                <c16:uniqueId val="{00000002-BBCD-46FF-BD77-8B8F51C33039}"/>
              </c:ext>
            </c:extLst>
          </c:dPt>
          <c:dPt>
            <c:idx val="6"/>
            <c:invertIfNegative val="0"/>
            <c:bubble3D val="0"/>
            <c:extLst>
              <c:ext xmlns:c16="http://schemas.microsoft.com/office/drawing/2014/chart" uri="{C3380CC4-5D6E-409C-BE32-E72D297353CC}">
                <c16:uniqueId val="{00000003-497B-4D2F-866E-2F190E92AD53}"/>
              </c:ext>
            </c:extLst>
          </c:dPt>
          <c:dPt>
            <c:idx val="9"/>
            <c:invertIfNegative val="0"/>
            <c:bubble3D val="0"/>
            <c:extLst>
              <c:ext xmlns:c16="http://schemas.microsoft.com/office/drawing/2014/chart" uri="{C3380CC4-5D6E-409C-BE32-E72D297353CC}">
                <c16:uniqueId val="{00000003-BBCD-46FF-BD77-8B8F51C33039}"/>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'Stop Point'!$A$4:$A$9</c:f>
              <c:strCache>
                <c:ptCount val="5"/>
                <c:pt idx="0">
                  <c:v>Islamabad</c:v>
                </c:pt>
                <c:pt idx="1">
                  <c:v>Whitebridge</c:v>
                </c:pt>
                <c:pt idx="2">
                  <c:v>Morrisville</c:v>
                </c:pt>
                <c:pt idx="3">
                  <c:v>Unknown Location</c:v>
                </c:pt>
                <c:pt idx="4">
                  <c:v>Cary</c:v>
                </c:pt>
              </c:strCache>
            </c:strRef>
          </c:cat>
          <c:val>
            <c:numRef>
              <c:f>'Stop Point'!$B$4:$B$9</c:f>
              <c:numCache>
                <c:formatCode>General</c:formatCode>
                <c:ptCount val="5"/>
                <c:pt idx="0">
                  <c:v>57</c:v>
                </c:pt>
                <c:pt idx="1">
                  <c:v>65</c:v>
                </c:pt>
                <c:pt idx="2">
                  <c:v>84</c:v>
                </c:pt>
                <c:pt idx="3">
                  <c:v>147</c:v>
                </c:pt>
                <c:pt idx="4">
                  <c:v>203</c:v>
                </c:pt>
              </c:numCache>
            </c:numRef>
          </c:val>
          <c:extLst>
            <c:ext xmlns:c16="http://schemas.microsoft.com/office/drawing/2014/chart" uri="{C3380CC4-5D6E-409C-BE32-E72D297353CC}">
              <c16:uniqueId val="{00000004-BBCD-46FF-BD77-8B8F51C33039}"/>
            </c:ext>
          </c:extLst>
        </c:ser>
        <c:dLbls>
          <c:dLblPos val="out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solidFill>
            <a:srgbClr val="00206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B0F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06971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study.xlsm]Category!PivotTable1</c:name>
    <c:fmtId val="11"/>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b="1">
                <a:solidFill>
                  <a:schemeClr val="bg1"/>
                </a:solidFill>
              </a:rPr>
              <a:t>Distribution of Categories</a:t>
            </a:r>
          </a:p>
        </c:rich>
      </c:tx>
      <c:overlay val="0"/>
      <c:spPr>
        <a:solidFill>
          <a:srgbClr val="002060"/>
        </a:solid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rgbClr val="002060"/>
            </a:solidFill>
            <a:ln>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7182130584192432"/>
              <c:y val="5.7034220532319393E-2"/>
            </c:manualLayout>
          </c:layout>
          <c:spPr>
            <a:solidFill>
              <a:srgbClr val="002060"/>
            </a:solidFill>
            <a:ln>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245704467353952"/>
              <c:y val="-0.10773130544993666"/>
            </c:manualLayout>
          </c:layout>
          <c:spPr>
            <a:solidFill>
              <a:srgbClr val="002060"/>
            </a:solidFill>
            <a:ln>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Category!$B$3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22-4DA3-8A02-2CB9A7B8DD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22-4DA3-8A02-2CB9A7B8DD84}"/>
              </c:ext>
            </c:extLst>
          </c:dPt>
          <c:dLbls>
            <c:dLbl>
              <c:idx val="0"/>
              <c:layout>
                <c:manualLayout>
                  <c:x val="0.17182130584192432"/>
                  <c:y val="5.7034220532319393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F22-4DA3-8A02-2CB9A7B8DD84}"/>
                </c:ext>
              </c:extLst>
            </c:dLbl>
            <c:dLbl>
              <c:idx val="1"/>
              <c:layout>
                <c:manualLayout>
                  <c:x val="-0.1245704467353952"/>
                  <c:y val="-0.10773130544993666"/>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F22-4DA3-8A02-2CB9A7B8DD84}"/>
                </c:ext>
              </c:extLst>
            </c:dLbl>
            <c:spPr>
              <a:solidFill>
                <a:srgbClr val="002060"/>
              </a:solidFill>
              <a:ln>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Category!$A$4:$A$6</c:f>
              <c:strCache>
                <c:ptCount val="2"/>
                <c:pt idx="0">
                  <c:v>Business</c:v>
                </c:pt>
                <c:pt idx="1">
                  <c:v>Personal</c:v>
                </c:pt>
              </c:strCache>
            </c:strRef>
          </c:cat>
          <c:val>
            <c:numRef>
              <c:f>Category!$B$4:$B$6</c:f>
              <c:numCache>
                <c:formatCode>General</c:formatCode>
                <c:ptCount val="2"/>
                <c:pt idx="0">
                  <c:v>1073</c:v>
                </c:pt>
                <c:pt idx="1">
                  <c:v>76</c:v>
                </c:pt>
              </c:numCache>
            </c:numRef>
          </c:val>
          <c:extLst>
            <c:ext xmlns:c16="http://schemas.microsoft.com/office/drawing/2014/chart" uri="{C3380CC4-5D6E-409C-BE32-E72D297353CC}">
              <c16:uniqueId val="{00000004-2F22-4DA3-8A02-2CB9A7B8DD84}"/>
            </c:ext>
          </c:extLst>
        </c:ser>
        <c:dLbls>
          <c:showLegendKey val="0"/>
          <c:showVal val="0"/>
          <c:showCatName val="0"/>
          <c:showSerName val="0"/>
          <c:showPercent val="0"/>
          <c:showBubbleSize val="0"/>
          <c:showLeaderLines val="0"/>
        </c:dLbls>
        <c:firstSliceAng val="336"/>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study.xlsm]Days!PivotTable1</c:name>
    <c:fmtId val="4"/>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Number</a:t>
            </a:r>
            <a:r>
              <a:rPr lang="en-US" b="1" baseline="0">
                <a:solidFill>
                  <a:schemeClr val="bg1"/>
                </a:solidFill>
              </a:rPr>
              <a:t> Of Rides On Days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w="19050">
            <a:solidFill>
              <a:schemeClr val="bg1"/>
            </a:solidFill>
          </a:ln>
          <a:effectLst/>
        </c:spPr>
        <c:marker>
          <c:symbol val="none"/>
        </c:marker>
        <c:dLbl>
          <c:idx val="0"/>
          <c:spPr>
            <a:solidFill>
              <a:srgbClr val="00206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w="19050">
            <a:solidFill>
              <a:schemeClr val="bg1"/>
            </a:solidFill>
          </a:ln>
          <a:effectLst/>
        </c:spPr>
      </c:pivotFmt>
    </c:pivotFmts>
    <c:plotArea>
      <c:layout/>
      <c:barChart>
        <c:barDir val="col"/>
        <c:grouping val="clustered"/>
        <c:varyColors val="0"/>
        <c:ser>
          <c:idx val="0"/>
          <c:order val="0"/>
          <c:tx>
            <c:strRef>
              <c:f>Days!$B$3</c:f>
              <c:strCache>
                <c:ptCount val="1"/>
                <c:pt idx="0">
                  <c:v>Total</c:v>
                </c:pt>
              </c:strCache>
            </c:strRef>
          </c:tx>
          <c:spPr>
            <a:solidFill>
              <a:schemeClr val="accent1"/>
            </a:solidFill>
            <a:ln w="19050">
              <a:solidFill>
                <a:schemeClr val="bg1"/>
              </a:solidFill>
            </a:ln>
            <a:effectLst/>
          </c:spPr>
          <c:invertIfNegative val="0"/>
          <c:dPt>
            <c:idx val="4"/>
            <c:invertIfNegative val="0"/>
            <c:bubble3D val="0"/>
            <c:spPr>
              <a:solidFill>
                <a:schemeClr val="accent2"/>
              </a:solidFill>
              <a:ln w="19050">
                <a:solidFill>
                  <a:schemeClr val="bg1"/>
                </a:solidFill>
              </a:ln>
              <a:effectLst/>
            </c:spPr>
            <c:extLst>
              <c:ext xmlns:c16="http://schemas.microsoft.com/office/drawing/2014/chart" uri="{C3380CC4-5D6E-409C-BE32-E72D297353CC}">
                <c16:uniqueId val="{00000001-AC91-4CC9-9D37-D6653A383977}"/>
              </c:ext>
            </c:extLst>
          </c:dPt>
          <c:dLbls>
            <c:spPr>
              <a:solidFill>
                <a:srgbClr val="00206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Days!$A$4:$A$11</c:f>
              <c:strCache>
                <c:ptCount val="7"/>
                <c:pt idx="0">
                  <c:v>Monday</c:v>
                </c:pt>
                <c:pt idx="1">
                  <c:v>Tuesday</c:v>
                </c:pt>
                <c:pt idx="2">
                  <c:v>Wednesday</c:v>
                </c:pt>
                <c:pt idx="3">
                  <c:v>Thursday</c:v>
                </c:pt>
                <c:pt idx="4">
                  <c:v>Friday</c:v>
                </c:pt>
                <c:pt idx="5">
                  <c:v>Saturday</c:v>
                </c:pt>
                <c:pt idx="6">
                  <c:v>Sunday</c:v>
                </c:pt>
              </c:strCache>
            </c:strRef>
          </c:cat>
          <c:val>
            <c:numRef>
              <c:f>Days!$B$4:$B$11</c:f>
              <c:numCache>
                <c:formatCode>General</c:formatCode>
                <c:ptCount val="7"/>
                <c:pt idx="0">
                  <c:v>172</c:v>
                </c:pt>
                <c:pt idx="1">
                  <c:v>172</c:v>
                </c:pt>
                <c:pt idx="2">
                  <c:v>137</c:v>
                </c:pt>
                <c:pt idx="3">
                  <c:v>156</c:v>
                </c:pt>
                <c:pt idx="4">
                  <c:v>184</c:v>
                </c:pt>
                <c:pt idx="5">
                  <c:v>155</c:v>
                </c:pt>
                <c:pt idx="6">
                  <c:v>173</c:v>
                </c:pt>
              </c:numCache>
            </c:numRef>
          </c:val>
          <c:extLst>
            <c:ext xmlns:c16="http://schemas.microsoft.com/office/drawing/2014/chart" uri="{C3380CC4-5D6E-409C-BE32-E72D297353CC}">
              <c16:uniqueId val="{00000002-AC91-4CC9-9D37-D6653A383977}"/>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00B0F0"/>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00B0F0"/>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study.xlsm]Time!PivotTable2</c:name>
    <c:fmtId val="14"/>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rides</a:t>
            </a:r>
            <a:r>
              <a:rPr lang="en-US" baseline="0"/>
              <a:t> booking time</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pivotFmt>
    </c:pivotFmts>
    <c:plotArea>
      <c:layout/>
      <c:lineChart>
        <c:grouping val="standard"/>
        <c:varyColors val="0"/>
        <c:ser>
          <c:idx val="0"/>
          <c:order val="0"/>
          <c:tx>
            <c:strRef>
              <c:f>Time!$B$3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Time!$A$4:$A$27</c:f>
              <c:strCache>
                <c:ptCount val="23"/>
                <c:pt idx="0">
                  <c:v>00</c:v>
                </c:pt>
                <c:pt idx="1">
                  <c:v>01</c:v>
                </c:pt>
                <c:pt idx="2">
                  <c:v>02</c:v>
                </c:pt>
                <c:pt idx="3">
                  <c:v>03</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strCache>
            </c:strRef>
          </c:cat>
          <c:val>
            <c:numRef>
              <c:f>Time!$B$4:$B$27</c:f>
              <c:numCache>
                <c:formatCode>General</c:formatCode>
                <c:ptCount val="23"/>
                <c:pt idx="0">
                  <c:v>19</c:v>
                </c:pt>
                <c:pt idx="1">
                  <c:v>5</c:v>
                </c:pt>
                <c:pt idx="2">
                  <c:v>2</c:v>
                </c:pt>
                <c:pt idx="3">
                  <c:v>3</c:v>
                </c:pt>
                <c:pt idx="4">
                  <c:v>4</c:v>
                </c:pt>
                <c:pt idx="5">
                  <c:v>4</c:v>
                </c:pt>
                <c:pt idx="6">
                  <c:v>12</c:v>
                </c:pt>
                <c:pt idx="7">
                  <c:v>35</c:v>
                </c:pt>
                <c:pt idx="8">
                  <c:v>51</c:v>
                </c:pt>
                <c:pt idx="9">
                  <c:v>64</c:v>
                </c:pt>
                <c:pt idx="10">
                  <c:v>72</c:v>
                </c:pt>
                <c:pt idx="11">
                  <c:v>77</c:v>
                </c:pt>
                <c:pt idx="12">
                  <c:v>93</c:v>
                </c:pt>
                <c:pt idx="13">
                  <c:v>89</c:v>
                </c:pt>
                <c:pt idx="14">
                  <c:v>97</c:v>
                </c:pt>
                <c:pt idx="15">
                  <c:v>88</c:v>
                </c:pt>
                <c:pt idx="16">
                  <c:v>94</c:v>
                </c:pt>
                <c:pt idx="17">
                  <c:v>94</c:v>
                </c:pt>
                <c:pt idx="18">
                  <c:v>68</c:v>
                </c:pt>
                <c:pt idx="19">
                  <c:v>71</c:v>
                </c:pt>
                <c:pt idx="20">
                  <c:v>51</c:v>
                </c:pt>
                <c:pt idx="21">
                  <c:v>31</c:v>
                </c:pt>
                <c:pt idx="22">
                  <c:v>25</c:v>
                </c:pt>
              </c:numCache>
            </c:numRef>
          </c:val>
          <c:smooth val="0"/>
          <c:extLst>
            <c:ext xmlns:c16="http://schemas.microsoft.com/office/drawing/2014/chart" uri="{C3380CC4-5D6E-409C-BE32-E72D297353CC}">
              <c16:uniqueId val="{00000000-CE49-4F92-B835-BF895BD13108}"/>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32878800"/>
        <c:axId val="414427168"/>
      </c:lineChart>
      <c:catAx>
        <c:axId val="33287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414427168"/>
        <c:crosses val="autoZero"/>
        <c:auto val="1"/>
        <c:lblAlgn val="ctr"/>
        <c:lblOffset val="100"/>
        <c:noMultiLvlLbl val="0"/>
      </c:catAx>
      <c:valAx>
        <c:axId val="414427168"/>
        <c:scaling>
          <c:orientation val="minMax"/>
        </c:scaling>
        <c:delete val="1"/>
        <c:axPos val="l"/>
        <c:numFmt formatCode="General" sourceLinked="1"/>
        <c:majorTickMark val="none"/>
        <c:minorTickMark val="none"/>
        <c:tickLblPos val="nextTo"/>
        <c:crossAx val="33287880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study.xlsm]Purpose!PivotTable1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chemeClr val="bg1"/>
                </a:solidFill>
              </a:rPr>
              <a:t>Rides Booked For Diffrent Purpose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pivotFmt>
      <c:pivotFmt>
        <c:idx val="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solidFill>
              <a:srgbClr val="00206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pivotFmt>
    </c:pivotFmts>
    <c:plotArea>
      <c:layout/>
      <c:barChart>
        <c:barDir val="col"/>
        <c:grouping val="clustered"/>
        <c:varyColors val="0"/>
        <c:ser>
          <c:idx val="0"/>
          <c:order val="0"/>
          <c:tx>
            <c:strRef>
              <c:f>Purpose!$B$3</c:f>
              <c:strCache>
                <c:ptCount val="1"/>
                <c:pt idx="0">
                  <c:v>Total</c:v>
                </c:pt>
              </c:strCache>
            </c:strRef>
          </c:tx>
          <c:spPr>
            <a:solidFill>
              <a:schemeClr val="accent1"/>
            </a:solidFill>
            <a:ln>
              <a:noFill/>
            </a:ln>
            <a:effectLst/>
          </c:spPr>
          <c:invertIfNegative val="0"/>
          <c:dPt>
            <c:idx val="4"/>
            <c:invertIfNegative val="0"/>
            <c:bubble3D val="0"/>
            <c:extLst>
              <c:ext xmlns:c16="http://schemas.microsoft.com/office/drawing/2014/chart" uri="{C3380CC4-5D6E-409C-BE32-E72D297353CC}">
                <c16:uniqueId val="{00000001-EF99-4559-9787-D8C9ABD1582B}"/>
              </c:ext>
            </c:extLst>
          </c:dPt>
          <c:dPt>
            <c:idx val="7"/>
            <c:invertIfNegative val="0"/>
            <c:bubble3D val="0"/>
            <c:spPr>
              <a:solidFill>
                <a:schemeClr val="accent2"/>
              </a:solidFill>
              <a:ln>
                <a:noFill/>
              </a:ln>
              <a:effectLst/>
            </c:spPr>
          </c:dPt>
          <c:dLbls>
            <c:spPr>
              <a:solidFill>
                <a:srgbClr val="00206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Purpose!$A$4:$A$15</c:f>
              <c:strCache>
                <c:ptCount val="11"/>
                <c:pt idx="0">
                  <c:v>Airport/Travel</c:v>
                </c:pt>
                <c:pt idx="1">
                  <c:v>Between Offices</c:v>
                </c:pt>
                <c:pt idx="2">
                  <c:v>Charity ($)</c:v>
                </c:pt>
                <c:pt idx="3">
                  <c:v>Commute</c:v>
                </c:pt>
                <c:pt idx="4">
                  <c:v>Customer Visit</c:v>
                </c:pt>
                <c:pt idx="5">
                  <c:v>Errand/Supplies</c:v>
                </c:pt>
                <c:pt idx="6">
                  <c:v>Meal/Entertain</c:v>
                </c:pt>
                <c:pt idx="7">
                  <c:v>Meeting</c:v>
                </c:pt>
                <c:pt idx="8">
                  <c:v>Moving</c:v>
                </c:pt>
                <c:pt idx="9">
                  <c:v>No Purpose</c:v>
                </c:pt>
                <c:pt idx="10">
                  <c:v>Temporary Site</c:v>
                </c:pt>
              </c:strCache>
            </c:strRef>
          </c:cat>
          <c:val>
            <c:numRef>
              <c:f>Purpose!$B$4:$B$15</c:f>
              <c:numCache>
                <c:formatCode>General</c:formatCode>
                <c:ptCount val="11"/>
                <c:pt idx="0">
                  <c:v>3</c:v>
                </c:pt>
                <c:pt idx="1">
                  <c:v>18</c:v>
                </c:pt>
                <c:pt idx="2">
                  <c:v>1</c:v>
                </c:pt>
                <c:pt idx="3">
                  <c:v>1</c:v>
                </c:pt>
                <c:pt idx="4">
                  <c:v>101</c:v>
                </c:pt>
                <c:pt idx="5">
                  <c:v>128</c:v>
                </c:pt>
                <c:pt idx="6">
                  <c:v>160</c:v>
                </c:pt>
                <c:pt idx="7">
                  <c:v>187</c:v>
                </c:pt>
                <c:pt idx="8">
                  <c:v>4</c:v>
                </c:pt>
                <c:pt idx="9">
                  <c:v>496</c:v>
                </c:pt>
                <c:pt idx="10">
                  <c:v>50</c:v>
                </c:pt>
              </c:numCache>
            </c:numRef>
          </c:val>
          <c:extLst>
            <c:ext xmlns:c16="http://schemas.microsoft.com/office/drawing/2014/chart" uri="{C3380CC4-5D6E-409C-BE32-E72D297353CC}">
              <c16:uniqueId val="{00000000-AB0B-4A66-8DFC-9F8C0A540914}"/>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B0F0"/>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00B0F0"/>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study.xlsm]Days!PivotTable1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Rides On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pivotFmt>
    </c:pivotFmts>
    <c:plotArea>
      <c:layout/>
      <c:barChart>
        <c:barDir val="col"/>
        <c:grouping val="clustered"/>
        <c:varyColors val="0"/>
        <c:ser>
          <c:idx val="0"/>
          <c:order val="0"/>
          <c:tx>
            <c:strRef>
              <c:f>Days!$B$3</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Days!$A$4:$A$11</c:f>
              <c:strCache>
                <c:ptCount val="7"/>
                <c:pt idx="0">
                  <c:v>Monday</c:v>
                </c:pt>
                <c:pt idx="1">
                  <c:v>Tuesday</c:v>
                </c:pt>
                <c:pt idx="2">
                  <c:v>Wednesday</c:v>
                </c:pt>
                <c:pt idx="3">
                  <c:v>Thursday</c:v>
                </c:pt>
                <c:pt idx="4">
                  <c:v>Friday</c:v>
                </c:pt>
                <c:pt idx="5">
                  <c:v>Saturday</c:v>
                </c:pt>
                <c:pt idx="6">
                  <c:v>Sunday</c:v>
                </c:pt>
              </c:strCache>
            </c:strRef>
          </c:cat>
          <c:val>
            <c:numRef>
              <c:f>Days!$B$4:$B$11</c:f>
              <c:numCache>
                <c:formatCode>General</c:formatCode>
                <c:ptCount val="7"/>
                <c:pt idx="0">
                  <c:v>172</c:v>
                </c:pt>
                <c:pt idx="1">
                  <c:v>172</c:v>
                </c:pt>
                <c:pt idx="2">
                  <c:v>137</c:v>
                </c:pt>
                <c:pt idx="3">
                  <c:v>156</c:v>
                </c:pt>
                <c:pt idx="4">
                  <c:v>184</c:v>
                </c:pt>
                <c:pt idx="5">
                  <c:v>155</c:v>
                </c:pt>
                <c:pt idx="6">
                  <c:v>173</c:v>
                </c:pt>
              </c:numCache>
            </c:numRef>
          </c:val>
          <c:extLst>
            <c:ext xmlns:c16="http://schemas.microsoft.com/office/drawing/2014/chart" uri="{C3380CC4-5D6E-409C-BE32-E72D297353CC}">
              <c16:uniqueId val="{00000004-62B3-4E84-8861-0216D8FE0FD1}"/>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study.xlsm]Time!PivotTable2</c:name>
    <c:fmtId val="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rides</a:t>
            </a:r>
            <a:r>
              <a:rPr lang="en-US" baseline="0"/>
              <a:t> booking time</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Time!$B$3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Time!$A$4:$A$27</c:f>
              <c:strCache>
                <c:ptCount val="23"/>
                <c:pt idx="0">
                  <c:v>00</c:v>
                </c:pt>
                <c:pt idx="1">
                  <c:v>01</c:v>
                </c:pt>
                <c:pt idx="2">
                  <c:v>02</c:v>
                </c:pt>
                <c:pt idx="3">
                  <c:v>03</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strCache>
            </c:strRef>
          </c:cat>
          <c:val>
            <c:numRef>
              <c:f>Time!$B$4:$B$27</c:f>
              <c:numCache>
                <c:formatCode>General</c:formatCode>
                <c:ptCount val="23"/>
                <c:pt idx="0">
                  <c:v>19</c:v>
                </c:pt>
                <c:pt idx="1">
                  <c:v>5</c:v>
                </c:pt>
                <c:pt idx="2">
                  <c:v>2</c:v>
                </c:pt>
                <c:pt idx="3">
                  <c:v>3</c:v>
                </c:pt>
                <c:pt idx="4">
                  <c:v>4</c:v>
                </c:pt>
                <c:pt idx="5">
                  <c:v>4</c:v>
                </c:pt>
                <c:pt idx="6">
                  <c:v>12</c:v>
                </c:pt>
                <c:pt idx="7">
                  <c:v>35</c:v>
                </c:pt>
                <c:pt idx="8">
                  <c:v>51</c:v>
                </c:pt>
                <c:pt idx="9">
                  <c:v>64</c:v>
                </c:pt>
                <c:pt idx="10">
                  <c:v>72</c:v>
                </c:pt>
                <c:pt idx="11">
                  <c:v>77</c:v>
                </c:pt>
                <c:pt idx="12">
                  <c:v>93</c:v>
                </c:pt>
                <c:pt idx="13">
                  <c:v>89</c:v>
                </c:pt>
                <c:pt idx="14">
                  <c:v>97</c:v>
                </c:pt>
                <c:pt idx="15">
                  <c:v>88</c:v>
                </c:pt>
                <c:pt idx="16">
                  <c:v>94</c:v>
                </c:pt>
                <c:pt idx="17">
                  <c:v>94</c:v>
                </c:pt>
                <c:pt idx="18">
                  <c:v>68</c:v>
                </c:pt>
                <c:pt idx="19">
                  <c:v>71</c:v>
                </c:pt>
                <c:pt idx="20">
                  <c:v>51</c:v>
                </c:pt>
                <c:pt idx="21">
                  <c:v>31</c:v>
                </c:pt>
                <c:pt idx="22">
                  <c:v>25</c:v>
                </c:pt>
              </c:numCache>
            </c:numRef>
          </c:val>
          <c:smooth val="0"/>
          <c:extLst>
            <c:ext xmlns:c16="http://schemas.microsoft.com/office/drawing/2014/chart" uri="{C3380CC4-5D6E-409C-BE32-E72D297353CC}">
              <c16:uniqueId val="{00000000-946A-44BB-859B-A09547C06524}"/>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32878800"/>
        <c:axId val="414427168"/>
      </c:lineChart>
      <c:catAx>
        <c:axId val="33287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414427168"/>
        <c:crosses val="autoZero"/>
        <c:auto val="1"/>
        <c:lblAlgn val="ctr"/>
        <c:lblOffset val="100"/>
        <c:noMultiLvlLbl val="0"/>
      </c:catAx>
      <c:valAx>
        <c:axId val="414427168"/>
        <c:scaling>
          <c:orientation val="minMax"/>
        </c:scaling>
        <c:delete val="1"/>
        <c:axPos val="l"/>
        <c:numFmt formatCode="General" sourceLinked="1"/>
        <c:majorTickMark val="none"/>
        <c:minorTickMark val="none"/>
        <c:tickLblPos val="nextTo"/>
        <c:crossAx val="33287880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study.xlsm]Start Point!PivotTable2</c:name>
    <c:fmtId val="0"/>
  </c:pivotSource>
  <c:chart>
    <c:title>
      <c:tx>
        <c:rich>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r>
              <a:rPr lang="en-US" sz="2000">
                <a:solidFill>
                  <a:schemeClr val="bg1"/>
                </a:solidFill>
              </a:rPr>
              <a:t>Disribution</a:t>
            </a:r>
            <a:r>
              <a:rPr lang="en-US" sz="2000" baseline="0">
                <a:solidFill>
                  <a:schemeClr val="bg1"/>
                </a:solidFill>
              </a:rPr>
              <a:t> Of Start Point</a:t>
            </a:r>
          </a:p>
        </c:rich>
      </c:tx>
      <c:overlay val="0"/>
      <c:spPr>
        <a:solidFill>
          <a:schemeClr val="tx1"/>
        </a:solidFill>
        <a:ln>
          <a:noFill/>
        </a:ln>
        <a:effectLst/>
      </c:spPr>
      <c:txPr>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s>
    <c:plotArea>
      <c:layout/>
      <c:barChart>
        <c:barDir val="bar"/>
        <c:grouping val="clustered"/>
        <c:varyColors val="0"/>
        <c:ser>
          <c:idx val="0"/>
          <c:order val="0"/>
          <c:tx>
            <c:strRef>
              <c:f>'Start Point'!$B$3</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2-7F7C-49A6-8BF3-7CF4433F243F}"/>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2-757D-4775-B9A0-FC79CA7C58B4}"/>
              </c:ext>
            </c:extLst>
          </c:dPt>
          <c:dPt>
            <c:idx val="6"/>
            <c:invertIfNegative val="0"/>
            <c:bubble3D val="0"/>
            <c:extLst>
              <c:ext xmlns:c16="http://schemas.microsoft.com/office/drawing/2014/chart" uri="{C3380CC4-5D6E-409C-BE32-E72D297353CC}">
                <c16:uniqueId val="{00000003-477F-48D4-A655-7F2109276179}"/>
              </c:ext>
            </c:extLst>
          </c:dPt>
          <c:dPt>
            <c:idx val="10"/>
            <c:invertIfNegative val="0"/>
            <c:bubble3D val="0"/>
            <c:extLst>
              <c:ext xmlns:c16="http://schemas.microsoft.com/office/drawing/2014/chart" uri="{C3380CC4-5D6E-409C-BE32-E72D297353CC}">
                <c16:uniqueId val="{00000002-B8C4-4234-9718-F77D25BF522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'Start Point'!$A$4:$A$9</c:f>
              <c:strCache>
                <c:ptCount val="5"/>
                <c:pt idx="0">
                  <c:v>Islamabad</c:v>
                </c:pt>
                <c:pt idx="1">
                  <c:v>Whitebridge</c:v>
                </c:pt>
                <c:pt idx="2">
                  <c:v>Morrisville</c:v>
                </c:pt>
                <c:pt idx="3">
                  <c:v>Unknown Location</c:v>
                </c:pt>
                <c:pt idx="4">
                  <c:v>Cary</c:v>
                </c:pt>
              </c:strCache>
            </c:strRef>
          </c:cat>
          <c:val>
            <c:numRef>
              <c:f>'Start Point'!$B$4:$B$9</c:f>
              <c:numCache>
                <c:formatCode>General</c:formatCode>
                <c:ptCount val="5"/>
                <c:pt idx="0">
                  <c:v>56</c:v>
                </c:pt>
                <c:pt idx="1">
                  <c:v>68</c:v>
                </c:pt>
                <c:pt idx="2">
                  <c:v>85</c:v>
                </c:pt>
                <c:pt idx="3">
                  <c:v>146</c:v>
                </c:pt>
                <c:pt idx="4">
                  <c:v>201</c:v>
                </c:pt>
              </c:numCache>
            </c:numRef>
          </c:val>
          <c:extLst>
            <c:ext xmlns:c16="http://schemas.microsoft.com/office/drawing/2014/chart" uri="{C3380CC4-5D6E-409C-BE32-E72D297353CC}">
              <c16:uniqueId val="{00000000-7F7C-49A6-8BF3-7CF4433F243F}"/>
            </c:ext>
          </c:extLst>
        </c:ser>
        <c:dLbls>
          <c:dLblPos val="in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06971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study.xlsm]Stop Point!PivotTable2</c:name>
    <c:fmtId val="1"/>
  </c:pivotSource>
  <c:chart>
    <c:title>
      <c:tx>
        <c:rich>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r>
              <a:rPr lang="en-US" sz="2000" b="1">
                <a:solidFill>
                  <a:schemeClr val="bg1"/>
                </a:solidFill>
              </a:rPr>
              <a:t>Disribution</a:t>
            </a:r>
            <a:r>
              <a:rPr lang="en-US" sz="2000" b="1" baseline="0">
                <a:solidFill>
                  <a:schemeClr val="bg1"/>
                </a:solidFill>
              </a:rPr>
              <a:t> Of Stop Point</a:t>
            </a:r>
          </a:p>
        </c:rich>
      </c:tx>
      <c:overlay val="0"/>
      <c:spPr>
        <a:solidFill>
          <a:schemeClr val="tx1"/>
        </a:solidFill>
        <a:ln>
          <a:noFill/>
        </a:ln>
        <a:effectLst/>
      </c:spPr>
      <c:txPr>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s>
    <c:plotArea>
      <c:layout>
        <c:manualLayout>
          <c:layoutTarget val="inner"/>
          <c:xMode val="edge"/>
          <c:yMode val="edge"/>
          <c:x val="0.16347127210490339"/>
          <c:y val="0.15001529863411883"/>
          <c:w val="0.81525636208992758"/>
          <c:h val="0.79473798698659937"/>
        </c:manualLayout>
      </c:layout>
      <c:barChart>
        <c:barDir val="bar"/>
        <c:grouping val="clustered"/>
        <c:varyColors val="0"/>
        <c:ser>
          <c:idx val="0"/>
          <c:order val="0"/>
          <c:tx>
            <c:strRef>
              <c:f>'Stop Point'!$B$3</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0-D051-4824-B24C-14CAB8921EFE}"/>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2-DA15-4764-8079-E36903274F47}"/>
              </c:ext>
            </c:extLst>
          </c:dPt>
          <c:dPt>
            <c:idx val="6"/>
            <c:invertIfNegative val="0"/>
            <c:bubble3D val="0"/>
            <c:extLst>
              <c:ext xmlns:c16="http://schemas.microsoft.com/office/drawing/2014/chart" uri="{C3380CC4-5D6E-409C-BE32-E72D297353CC}">
                <c16:uniqueId val="{00000003-1ECB-40EC-B756-EF8B7CE7F7FC}"/>
              </c:ext>
            </c:extLst>
          </c:dPt>
          <c:dPt>
            <c:idx val="9"/>
            <c:invertIfNegative val="0"/>
            <c:bubble3D val="0"/>
            <c:extLst>
              <c:ext xmlns:c16="http://schemas.microsoft.com/office/drawing/2014/chart" uri="{C3380CC4-5D6E-409C-BE32-E72D297353CC}">
                <c16:uniqueId val="{00000002-D090-4B1C-B7E5-E45C1D18407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'Stop Point'!$A$4:$A$9</c:f>
              <c:strCache>
                <c:ptCount val="5"/>
                <c:pt idx="0">
                  <c:v>Islamabad</c:v>
                </c:pt>
                <c:pt idx="1">
                  <c:v>Whitebridge</c:v>
                </c:pt>
                <c:pt idx="2">
                  <c:v>Morrisville</c:v>
                </c:pt>
                <c:pt idx="3">
                  <c:v>Unknown Location</c:v>
                </c:pt>
                <c:pt idx="4">
                  <c:v>Cary</c:v>
                </c:pt>
              </c:strCache>
            </c:strRef>
          </c:cat>
          <c:val>
            <c:numRef>
              <c:f>'Stop Point'!$B$4:$B$9</c:f>
              <c:numCache>
                <c:formatCode>General</c:formatCode>
                <c:ptCount val="5"/>
                <c:pt idx="0">
                  <c:v>57</c:v>
                </c:pt>
                <c:pt idx="1">
                  <c:v>65</c:v>
                </c:pt>
                <c:pt idx="2">
                  <c:v>84</c:v>
                </c:pt>
                <c:pt idx="3">
                  <c:v>147</c:v>
                </c:pt>
                <c:pt idx="4">
                  <c:v>203</c:v>
                </c:pt>
              </c:numCache>
            </c:numRef>
          </c:val>
          <c:extLst>
            <c:ext xmlns:c16="http://schemas.microsoft.com/office/drawing/2014/chart" uri="{C3380CC4-5D6E-409C-BE32-E72D297353CC}">
              <c16:uniqueId val="{00000001-ED9A-4DFC-924B-63B91DDBECB8}"/>
            </c:ext>
          </c:extLst>
        </c:ser>
        <c:dLbls>
          <c:dLblPos val="out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solidFill>
            <a:schemeClr val="bg1">
              <a:lumMod val="85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06971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study.xlsm]Purpose!PivotTable1</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Rides On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pivotFmt>
      <c:pivotFmt>
        <c:idx val="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Purpose!$B$3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Purpose!$A$4:$A$15</c:f>
              <c:strCache>
                <c:ptCount val="11"/>
                <c:pt idx="0">
                  <c:v>Airport/Travel</c:v>
                </c:pt>
                <c:pt idx="1">
                  <c:v>Between Offices</c:v>
                </c:pt>
                <c:pt idx="2">
                  <c:v>Charity ($)</c:v>
                </c:pt>
                <c:pt idx="3">
                  <c:v>Commute</c:v>
                </c:pt>
                <c:pt idx="4">
                  <c:v>Customer Visit</c:v>
                </c:pt>
                <c:pt idx="5">
                  <c:v>Errand/Supplies</c:v>
                </c:pt>
                <c:pt idx="6">
                  <c:v>Meal/Entertain</c:v>
                </c:pt>
                <c:pt idx="7">
                  <c:v>Meeting</c:v>
                </c:pt>
                <c:pt idx="8">
                  <c:v>Moving</c:v>
                </c:pt>
                <c:pt idx="9">
                  <c:v>No Purpose</c:v>
                </c:pt>
                <c:pt idx="10">
                  <c:v>Temporary Site</c:v>
                </c:pt>
              </c:strCache>
            </c:strRef>
          </c:cat>
          <c:val>
            <c:numRef>
              <c:f>Purpose!$B$4:$B$15</c:f>
              <c:numCache>
                <c:formatCode>General</c:formatCode>
                <c:ptCount val="11"/>
                <c:pt idx="0">
                  <c:v>3</c:v>
                </c:pt>
                <c:pt idx="1">
                  <c:v>18</c:v>
                </c:pt>
                <c:pt idx="2">
                  <c:v>1</c:v>
                </c:pt>
                <c:pt idx="3">
                  <c:v>1</c:v>
                </c:pt>
                <c:pt idx="4">
                  <c:v>101</c:v>
                </c:pt>
                <c:pt idx="5">
                  <c:v>128</c:v>
                </c:pt>
                <c:pt idx="6">
                  <c:v>160</c:v>
                </c:pt>
                <c:pt idx="7">
                  <c:v>187</c:v>
                </c:pt>
                <c:pt idx="8">
                  <c:v>4</c:v>
                </c:pt>
                <c:pt idx="9">
                  <c:v>496</c:v>
                </c:pt>
                <c:pt idx="10">
                  <c:v>50</c:v>
                </c:pt>
              </c:numCache>
            </c:numRef>
          </c:val>
          <c:extLst>
            <c:ext xmlns:c16="http://schemas.microsoft.com/office/drawing/2014/chart" uri="{C3380CC4-5D6E-409C-BE32-E72D297353CC}">
              <c16:uniqueId val="{00000001-30EF-4D5A-9160-C428839212FB}"/>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study.xlsm]Category!PivotTable1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Distribution of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Category!$B$3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CBD-43E3-A52A-BD6E61A2D4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CCBD-43E3-A52A-BD6E61A2D4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Category!$A$4:$A$6</c:f>
              <c:strCache>
                <c:ptCount val="2"/>
                <c:pt idx="0">
                  <c:v>Business</c:v>
                </c:pt>
                <c:pt idx="1">
                  <c:v>Personal</c:v>
                </c:pt>
              </c:strCache>
            </c:strRef>
          </c:cat>
          <c:val>
            <c:numRef>
              <c:f>Category!$B$4:$B$6</c:f>
              <c:numCache>
                <c:formatCode>General</c:formatCode>
                <c:ptCount val="2"/>
                <c:pt idx="0">
                  <c:v>1073</c:v>
                </c:pt>
                <c:pt idx="1">
                  <c:v>76</c:v>
                </c:pt>
              </c:numCache>
            </c:numRef>
          </c:val>
          <c:extLst>
            <c:ext xmlns:c16="http://schemas.microsoft.com/office/drawing/2014/chart" uri="{C3380CC4-5D6E-409C-BE32-E72D297353CC}">
              <c16:uniqueId val="{00000000-CCBD-43E3-A52A-BD6E61A2D46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[uber case study.xlsm]Trend!PivotTable1</c:name>
    <c:fmtId val="0"/>
  </c:pivotSource>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US" sz="1800" b="1">
                <a:solidFill>
                  <a:schemeClr val="bg1"/>
                </a:solidFill>
              </a:rPr>
              <a:t>Trend</a:t>
            </a:r>
            <a:r>
              <a:rPr lang="en-US" sz="1800" b="1" baseline="0">
                <a:solidFill>
                  <a:schemeClr val="bg1"/>
                </a:solidFill>
              </a:rPr>
              <a:t> Of Rides</a:t>
            </a:r>
          </a:p>
        </c:rich>
      </c:tx>
      <c:overlay val="0"/>
      <c:spPr>
        <a:solidFill>
          <a:schemeClr val="tx1"/>
        </a:solidFill>
        <a:ln>
          <a:noFill/>
        </a:ln>
        <a:effectLst/>
      </c:spPr>
      <c:txPr>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Trend!$B$3</c:f>
              <c:strCache>
                <c:ptCount val="1"/>
                <c:pt idx="0">
                  <c:v>Total</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Trend!$A$4:$A$296</c:f>
              <c:strCache>
                <c:ptCount val="292"/>
                <c:pt idx="0">
                  <c:v>Jan-16</c:v>
                </c:pt>
                <c:pt idx="1">
                  <c:v>Jan-16</c:v>
                </c:pt>
                <c:pt idx="2">
                  <c:v>Jan-16</c:v>
                </c:pt>
                <c:pt idx="3">
                  <c:v>Jan-16</c:v>
                </c:pt>
                <c:pt idx="4">
                  <c:v>Jan-16</c:v>
                </c:pt>
                <c:pt idx="5">
                  <c:v>Jan-16</c:v>
                </c:pt>
                <c:pt idx="6">
                  <c:v>Jan-16</c:v>
                </c:pt>
                <c:pt idx="7">
                  <c:v>Jan-16</c:v>
                </c:pt>
                <c:pt idx="8">
                  <c:v>Jan-16</c:v>
                </c:pt>
                <c:pt idx="9">
                  <c:v>Jan-16</c:v>
                </c:pt>
                <c:pt idx="10">
                  <c:v>Jan-16</c:v>
                </c:pt>
                <c:pt idx="11">
                  <c:v>Jan-16</c:v>
                </c:pt>
                <c:pt idx="12">
                  <c:v>Jan-16</c:v>
                </c:pt>
                <c:pt idx="13">
                  <c:v>Jan-16</c:v>
                </c:pt>
                <c:pt idx="14">
                  <c:v>Jan-16</c:v>
                </c:pt>
                <c:pt idx="15">
                  <c:v>Jan-16</c:v>
                </c:pt>
                <c:pt idx="16">
                  <c:v>Jan-16</c:v>
                </c:pt>
                <c:pt idx="17">
                  <c:v>Jan-16</c:v>
                </c:pt>
                <c:pt idx="18">
                  <c:v>Jan-16</c:v>
                </c:pt>
                <c:pt idx="19">
                  <c:v>Jan-16</c:v>
                </c:pt>
                <c:pt idx="20">
                  <c:v>Jan-16</c:v>
                </c:pt>
                <c:pt idx="21">
                  <c:v>Jan-16</c:v>
                </c:pt>
                <c:pt idx="22">
                  <c:v>Jan-16</c:v>
                </c:pt>
                <c:pt idx="23">
                  <c:v>Feb-16</c:v>
                </c:pt>
                <c:pt idx="24">
                  <c:v>Feb-16</c:v>
                </c:pt>
                <c:pt idx="25">
                  <c:v>Feb-16</c:v>
                </c:pt>
                <c:pt idx="26">
                  <c:v>Feb-16</c:v>
                </c:pt>
                <c:pt idx="27">
                  <c:v>Feb-16</c:v>
                </c:pt>
                <c:pt idx="28">
                  <c:v>Feb-16</c:v>
                </c:pt>
                <c:pt idx="29">
                  <c:v>Feb-16</c:v>
                </c:pt>
                <c:pt idx="30">
                  <c:v>Feb-16</c:v>
                </c:pt>
                <c:pt idx="31">
                  <c:v>Feb-16</c:v>
                </c:pt>
                <c:pt idx="32">
                  <c:v>Feb-16</c:v>
                </c:pt>
                <c:pt idx="33">
                  <c:v>Feb-16</c:v>
                </c:pt>
                <c:pt idx="34">
                  <c:v>Feb-16</c:v>
                </c:pt>
                <c:pt idx="35">
                  <c:v>Feb-16</c:v>
                </c:pt>
                <c:pt idx="36">
                  <c:v>Feb-16</c:v>
                </c:pt>
                <c:pt idx="37">
                  <c:v>Feb-16</c:v>
                </c:pt>
                <c:pt idx="38">
                  <c:v>Feb-16</c:v>
                </c:pt>
                <c:pt idx="39">
                  <c:v>Feb-16</c:v>
                </c:pt>
                <c:pt idx="40">
                  <c:v>Feb-16</c:v>
                </c:pt>
                <c:pt idx="41">
                  <c:v>Feb-16</c:v>
                </c:pt>
                <c:pt idx="42">
                  <c:v>Feb-16</c:v>
                </c:pt>
                <c:pt idx="43">
                  <c:v>Feb-16</c:v>
                </c:pt>
                <c:pt idx="44">
                  <c:v>Feb-16</c:v>
                </c:pt>
                <c:pt idx="45">
                  <c:v>Feb-16</c:v>
                </c:pt>
                <c:pt idx="46">
                  <c:v>Mar-16</c:v>
                </c:pt>
                <c:pt idx="47">
                  <c:v>Mar-16</c:v>
                </c:pt>
                <c:pt idx="48">
                  <c:v>Mar-16</c:v>
                </c:pt>
                <c:pt idx="49">
                  <c:v>Mar-16</c:v>
                </c:pt>
                <c:pt idx="50">
                  <c:v>Mar-16</c:v>
                </c:pt>
                <c:pt idx="51">
                  <c:v>Mar-16</c:v>
                </c:pt>
                <c:pt idx="52">
                  <c:v>Mar-16</c:v>
                </c:pt>
                <c:pt idx="53">
                  <c:v>Mar-16</c:v>
                </c:pt>
                <c:pt idx="54">
                  <c:v>Mar-16</c:v>
                </c:pt>
                <c:pt idx="55">
                  <c:v>Mar-16</c:v>
                </c:pt>
                <c:pt idx="56">
                  <c:v>Mar-16</c:v>
                </c:pt>
                <c:pt idx="57">
                  <c:v>Mar-16</c:v>
                </c:pt>
                <c:pt idx="58">
                  <c:v>Mar-16</c:v>
                </c:pt>
                <c:pt idx="59">
                  <c:v>Mar-16</c:v>
                </c:pt>
                <c:pt idx="60">
                  <c:v>Mar-16</c:v>
                </c:pt>
                <c:pt idx="61">
                  <c:v>Mar-16</c:v>
                </c:pt>
                <c:pt idx="62">
                  <c:v>Mar-16</c:v>
                </c:pt>
                <c:pt idx="63">
                  <c:v>Mar-16</c:v>
                </c:pt>
                <c:pt idx="64">
                  <c:v>Mar-16</c:v>
                </c:pt>
                <c:pt idx="65">
                  <c:v>Mar-16</c:v>
                </c:pt>
                <c:pt idx="66">
                  <c:v>Mar-16</c:v>
                </c:pt>
                <c:pt idx="67">
                  <c:v>Mar-16</c:v>
                </c:pt>
                <c:pt idx="68">
                  <c:v>Mar-16</c:v>
                </c:pt>
                <c:pt idx="69">
                  <c:v>Mar-16</c:v>
                </c:pt>
                <c:pt idx="70">
                  <c:v>Mar-16</c:v>
                </c:pt>
                <c:pt idx="71">
                  <c:v>Mar-16</c:v>
                </c:pt>
                <c:pt idx="72">
                  <c:v>Mar-16</c:v>
                </c:pt>
                <c:pt idx="73">
                  <c:v>Mar-16</c:v>
                </c:pt>
                <c:pt idx="74">
                  <c:v>Apr-16</c:v>
                </c:pt>
                <c:pt idx="75">
                  <c:v>Apr-16</c:v>
                </c:pt>
                <c:pt idx="76">
                  <c:v>Apr-16</c:v>
                </c:pt>
                <c:pt idx="77">
                  <c:v>Apr-16</c:v>
                </c:pt>
                <c:pt idx="78">
                  <c:v>Apr-16</c:v>
                </c:pt>
                <c:pt idx="79">
                  <c:v>Apr-16</c:v>
                </c:pt>
                <c:pt idx="80">
                  <c:v>Apr-16</c:v>
                </c:pt>
                <c:pt idx="81">
                  <c:v>Apr-16</c:v>
                </c:pt>
                <c:pt idx="82">
                  <c:v>Apr-16</c:v>
                </c:pt>
                <c:pt idx="83">
                  <c:v>Apr-16</c:v>
                </c:pt>
                <c:pt idx="84">
                  <c:v>Apr-16</c:v>
                </c:pt>
                <c:pt idx="85">
                  <c:v>Apr-16</c:v>
                </c:pt>
                <c:pt idx="86">
                  <c:v>Apr-16</c:v>
                </c:pt>
                <c:pt idx="87">
                  <c:v>Apr-16</c:v>
                </c:pt>
                <c:pt idx="88">
                  <c:v>Apr-16</c:v>
                </c:pt>
                <c:pt idx="89">
                  <c:v>Apr-16</c:v>
                </c:pt>
                <c:pt idx="90">
                  <c:v>Apr-16</c:v>
                </c:pt>
                <c:pt idx="91">
                  <c:v>Apr-16</c:v>
                </c:pt>
                <c:pt idx="92">
                  <c:v>May-16</c:v>
                </c:pt>
                <c:pt idx="93">
                  <c:v>May-16</c:v>
                </c:pt>
                <c:pt idx="94">
                  <c:v>May-16</c:v>
                </c:pt>
                <c:pt idx="95">
                  <c:v>May-16</c:v>
                </c:pt>
                <c:pt idx="96">
                  <c:v>May-16</c:v>
                </c:pt>
                <c:pt idx="97">
                  <c:v>May-16</c:v>
                </c:pt>
                <c:pt idx="98">
                  <c:v>May-16</c:v>
                </c:pt>
                <c:pt idx="99">
                  <c:v>May-16</c:v>
                </c:pt>
                <c:pt idx="100">
                  <c:v>May-16</c:v>
                </c:pt>
                <c:pt idx="101">
                  <c:v>May-16</c:v>
                </c:pt>
                <c:pt idx="102">
                  <c:v>May-16</c:v>
                </c:pt>
                <c:pt idx="103">
                  <c:v>May-16</c:v>
                </c:pt>
                <c:pt idx="104">
                  <c:v>May-16</c:v>
                </c:pt>
                <c:pt idx="105">
                  <c:v>May-16</c:v>
                </c:pt>
                <c:pt idx="106">
                  <c:v>May-16</c:v>
                </c:pt>
                <c:pt idx="107">
                  <c:v>May-16</c:v>
                </c:pt>
                <c:pt idx="108">
                  <c:v>May-16</c:v>
                </c:pt>
                <c:pt idx="109">
                  <c:v>May-16</c:v>
                </c:pt>
                <c:pt idx="110">
                  <c:v>May-16</c:v>
                </c:pt>
                <c:pt idx="111">
                  <c:v>May-16</c:v>
                </c:pt>
                <c:pt idx="112">
                  <c:v>May-16</c:v>
                </c:pt>
                <c:pt idx="113">
                  <c:v>Jun-16</c:v>
                </c:pt>
                <c:pt idx="114">
                  <c:v>Jun-16</c:v>
                </c:pt>
                <c:pt idx="115">
                  <c:v>Jun-16</c:v>
                </c:pt>
                <c:pt idx="116">
                  <c:v>Jun-16</c:v>
                </c:pt>
                <c:pt idx="117">
                  <c:v>Jun-16</c:v>
                </c:pt>
                <c:pt idx="118">
                  <c:v>Jun-16</c:v>
                </c:pt>
                <c:pt idx="119">
                  <c:v>Jun-16</c:v>
                </c:pt>
                <c:pt idx="120">
                  <c:v>Jun-16</c:v>
                </c:pt>
                <c:pt idx="121">
                  <c:v>Jun-16</c:v>
                </c:pt>
                <c:pt idx="122">
                  <c:v>Jun-16</c:v>
                </c:pt>
                <c:pt idx="123">
                  <c:v>Jun-16</c:v>
                </c:pt>
                <c:pt idx="124">
                  <c:v>Jun-16</c:v>
                </c:pt>
                <c:pt idx="125">
                  <c:v>Jun-16</c:v>
                </c:pt>
                <c:pt idx="126">
                  <c:v>Jun-16</c:v>
                </c:pt>
                <c:pt idx="127">
                  <c:v>Jun-16</c:v>
                </c:pt>
                <c:pt idx="128">
                  <c:v>Jun-16</c:v>
                </c:pt>
                <c:pt idx="129">
                  <c:v>Jun-16</c:v>
                </c:pt>
                <c:pt idx="130">
                  <c:v>Jun-16</c:v>
                </c:pt>
                <c:pt idx="131">
                  <c:v>Jun-16</c:v>
                </c:pt>
                <c:pt idx="132">
                  <c:v>Jun-16</c:v>
                </c:pt>
                <c:pt idx="133">
                  <c:v>Jun-16</c:v>
                </c:pt>
                <c:pt idx="134">
                  <c:v>Jun-16</c:v>
                </c:pt>
                <c:pt idx="135">
                  <c:v>Jun-16</c:v>
                </c:pt>
                <c:pt idx="136">
                  <c:v>Jun-16</c:v>
                </c:pt>
                <c:pt idx="137">
                  <c:v>Jul-16</c:v>
                </c:pt>
                <c:pt idx="138">
                  <c:v>Jul-16</c:v>
                </c:pt>
                <c:pt idx="139">
                  <c:v>Jul-16</c:v>
                </c:pt>
                <c:pt idx="140">
                  <c:v>Jul-16</c:v>
                </c:pt>
                <c:pt idx="141">
                  <c:v>Jul-16</c:v>
                </c:pt>
                <c:pt idx="142">
                  <c:v>Jul-16</c:v>
                </c:pt>
                <c:pt idx="143">
                  <c:v>Jul-16</c:v>
                </c:pt>
                <c:pt idx="144">
                  <c:v>Jul-16</c:v>
                </c:pt>
                <c:pt idx="145">
                  <c:v>Jul-16</c:v>
                </c:pt>
                <c:pt idx="146">
                  <c:v>Jul-16</c:v>
                </c:pt>
                <c:pt idx="147">
                  <c:v>Jul-16</c:v>
                </c:pt>
                <c:pt idx="148">
                  <c:v>Jul-16</c:v>
                </c:pt>
                <c:pt idx="149">
                  <c:v>Jul-16</c:v>
                </c:pt>
                <c:pt idx="150">
                  <c:v>Jul-16</c:v>
                </c:pt>
                <c:pt idx="151">
                  <c:v>Jul-16</c:v>
                </c:pt>
                <c:pt idx="152">
                  <c:v>Jul-16</c:v>
                </c:pt>
                <c:pt idx="153">
                  <c:v>Jul-16</c:v>
                </c:pt>
                <c:pt idx="154">
                  <c:v>Jul-16</c:v>
                </c:pt>
                <c:pt idx="155">
                  <c:v>Jul-16</c:v>
                </c:pt>
                <c:pt idx="156">
                  <c:v>Jul-16</c:v>
                </c:pt>
                <c:pt idx="157">
                  <c:v>Jul-16</c:v>
                </c:pt>
                <c:pt idx="158">
                  <c:v>Jul-16</c:v>
                </c:pt>
                <c:pt idx="159">
                  <c:v>Jul-16</c:v>
                </c:pt>
                <c:pt idx="160">
                  <c:v>Jul-16</c:v>
                </c:pt>
                <c:pt idx="161">
                  <c:v>Jul-16</c:v>
                </c:pt>
                <c:pt idx="162">
                  <c:v>Jul-16</c:v>
                </c:pt>
                <c:pt idx="163">
                  <c:v>Jul-16</c:v>
                </c:pt>
                <c:pt idx="164">
                  <c:v>Jul-16</c:v>
                </c:pt>
                <c:pt idx="165">
                  <c:v>Aug-16</c:v>
                </c:pt>
                <c:pt idx="166">
                  <c:v>Aug-16</c:v>
                </c:pt>
                <c:pt idx="167">
                  <c:v>Aug-16</c:v>
                </c:pt>
                <c:pt idx="168">
                  <c:v>Aug-16</c:v>
                </c:pt>
                <c:pt idx="169">
                  <c:v>Aug-16</c:v>
                </c:pt>
                <c:pt idx="170">
                  <c:v>Aug-16</c:v>
                </c:pt>
                <c:pt idx="171">
                  <c:v>Aug-16</c:v>
                </c:pt>
                <c:pt idx="172">
                  <c:v>Aug-16</c:v>
                </c:pt>
                <c:pt idx="173">
                  <c:v>Aug-16</c:v>
                </c:pt>
                <c:pt idx="174">
                  <c:v>Aug-16</c:v>
                </c:pt>
                <c:pt idx="175">
                  <c:v>Aug-16</c:v>
                </c:pt>
                <c:pt idx="176">
                  <c:v>Aug-16</c:v>
                </c:pt>
                <c:pt idx="177">
                  <c:v>Aug-16</c:v>
                </c:pt>
                <c:pt idx="178">
                  <c:v>Aug-16</c:v>
                </c:pt>
                <c:pt idx="179">
                  <c:v>Aug-16</c:v>
                </c:pt>
                <c:pt idx="180">
                  <c:v>Aug-16</c:v>
                </c:pt>
                <c:pt idx="181">
                  <c:v>Aug-16</c:v>
                </c:pt>
                <c:pt idx="182">
                  <c:v>Aug-16</c:v>
                </c:pt>
                <c:pt idx="183">
                  <c:v>Aug-16</c:v>
                </c:pt>
                <c:pt idx="184">
                  <c:v>Aug-16</c:v>
                </c:pt>
                <c:pt idx="185">
                  <c:v>Aug-16</c:v>
                </c:pt>
                <c:pt idx="186">
                  <c:v>Aug-16</c:v>
                </c:pt>
                <c:pt idx="187">
                  <c:v>Aug-16</c:v>
                </c:pt>
                <c:pt idx="188">
                  <c:v>Aug-16</c:v>
                </c:pt>
                <c:pt idx="189">
                  <c:v>Aug-16</c:v>
                </c:pt>
                <c:pt idx="190">
                  <c:v>Sep-16</c:v>
                </c:pt>
                <c:pt idx="191">
                  <c:v>Sep-16</c:v>
                </c:pt>
                <c:pt idx="192">
                  <c:v>Sep-16</c:v>
                </c:pt>
                <c:pt idx="193">
                  <c:v>Sep-16</c:v>
                </c:pt>
                <c:pt idx="194">
                  <c:v>Sep-16</c:v>
                </c:pt>
                <c:pt idx="195">
                  <c:v>Sep-16</c:v>
                </c:pt>
                <c:pt idx="196">
                  <c:v>Sep-16</c:v>
                </c:pt>
                <c:pt idx="197">
                  <c:v>Sep-16</c:v>
                </c:pt>
                <c:pt idx="198">
                  <c:v>Sep-16</c:v>
                </c:pt>
                <c:pt idx="199">
                  <c:v>Sep-16</c:v>
                </c:pt>
                <c:pt idx="200">
                  <c:v>Sep-16</c:v>
                </c:pt>
                <c:pt idx="201">
                  <c:v>Sep-16</c:v>
                </c:pt>
                <c:pt idx="202">
                  <c:v>Sep-16</c:v>
                </c:pt>
                <c:pt idx="203">
                  <c:v>Sep-16</c:v>
                </c:pt>
                <c:pt idx="204">
                  <c:v>Sep-16</c:v>
                </c:pt>
                <c:pt idx="205">
                  <c:v>Sep-16</c:v>
                </c:pt>
                <c:pt idx="206">
                  <c:v>Sep-16</c:v>
                </c:pt>
                <c:pt idx="207">
                  <c:v>Sep-16</c:v>
                </c:pt>
                <c:pt idx="208">
                  <c:v>Sep-16</c:v>
                </c:pt>
                <c:pt idx="209">
                  <c:v>Oct-16</c:v>
                </c:pt>
                <c:pt idx="210">
                  <c:v>Oct-16</c:v>
                </c:pt>
                <c:pt idx="211">
                  <c:v>Oct-16</c:v>
                </c:pt>
                <c:pt idx="212">
                  <c:v>Oct-16</c:v>
                </c:pt>
                <c:pt idx="213">
                  <c:v>Oct-16</c:v>
                </c:pt>
                <c:pt idx="214">
                  <c:v>Oct-16</c:v>
                </c:pt>
                <c:pt idx="215">
                  <c:v>Oct-16</c:v>
                </c:pt>
                <c:pt idx="216">
                  <c:v>Oct-16</c:v>
                </c:pt>
                <c:pt idx="217">
                  <c:v>Oct-16</c:v>
                </c:pt>
                <c:pt idx="218">
                  <c:v>Oct-16</c:v>
                </c:pt>
                <c:pt idx="219">
                  <c:v>Oct-16</c:v>
                </c:pt>
                <c:pt idx="220">
                  <c:v>Oct-16</c:v>
                </c:pt>
                <c:pt idx="221">
                  <c:v>Oct-16</c:v>
                </c:pt>
                <c:pt idx="222">
                  <c:v>Oct-16</c:v>
                </c:pt>
                <c:pt idx="223">
                  <c:v>Oct-16</c:v>
                </c:pt>
                <c:pt idx="224">
                  <c:v>Oct-16</c:v>
                </c:pt>
                <c:pt idx="225">
                  <c:v>Oct-16</c:v>
                </c:pt>
                <c:pt idx="226">
                  <c:v>Oct-16</c:v>
                </c:pt>
                <c:pt idx="227">
                  <c:v>Oct-16</c:v>
                </c:pt>
                <c:pt idx="228">
                  <c:v>Oct-16</c:v>
                </c:pt>
                <c:pt idx="229">
                  <c:v>Oct-16</c:v>
                </c:pt>
                <c:pt idx="230">
                  <c:v>Oct-16</c:v>
                </c:pt>
                <c:pt idx="231">
                  <c:v>Oct-16</c:v>
                </c:pt>
                <c:pt idx="232">
                  <c:v>Oct-16</c:v>
                </c:pt>
                <c:pt idx="233">
                  <c:v>Oct-16</c:v>
                </c:pt>
                <c:pt idx="234">
                  <c:v>Oct-16</c:v>
                </c:pt>
                <c:pt idx="235">
                  <c:v>Oct-16</c:v>
                </c:pt>
                <c:pt idx="236">
                  <c:v>Oct-16</c:v>
                </c:pt>
                <c:pt idx="237">
                  <c:v>Oct-16</c:v>
                </c:pt>
                <c:pt idx="238">
                  <c:v>Nov-16</c:v>
                </c:pt>
                <c:pt idx="239">
                  <c:v>Nov-16</c:v>
                </c:pt>
                <c:pt idx="240">
                  <c:v>Nov-16</c:v>
                </c:pt>
                <c:pt idx="241">
                  <c:v>Nov-16</c:v>
                </c:pt>
                <c:pt idx="242">
                  <c:v>Nov-16</c:v>
                </c:pt>
                <c:pt idx="243">
                  <c:v>Nov-16</c:v>
                </c:pt>
                <c:pt idx="244">
                  <c:v>Nov-16</c:v>
                </c:pt>
                <c:pt idx="245">
                  <c:v>Nov-16</c:v>
                </c:pt>
                <c:pt idx="246">
                  <c:v>Nov-16</c:v>
                </c:pt>
                <c:pt idx="247">
                  <c:v>Nov-16</c:v>
                </c:pt>
                <c:pt idx="248">
                  <c:v>Nov-16</c:v>
                </c:pt>
                <c:pt idx="249">
                  <c:v>Nov-16</c:v>
                </c:pt>
                <c:pt idx="250">
                  <c:v>Nov-16</c:v>
                </c:pt>
                <c:pt idx="251">
                  <c:v>Nov-16</c:v>
                </c:pt>
                <c:pt idx="252">
                  <c:v>Nov-16</c:v>
                </c:pt>
                <c:pt idx="253">
                  <c:v>Nov-16</c:v>
                </c:pt>
                <c:pt idx="254">
                  <c:v>Nov-16</c:v>
                </c:pt>
                <c:pt idx="255">
                  <c:v>Nov-16</c:v>
                </c:pt>
                <c:pt idx="256">
                  <c:v>Nov-16</c:v>
                </c:pt>
                <c:pt idx="257">
                  <c:v>Nov-16</c:v>
                </c:pt>
                <c:pt idx="258">
                  <c:v>Nov-16</c:v>
                </c:pt>
                <c:pt idx="259">
                  <c:v>Nov-16</c:v>
                </c:pt>
                <c:pt idx="260">
                  <c:v>Nov-16</c:v>
                </c:pt>
                <c:pt idx="261">
                  <c:v>Nov-16</c:v>
                </c:pt>
                <c:pt idx="262">
                  <c:v>Nov-16</c:v>
                </c:pt>
                <c:pt idx="263">
                  <c:v>Dec-16</c:v>
                </c:pt>
                <c:pt idx="264">
                  <c:v>Dec-16</c:v>
                </c:pt>
                <c:pt idx="265">
                  <c:v>Dec-16</c:v>
                </c:pt>
                <c:pt idx="266">
                  <c:v>Dec-16</c:v>
                </c:pt>
                <c:pt idx="267">
                  <c:v>Dec-16</c:v>
                </c:pt>
                <c:pt idx="268">
                  <c:v>Dec-16</c:v>
                </c:pt>
                <c:pt idx="269">
                  <c:v>Dec-16</c:v>
                </c:pt>
                <c:pt idx="270">
                  <c:v>Dec-16</c:v>
                </c:pt>
                <c:pt idx="271">
                  <c:v>Dec-16</c:v>
                </c:pt>
                <c:pt idx="272">
                  <c:v>Dec-16</c:v>
                </c:pt>
                <c:pt idx="273">
                  <c:v>Dec-16</c:v>
                </c:pt>
                <c:pt idx="274">
                  <c:v>Dec-16</c:v>
                </c:pt>
                <c:pt idx="275">
                  <c:v>Dec-16</c:v>
                </c:pt>
                <c:pt idx="276">
                  <c:v>Dec-16</c:v>
                </c:pt>
                <c:pt idx="277">
                  <c:v>Dec-16</c:v>
                </c:pt>
                <c:pt idx="278">
                  <c:v>Dec-16</c:v>
                </c:pt>
                <c:pt idx="279">
                  <c:v>Dec-16</c:v>
                </c:pt>
                <c:pt idx="280">
                  <c:v>Dec-16</c:v>
                </c:pt>
                <c:pt idx="281">
                  <c:v>Dec-16</c:v>
                </c:pt>
                <c:pt idx="282">
                  <c:v>Dec-16</c:v>
                </c:pt>
                <c:pt idx="283">
                  <c:v>Dec-16</c:v>
                </c:pt>
                <c:pt idx="284">
                  <c:v>Dec-16</c:v>
                </c:pt>
                <c:pt idx="285">
                  <c:v>Dec-16</c:v>
                </c:pt>
                <c:pt idx="286">
                  <c:v>Dec-16</c:v>
                </c:pt>
                <c:pt idx="287">
                  <c:v>Dec-16</c:v>
                </c:pt>
                <c:pt idx="288">
                  <c:v>Dec-16</c:v>
                </c:pt>
                <c:pt idx="289">
                  <c:v>Dec-16</c:v>
                </c:pt>
                <c:pt idx="290">
                  <c:v>Dec-16</c:v>
                </c:pt>
                <c:pt idx="291">
                  <c:v>Dec-16</c:v>
                </c:pt>
              </c:strCache>
            </c:strRef>
          </c:cat>
          <c:val>
            <c:numRef>
              <c:f>Trend!$B$4:$B$296</c:f>
              <c:numCache>
                <c:formatCode>General</c:formatCode>
                <c:ptCount val="292"/>
                <c:pt idx="0">
                  <c:v>1</c:v>
                </c:pt>
                <c:pt idx="1">
                  <c:v>3</c:v>
                </c:pt>
                <c:pt idx="2">
                  <c:v>2</c:v>
                </c:pt>
                <c:pt idx="3">
                  <c:v>4</c:v>
                </c:pt>
                <c:pt idx="4">
                  <c:v>5</c:v>
                </c:pt>
                <c:pt idx="5">
                  <c:v>2</c:v>
                </c:pt>
                <c:pt idx="6">
                  <c:v>5</c:v>
                </c:pt>
                <c:pt idx="7">
                  <c:v>8</c:v>
                </c:pt>
                <c:pt idx="8">
                  <c:v>3</c:v>
                </c:pt>
                <c:pt idx="9">
                  <c:v>6</c:v>
                </c:pt>
                <c:pt idx="10">
                  <c:v>4</c:v>
                </c:pt>
                <c:pt idx="11">
                  <c:v>2</c:v>
                </c:pt>
                <c:pt idx="12">
                  <c:v>2</c:v>
                </c:pt>
                <c:pt idx="13">
                  <c:v>3</c:v>
                </c:pt>
                <c:pt idx="14">
                  <c:v>2</c:v>
                </c:pt>
                <c:pt idx="15">
                  <c:v>2</c:v>
                </c:pt>
                <c:pt idx="16">
                  <c:v>3</c:v>
                </c:pt>
                <c:pt idx="17">
                  <c:v>3</c:v>
                </c:pt>
                <c:pt idx="18">
                  <c:v>5</c:v>
                </c:pt>
                <c:pt idx="19">
                  <c:v>5</c:v>
                </c:pt>
                <c:pt idx="20">
                  <c:v>3</c:v>
                </c:pt>
                <c:pt idx="21">
                  <c:v>6</c:v>
                </c:pt>
                <c:pt idx="22">
                  <c:v>2</c:v>
                </c:pt>
                <c:pt idx="23">
                  <c:v>2</c:v>
                </c:pt>
                <c:pt idx="24">
                  <c:v>3</c:v>
                </c:pt>
                <c:pt idx="25">
                  <c:v>6</c:v>
                </c:pt>
                <c:pt idx="26">
                  <c:v>2</c:v>
                </c:pt>
                <c:pt idx="27">
                  <c:v>2</c:v>
                </c:pt>
                <c:pt idx="28">
                  <c:v>4</c:v>
                </c:pt>
                <c:pt idx="29">
                  <c:v>2</c:v>
                </c:pt>
                <c:pt idx="30">
                  <c:v>5</c:v>
                </c:pt>
                <c:pt idx="31">
                  <c:v>4</c:v>
                </c:pt>
                <c:pt idx="32">
                  <c:v>1</c:v>
                </c:pt>
                <c:pt idx="33">
                  <c:v>5</c:v>
                </c:pt>
                <c:pt idx="34">
                  <c:v>8</c:v>
                </c:pt>
                <c:pt idx="35">
                  <c:v>4</c:v>
                </c:pt>
                <c:pt idx="36">
                  <c:v>5</c:v>
                </c:pt>
                <c:pt idx="37">
                  <c:v>10</c:v>
                </c:pt>
                <c:pt idx="38">
                  <c:v>8</c:v>
                </c:pt>
                <c:pt idx="39">
                  <c:v>11</c:v>
                </c:pt>
                <c:pt idx="40">
                  <c:v>1</c:v>
                </c:pt>
                <c:pt idx="41">
                  <c:v>2</c:v>
                </c:pt>
                <c:pt idx="42">
                  <c:v>4</c:v>
                </c:pt>
                <c:pt idx="43">
                  <c:v>7</c:v>
                </c:pt>
                <c:pt idx="44">
                  <c:v>2</c:v>
                </c:pt>
                <c:pt idx="45">
                  <c:v>5</c:v>
                </c:pt>
                <c:pt idx="46">
                  <c:v>5</c:v>
                </c:pt>
                <c:pt idx="47">
                  <c:v>1</c:v>
                </c:pt>
                <c:pt idx="48">
                  <c:v>1</c:v>
                </c:pt>
                <c:pt idx="49">
                  <c:v>7</c:v>
                </c:pt>
                <c:pt idx="50">
                  <c:v>3</c:v>
                </c:pt>
                <c:pt idx="51">
                  <c:v>3</c:v>
                </c:pt>
                <c:pt idx="52">
                  <c:v>4</c:v>
                </c:pt>
                <c:pt idx="53">
                  <c:v>6</c:v>
                </c:pt>
                <c:pt idx="54">
                  <c:v>3</c:v>
                </c:pt>
                <c:pt idx="55">
                  <c:v>6</c:v>
                </c:pt>
                <c:pt idx="56">
                  <c:v>2</c:v>
                </c:pt>
                <c:pt idx="57">
                  <c:v>2</c:v>
                </c:pt>
                <c:pt idx="58">
                  <c:v>3</c:v>
                </c:pt>
                <c:pt idx="59">
                  <c:v>7</c:v>
                </c:pt>
                <c:pt idx="60">
                  <c:v>5</c:v>
                </c:pt>
                <c:pt idx="61">
                  <c:v>9</c:v>
                </c:pt>
                <c:pt idx="62">
                  <c:v>5</c:v>
                </c:pt>
                <c:pt idx="63">
                  <c:v>4</c:v>
                </c:pt>
                <c:pt idx="64">
                  <c:v>3</c:v>
                </c:pt>
                <c:pt idx="65">
                  <c:v>2</c:v>
                </c:pt>
                <c:pt idx="66">
                  <c:v>2</c:v>
                </c:pt>
                <c:pt idx="67">
                  <c:v>3</c:v>
                </c:pt>
                <c:pt idx="68">
                  <c:v>3</c:v>
                </c:pt>
                <c:pt idx="69">
                  <c:v>5</c:v>
                </c:pt>
                <c:pt idx="70">
                  <c:v>3</c:v>
                </c:pt>
                <c:pt idx="71">
                  <c:v>4</c:v>
                </c:pt>
                <c:pt idx="72">
                  <c:v>1</c:v>
                </c:pt>
                <c:pt idx="73">
                  <c:v>2</c:v>
                </c:pt>
                <c:pt idx="74">
                  <c:v>7</c:v>
                </c:pt>
                <c:pt idx="75">
                  <c:v>10</c:v>
                </c:pt>
                <c:pt idx="76">
                  <c:v>4</c:v>
                </c:pt>
                <c:pt idx="77">
                  <c:v>4</c:v>
                </c:pt>
                <c:pt idx="78">
                  <c:v>2</c:v>
                </c:pt>
                <c:pt idx="79">
                  <c:v>4</c:v>
                </c:pt>
                <c:pt idx="80">
                  <c:v>2</c:v>
                </c:pt>
                <c:pt idx="81">
                  <c:v>2</c:v>
                </c:pt>
                <c:pt idx="82">
                  <c:v>3</c:v>
                </c:pt>
                <c:pt idx="83">
                  <c:v>2</c:v>
                </c:pt>
                <c:pt idx="84">
                  <c:v>2</c:v>
                </c:pt>
                <c:pt idx="85">
                  <c:v>4</c:v>
                </c:pt>
                <c:pt idx="86">
                  <c:v>2</c:v>
                </c:pt>
                <c:pt idx="87">
                  <c:v>3</c:v>
                </c:pt>
                <c:pt idx="88">
                  <c:v>2</c:v>
                </c:pt>
                <c:pt idx="89">
                  <c:v>3</c:v>
                </c:pt>
                <c:pt idx="90">
                  <c:v>4</c:v>
                </c:pt>
                <c:pt idx="91">
                  <c:v>2</c:v>
                </c:pt>
                <c:pt idx="92">
                  <c:v>1</c:v>
                </c:pt>
                <c:pt idx="93">
                  <c:v>2</c:v>
                </c:pt>
                <c:pt idx="94">
                  <c:v>6</c:v>
                </c:pt>
                <c:pt idx="95">
                  <c:v>1</c:v>
                </c:pt>
                <c:pt idx="96">
                  <c:v>3</c:v>
                </c:pt>
                <c:pt idx="97">
                  <c:v>6</c:v>
                </c:pt>
                <c:pt idx="98">
                  <c:v>5</c:v>
                </c:pt>
                <c:pt idx="99">
                  <c:v>3</c:v>
                </c:pt>
                <c:pt idx="100">
                  <c:v>1</c:v>
                </c:pt>
                <c:pt idx="101">
                  <c:v>3</c:v>
                </c:pt>
                <c:pt idx="102">
                  <c:v>2</c:v>
                </c:pt>
                <c:pt idx="103">
                  <c:v>2</c:v>
                </c:pt>
                <c:pt idx="104">
                  <c:v>3</c:v>
                </c:pt>
                <c:pt idx="105">
                  <c:v>2</c:v>
                </c:pt>
                <c:pt idx="106">
                  <c:v>1</c:v>
                </c:pt>
                <c:pt idx="107">
                  <c:v>2</c:v>
                </c:pt>
                <c:pt idx="108">
                  <c:v>2</c:v>
                </c:pt>
                <c:pt idx="109">
                  <c:v>2</c:v>
                </c:pt>
                <c:pt idx="110">
                  <c:v>3</c:v>
                </c:pt>
                <c:pt idx="111">
                  <c:v>3</c:v>
                </c:pt>
                <c:pt idx="112">
                  <c:v>3</c:v>
                </c:pt>
                <c:pt idx="113">
                  <c:v>3</c:v>
                </c:pt>
                <c:pt idx="114">
                  <c:v>3</c:v>
                </c:pt>
                <c:pt idx="115">
                  <c:v>1</c:v>
                </c:pt>
                <c:pt idx="116">
                  <c:v>3</c:v>
                </c:pt>
                <c:pt idx="117">
                  <c:v>6</c:v>
                </c:pt>
                <c:pt idx="118">
                  <c:v>5</c:v>
                </c:pt>
                <c:pt idx="119">
                  <c:v>2</c:v>
                </c:pt>
                <c:pt idx="120">
                  <c:v>4</c:v>
                </c:pt>
                <c:pt idx="121">
                  <c:v>5</c:v>
                </c:pt>
                <c:pt idx="122">
                  <c:v>5</c:v>
                </c:pt>
                <c:pt idx="123">
                  <c:v>4</c:v>
                </c:pt>
                <c:pt idx="124">
                  <c:v>5</c:v>
                </c:pt>
                <c:pt idx="125">
                  <c:v>5</c:v>
                </c:pt>
                <c:pt idx="126">
                  <c:v>1</c:v>
                </c:pt>
                <c:pt idx="127">
                  <c:v>1</c:v>
                </c:pt>
                <c:pt idx="128">
                  <c:v>2</c:v>
                </c:pt>
                <c:pt idx="129">
                  <c:v>2</c:v>
                </c:pt>
                <c:pt idx="130">
                  <c:v>7</c:v>
                </c:pt>
                <c:pt idx="131">
                  <c:v>8</c:v>
                </c:pt>
                <c:pt idx="132">
                  <c:v>4</c:v>
                </c:pt>
                <c:pt idx="133">
                  <c:v>11</c:v>
                </c:pt>
                <c:pt idx="134">
                  <c:v>4</c:v>
                </c:pt>
                <c:pt idx="135">
                  <c:v>6</c:v>
                </c:pt>
                <c:pt idx="136">
                  <c:v>1</c:v>
                </c:pt>
                <c:pt idx="137">
                  <c:v>1</c:v>
                </c:pt>
                <c:pt idx="138">
                  <c:v>4</c:v>
                </c:pt>
                <c:pt idx="139">
                  <c:v>5</c:v>
                </c:pt>
                <c:pt idx="140">
                  <c:v>2</c:v>
                </c:pt>
                <c:pt idx="141">
                  <c:v>2</c:v>
                </c:pt>
                <c:pt idx="142">
                  <c:v>3</c:v>
                </c:pt>
                <c:pt idx="143">
                  <c:v>4</c:v>
                </c:pt>
                <c:pt idx="144">
                  <c:v>7</c:v>
                </c:pt>
                <c:pt idx="145">
                  <c:v>2</c:v>
                </c:pt>
                <c:pt idx="146">
                  <c:v>4</c:v>
                </c:pt>
                <c:pt idx="147">
                  <c:v>3</c:v>
                </c:pt>
                <c:pt idx="148">
                  <c:v>3</c:v>
                </c:pt>
                <c:pt idx="149">
                  <c:v>5</c:v>
                </c:pt>
                <c:pt idx="150">
                  <c:v>6</c:v>
                </c:pt>
                <c:pt idx="151">
                  <c:v>2</c:v>
                </c:pt>
                <c:pt idx="152">
                  <c:v>9</c:v>
                </c:pt>
                <c:pt idx="153">
                  <c:v>5</c:v>
                </c:pt>
                <c:pt idx="154">
                  <c:v>3</c:v>
                </c:pt>
                <c:pt idx="155">
                  <c:v>4</c:v>
                </c:pt>
                <c:pt idx="156">
                  <c:v>8</c:v>
                </c:pt>
                <c:pt idx="157">
                  <c:v>6</c:v>
                </c:pt>
                <c:pt idx="158">
                  <c:v>4</c:v>
                </c:pt>
                <c:pt idx="159">
                  <c:v>4</c:v>
                </c:pt>
                <c:pt idx="160">
                  <c:v>3</c:v>
                </c:pt>
                <c:pt idx="161">
                  <c:v>1</c:v>
                </c:pt>
                <c:pt idx="162">
                  <c:v>2</c:v>
                </c:pt>
                <c:pt idx="163">
                  <c:v>2</c:v>
                </c:pt>
                <c:pt idx="164">
                  <c:v>1</c:v>
                </c:pt>
                <c:pt idx="165">
                  <c:v>2</c:v>
                </c:pt>
                <c:pt idx="166">
                  <c:v>3</c:v>
                </c:pt>
                <c:pt idx="167">
                  <c:v>5</c:v>
                </c:pt>
                <c:pt idx="168">
                  <c:v>8</c:v>
                </c:pt>
                <c:pt idx="169">
                  <c:v>4</c:v>
                </c:pt>
                <c:pt idx="170">
                  <c:v>5</c:v>
                </c:pt>
                <c:pt idx="171">
                  <c:v>1</c:v>
                </c:pt>
                <c:pt idx="172">
                  <c:v>4</c:v>
                </c:pt>
                <c:pt idx="173">
                  <c:v>4</c:v>
                </c:pt>
                <c:pt idx="174">
                  <c:v>1</c:v>
                </c:pt>
                <c:pt idx="175">
                  <c:v>4</c:v>
                </c:pt>
                <c:pt idx="176">
                  <c:v>7</c:v>
                </c:pt>
                <c:pt idx="177">
                  <c:v>8</c:v>
                </c:pt>
                <c:pt idx="178">
                  <c:v>1</c:v>
                </c:pt>
                <c:pt idx="179">
                  <c:v>7</c:v>
                </c:pt>
                <c:pt idx="180">
                  <c:v>5</c:v>
                </c:pt>
                <c:pt idx="181">
                  <c:v>10</c:v>
                </c:pt>
                <c:pt idx="182">
                  <c:v>8</c:v>
                </c:pt>
                <c:pt idx="183">
                  <c:v>2</c:v>
                </c:pt>
                <c:pt idx="184">
                  <c:v>5</c:v>
                </c:pt>
                <c:pt idx="185">
                  <c:v>10</c:v>
                </c:pt>
                <c:pt idx="186">
                  <c:v>5</c:v>
                </c:pt>
                <c:pt idx="187">
                  <c:v>4</c:v>
                </c:pt>
                <c:pt idx="188">
                  <c:v>8</c:v>
                </c:pt>
                <c:pt idx="189">
                  <c:v>5</c:v>
                </c:pt>
                <c:pt idx="190">
                  <c:v>6</c:v>
                </c:pt>
                <c:pt idx="191">
                  <c:v>4</c:v>
                </c:pt>
                <c:pt idx="192">
                  <c:v>3</c:v>
                </c:pt>
                <c:pt idx="193">
                  <c:v>3</c:v>
                </c:pt>
                <c:pt idx="194">
                  <c:v>1</c:v>
                </c:pt>
                <c:pt idx="195">
                  <c:v>8</c:v>
                </c:pt>
                <c:pt idx="196">
                  <c:v>4</c:v>
                </c:pt>
                <c:pt idx="197">
                  <c:v>1</c:v>
                </c:pt>
                <c:pt idx="198">
                  <c:v>1</c:v>
                </c:pt>
                <c:pt idx="199">
                  <c:v>1</c:v>
                </c:pt>
                <c:pt idx="200">
                  <c:v>1</c:v>
                </c:pt>
                <c:pt idx="201">
                  <c:v>5</c:v>
                </c:pt>
                <c:pt idx="202">
                  <c:v>2</c:v>
                </c:pt>
                <c:pt idx="203">
                  <c:v>1</c:v>
                </c:pt>
                <c:pt idx="204">
                  <c:v>2</c:v>
                </c:pt>
                <c:pt idx="205">
                  <c:v>4</c:v>
                </c:pt>
                <c:pt idx="206">
                  <c:v>1</c:v>
                </c:pt>
                <c:pt idx="207">
                  <c:v>1</c:v>
                </c:pt>
                <c:pt idx="208">
                  <c:v>2</c:v>
                </c:pt>
                <c:pt idx="209">
                  <c:v>5</c:v>
                </c:pt>
                <c:pt idx="210">
                  <c:v>4</c:v>
                </c:pt>
                <c:pt idx="211">
                  <c:v>2</c:v>
                </c:pt>
                <c:pt idx="212">
                  <c:v>3</c:v>
                </c:pt>
                <c:pt idx="213">
                  <c:v>4</c:v>
                </c:pt>
                <c:pt idx="214">
                  <c:v>4</c:v>
                </c:pt>
                <c:pt idx="215">
                  <c:v>1</c:v>
                </c:pt>
                <c:pt idx="216">
                  <c:v>2</c:v>
                </c:pt>
                <c:pt idx="217">
                  <c:v>6</c:v>
                </c:pt>
                <c:pt idx="218">
                  <c:v>4</c:v>
                </c:pt>
                <c:pt idx="219">
                  <c:v>4</c:v>
                </c:pt>
                <c:pt idx="220">
                  <c:v>4</c:v>
                </c:pt>
                <c:pt idx="221">
                  <c:v>1</c:v>
                </c:pt>
                <c:pt idx="222">
                  <c:v>7</c:v>
                </c:pt>
                <c:pt idx="223">
                  <c:v>5</c:v>
                </c:pt>
                <c:pt idx="224">
                  <c:v>6</c:v>
                </c:pt>
                <c:pt idx="225">
                  <c:v>7</c:v>
                </c:pt>
                <c:pt idx="226">
                  <c:v>3</c:v>
                </c:pt>
                <c:pt idx="227">
                  <c:v>1</c:v>
                </c:pt>
                <c:pt idx="228">
                  <c:v>3</c:v>
                </c:pt>
                <c:pt idx="229">
                  <c:v>4</c:v>
                </c:pt>
                <c:pt idx="230">
                  <c:v>3</c:v>
                </c:pt>
                <c:pt idx="231">
                  <c:v>6</c:v>
                </c:pt>
                <c:pt idx="232">
                  <c:v>2</c:v>
                </c:pt>
                <c:pt idx="233">
                  <c:v>5</c:v>
                </c:pt>
                <c:pt idx="234">
                  <c:v>5</c:v>
                </c:pt>
                <c:pt idx="235">
                  <c:v>2</c:v>
                </c:pt>
                <c:pt idx="236">
                  <c:v>9</c:v>
                </c:pt>
                <c:pt idx="237">
                  <c:v>4</c:v>
                </c:pt>
                <c:pt idx="238">
                  <c:v>4</c:v>
                </c:pt>
                <c:pt idx="239">
                  <c:v>4</c:v>
                </c:pt>
                <c:pt idx="240">
                  <c:v>5</c:v>
                </c:pt>
                <c:pt idx="241">
                  <c:v>2</c:v>
                </c:pt>
                <c:pt idx="242">
                  <c:v>5</c:v>
                </c:pt>
                <c:pt idx="243">
                  <c:v>5</c:v>
                </c:pt>
                <c:pt idx="244">
                  <c:v>2</c:v>
                </c:pt>
                <c:pt idx="245">
                  <c:v>1</c:v>
                </c:pt>
                <c:pt idx="246">
                  <c:v>6</c:v>
                </c:pt>
                <c:pt idx="247">
                  <c:v>3</c:v>
                </c:pt>
                <c:pt idx="248">
                  <c:v>10</c:v>
                </c:pt>
                <c:pt idx="249">
                  <c:v>4</c:v>
                </c:pt>
                <c:pt idx="250">
                  <c:v>3</c:v>
                </c:pt>
                <c:pt idx="251">
                  <c:v>2</c:v>
                </c:pt>
                <c:pt idx="252">
                  <c:v>1</c:v>
                </c:pt>
                <c:pt idx="253">
                  <c:v>3</c:v>
                </c:pt>
                <c:pt idx="254">
                  <c:v>6</c:v>
                </c:pt>
                <c:pt idx="255">
                  <c:v>4</c:v>
                </c:pt>
                <c:pt idx="256">
                  <c:v>5</c:v>
                </c:pt>
                <c:pt idx="257">
                  <c:v>5</c:v>
                </c:pt>
                <c:pt idx="258">
                  <c:v>4</c:v>
                </c:pt>
                <c:pt idx="259">
                  <c:v>2</c:v>
                </c:pt>
                <c:pt idx="260">
                  <c:v>5</c:v>
                </c:pt>
                <c:pt idx="261">
                  <c:v>2</c:v>
                </c:pt>
                <c:pt idx="262">
                  <c:v>3</c:v>
                </c:pt>
                <c:pt idx="263">
                  <c:v>6</c:v>
                </c:pt>
                <c:pt idx="264">
                  <c:v>6</c:v>
                </c:pt>
                <c:pt idx="265">
                  <c:v>2</c:v>
                </c:pt>
                <c:pt idx="266">
                  <c:v>5</c:v>
                </c:pt>
                <c:pt idx="267">
                  <c:v>3</c:v>
                </c:pt>
                <c:pt idx="268">
                  <c:v>3</c:v>
                </c:pt>
                <c:pt idx="269">
                  <c:v>2</c:v>
                </c:pt>
                <c:pt idx="270">
                  <c:v>3</c:v>
                </c:pt>
                <c:pt idx="271">
                  <c:v>1</c:v>
                </c:pt>
                <c:pt idx="272">
                  <c:v>8</c:v>
                </c:pt>
                <c:pt idx="273">
                  <c:v>5</c:v>
                </c:pt>
                <c:pt idx="274">
                  <c:v>2</c:v>
                </c:pt>
                <c:pt idx="275">
                  <c:v>4</c:v>
                </c:pt>
                <c:pt idx="276">
                  <c:v>1</c:v>
                </c:pt>
                <c:pt idx="277">
                  <c:v>2</c:v>
                </c:pt>
                <c:pt idx="278">
                  <c:v>3</c:v>
                </c:pt>
                <c:pt idx="279">
                  <c:v>11</c:v>
                </c:pt>
                <c:pt idx="280">
                  <c:v>8</c:v>
                </c:pt>
                <c:pt idx="281">
                  <c:v>10</c:v>
                </c:pt>
                <c:pt idx="282">
                  <c:v>9</c:v>
                </c:pt>
                <c:pt idx="283">
                  <c:v>5</c:v>
                </c:pt>
                <c:pt idx="284">
                  <c:v>8</c:v>
                </c:pt>
                <c:pt idx="285">
                  <c:v>3</c:v>
                </c:pt>
                <c:pt idx="286">
                  <c:v>5</c:v>
                </c:pt>
                <c:pt idx="287">
                  <c:v>6</c:v>
                </c:pt>
                <c:pt idx="288">
                  <c:v>7</c:v>
                </c:pt>
                <c:pt idx="289">
                  <c:v>13</c:v>
                </c:pt>
                <c:pt idx="290">
                  <c:v>5</c:v>
                </c:pt>
                <c:pt idx="291">
                  <c:v>5</c:v>
                </c:pt>
              </c:numCache>
            </c:numRef>
          </c:val>
          <c:smooth val="0"/>
          <c:extLst>
            <c:ext xmlns:c16="http://schemas.microsoft.com/office/drawing/2014/chart" uri="{C3380CC4-5D6E-409C-BE32-E72D297353CC}">
              <c16:uniqueId val="{00000004-5AD3-46EB-B8FD-5AC51652630B}"/>
            </c:ext>
          </c:extLst>
        </c:ser>
        <c:dLbls>
          <c:dLblPos val="t"/>
          <c:showLegendKey val="0"/>
          <c:showVal val="1"/>
          <c:showCatName val="0"/>
          <c:showSerName val="0"/>
          <c:showPercent val="0"/>
          <c:showBubbleSize val="0"/>
        </c:dLbls>
        <c:smooth val="0"/>
        <c:axId val="1254959056"/>
        <c:axId val="1376540720"/>
      </c:lineChart>
      <c:catAx>
        <c:axId val="125495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376540720"/>
        <c:crosses val="autoZero"/>
        <c:auto val="1"/>
        <c:lblAlgn val="ctr"/>
        <c:lblOffset val="100"/>
        <c:noMultiLvlLbl val="0"/>
      </c:catAx>
      <c:valAx>
        <c:axId val="13765407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254959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68580</xdr:colOff>
      <xdr:row>22</xdr:row>
      <xdr:rowOff>68580</xdr:rowOff>
    </xdr:from>
    <xdr:to>
      <xdr:col>10</xdr:col>
      <xdr:colOff>556260</xdr:colOff>
      <xdr:row>36</xdr:row>
      <xdr:rowOff>167641</xdr:rowOff>
    </xdr:to>
    <xdr:graphicFrame macro="">
      <xdr:nvGraphicFramePr>
        <xdr:cNvPr id="3" name="Chart 2">
          <a:extLst>
            <a:ext uri="{FF2B5EF4-FFF2-40B4-BE49-F238E27FC236}">
              <a16:creationId xmlns:a16="http://schemas.microsoft.com/office/drawing/2014/main" id="{456B7A86-481F-4FAD-B8F0-A1D466A813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266700</xdr:colOff>
      <xdr:row>6</xdr:row>
      <xdr:rowOff>30480</xdr:rowOff>
    </xdr:from>
    <xdr:to>
      <xdr:col>18</xdr:col>
      <xdr:colOff>492300</xdr:colOff>
      <xdr:row>22</xdr:row>
      <xdr:rowOff>20400</xdr:rowOff>
    </xdr:to>
    <xdr:graphicFrame macro="">
      <xdr:nvGraphicFramePr>
        <xdr:cNvPr id="4" name="Chart 3">
          <a:extLst>
            <a:ext uri="{FF2B5EF4-FFF2-40B4-BE49-F238E27FC236}">
              <a16:creationId xmlns:a16="http://schemas.microsoft.com/office/drawing/2014/main" id="{8576C1CA-BA8A-4DE1-A7BA-543B2A6233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541020</xdr:colOff>
      <xdr:row>6</xdr:row>
      <xdr:rowOff>30480</xdr:rowOff>
    </xdr:from>
    <xdr:to>
      <xdr:col>23</xdr:col>
      <xdr:colOff>157020</xdr:colOff>
      <xdr:row>22</xdr:row>
      <xdr:rowOff>20400</xdr:rowOff>
    </xdr:to>
    <xdr:graphicFrame macro="">
      <xdr:nvGraphicFramePr>
        <xdr:cNvPr id="6" name="Chart 5">
          <a:extLst>
            <a:ext uri="{FF2B5EF4-FFF2-40B4-BE49-F238E27FC236}">
              <a16:creationId xmlns:a16="http://schemas.microsoft.com/office/drawing/2014/main" id="{6C97A72F-3E78-4F67-AC26-8A1D43BD87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586740</xdr:colOff>
      <xdr:row>0</xdr:row>
      <xdr:rowOff>83820</xdr:rowOff>
    </xdr:from>
    <xdr:to>
      <xdr:col>8</xdr:col>
      <xdr:colOff>426720</xdr:colOff>
      <xdr:row>3</xdr:row>
      <xdr:rowOff>7620</xdr:rowOff>
    </xdr:to>
    <xdr:sp macro="" textlink="">
      <xdr:nvSpPr>
        <xdr:cNvPr id="7" name="Rectangle: Rounded Corners 6">
          <a:extLst>
            <a:ext uri="{FF2B5EF4-FFF2-40B4-BE49-F238E27FC236}">
              <a16:creationId xmlns:a16="http://schemas.microsoft.com/office/drawing/2014/main" id="{9142F917-B3D1-C8D1-EAC0-0BC5F8FB688B}"/>
            </a:ext>
          </a:extLst>
        </xdr:cNvPr>
        <xdr:cNvSpPr/>
      </xdr:nvSpPr>
      <xdr:spPr>
        <a:xfrm>
          <a:off x="3634740" y="83820"/>
          <a:ext cx="1668780" cy="6858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0" u="none" strike="noStrike">
              <a:solidFill>
                <a:schemeClr val="bg1"/>
              </a:solidFill>
              <a:effectLst/>
              <a:latin typeface="+mn-lt"/>
              <a:ea typeface="+mn-ea"/>
              <a:cs typeface="+mn-cs"/>
            </a:rPr>
            <a:t>Average Duration</a:t>
          </a:r>
          <a:r>
            <a:rPr lang="en-IN" sz="1600" b="1" i="0" u="none" strike="noStrike">
              <a:solidFill>
                <a:schemeClr val="bg1"/>
              </a:solidFill>
              <a:effectLst/>
              <a:latin typeface="+mn-lt"/>
              <a:ea typeface="+mn-ea"/>
              <a:cs typeface="+mn-cs"/>
            </a:rPr>
            <a:t>  </a:t>
          </a:r>
          <a:r>
            <a:rPr lang="en-IN" sz="1200" b="1" i="0" u="none" strike="noStrike">
              <a:solidFill>
                <a:srgbClr val="00B0F0"/>
              </a:solidFill>
              <a:effectLst/>
              <a:latin typeface="+mn-lt"/>
              <a:ea typeface="+mn-ea"/>
              <a:cs typeface="+mn-cs"/>
            </a:rPr>
            <a:t>23 Minutes</a:t>
          </a:r>
          <a:r>
            <a:rPr lang="en-IN" sz="1600" b="1">
              <a:solidFill>
                <a:srgbClr val="00B0F0"/>
              </a:solidFill>
            </a:rPr>
            <a:t>  </a:t>
          </a:r>
        </a:p>
      </xdr:txBody>
    </xdr:sp>
    <xdr:clientData/>
  </xdr:twoCellAnchor>
  <xdr:twoCellAnchor>
    <xdr:from>
      <xdr:col>10</xdr:col>
      <xdr:colOff>594360</xdr:colOff>
      <xdr:row>22</xdr:row>
      <xdr:rowOff>76200</xdr:rowOff>
    </xdr:from>
    <xdr:to>
      <xdr:col>15</xdr:col>
      <xdr:colOff>350520</xdr:colOff>
      <xdr:row>36</xdr:row>
      <xdr:rowOff>179880</xdr:rowOff>
    </xdr:to>
    <xdr:graphicFrame macro="">
      <xdr:nvGraphicFramePr>
        <xdr:cNvPr id="8" name="Chart 7">
          <a:extLst>
            <a:ext uri="{FF2B5EF4-FFF2-40B4-BE49-F238E27FC236}">
              <a16:creationId xmlns:a16="http://schemas.microsoft.com/office/drawing/2014/main" id="{D7562DE6-C8A6-49BB-9EC9-86C21CE144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472440</xdr:colOff>
      <xdr:row>0</xdr:row>
      <xdr:rowOff>83820</xdr:rowOff>
    </xdr:from>
    <xdr:to>
      <xdr:col>11</xdr:col>
      <xdr:colOff>312420</xdr:colOff>
      <xdr:row>3</xdr:row>
      <xdr:rowOff>7620</xdr:rowOff>
    </xdr:to>
    <xdr:sp macro="" textlink="">
      <xdr:nvSpPr>
        <xdr:cNvPr id="10" name="Rectangle: Rounded Corners 9">
          <a:extLst>
            <a:ext uri="{FF2B5EF4-FFF2-40B4-BE49-F238E27FC236}">
              <a16:creationId xmlns:a16="http://schemas.microsoft.com/office/drawing/2014/main" id="{56D4C203-BFF1-42C3-9461-F80113A1C6C8}"/>
            </a:ext>
          </a:extLst>
        </xdr:cNvPr>
        <xdr:cNvSpPr/>
      </xdr:nvSpPr>
      <xdr:spPr>
        <a:xfrm>
          <a:off x="5349240" y="83820"/>
          <a:ext cx="1668780" cy="6858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0" u="none" strike="noStrike">
              <a:solidFill>
                <a:schemeClr val="bg1"/>
              </a:solidFill>
              <a:effectLst/>
              <a:latin typeface="+mn-lt"/>
              <a:ea typeface="+mn-ea"/>
              <a:cs typeface="+mn-cs"/>
            </a:rPr>
            <a:t>Average Speed</a:t>
          </a:r>
        </a:p>
        <a:p>
          <a:pPr algn="ctr"/>
          <a:r>
            <a:rPr lang="en-IN" sz="1600" b="1" i="0" u="none" strike="noStrike">
              <a:solidFill>
                <a:srgbClr val="00B0F0"/>
              </a:solidFill>
              <a:effectLst/>
              <a:latin typeface="+mn-lt"/>
              <a:ea typeface="+mn-ea"/>
              <a:cs typeface="+mn-cs"/>
            </a:rPr>
            <a:t>  </a:t>
          </a:r>
          <a:r>
            <a:rPr lang="en-IN" sz="1200" b="1" i="0" u="none" strike="noStrike">
              <a:solidFill>
                <a:srgbClr val="00B0F0"/>
              </a:solidFill>
              <a:effectLst/>
              <a:latin typeface="+mn-lt"/>
              <a:ea typeface="+mn-ea"/>
              <a:cs typeface="+mn-cs"/>
            </a:rPr>
            <a:t>6.83</a:t>
          </a:r>
          <a:r>
            <a:rPr lang="en-IN" sz="1200" b="1" i="0" u="none" strike="noStrike" baseline="0">
              <a:solidFill>
                <a:srgbClr val="00B0F0"/>
              </a:solidFill>
              <a:effectLst/>
              <a:latin typeface="+mn-lt"/>
              <a:ea typeface="+mn-ea"/>
              <a:cs typeface="+mn-cs"/>
            </a:rPr>
            <a:t> Miles/Hour</a:t>
          </a:r>
          <a:r>
            <a:rPr lang="en-IN" sz="1600" b="1">
              <a:solidFill>
                <a:srgbClr val="00B0F0"/>
              </a:solidFill>
            </a:rPr>
            <a:t>  </a:t>
          </a:r>
        </a:p>
      </xdr:txBody>
    </xdr:sp>
    <xdr:clientData/>
  </xdr:twoCellAnchor>
  <xdr:twoCellAnchor>
    <xdr:from>
      <xdr:col>0</xdr:col>
      <xdr:colOff>76200</xdr:colOff>
      <xdr:row>5</xdr:row>
      <xdr:rowOff>167640</xdr:rowOff>
    </xdr:from>
    <xdr:to>
      <xdr:col>5</xdr:col>
      <xdr:colOff>594360</xdr:colOff>
      <xdr:row>21</xdr:row>
      <xdr:rowOff>168360</xdr:rowOff>
    </xdr:to>
    <xdr:graphicFrame macro="">
      <xdr:nvGraphicFramePr>
        <xdr:cNvPr id="11" name="Chart 10">
          <a:extLst>
            <a:ext uri="{FF2B5EF4-FFF2-40B4-BE49-F238E27FC236}">
              <a16:creationId xmlns:a16="http://schemas.microsoft.com/office/drawing/2014/main" id="{9D935482-BE2D-48D5-BF6F-B17467184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350520</xdr:colOff>
      <xdr:row>0</xdr:row>
      <xdr:rowOff>76200</xdr:rowOff>
    </xdr:from>
    <xdr:to>
      <xdr:col>14</xdr:col>
      <xdr:colOff>236220</xdr:colOff>
      <xdr:row>3</xdr:row>
      <xdr:rowOff>0</xdr:rowOff>
    </xdr:to>
    <xdr:sp macro="" textlink="">
      <xdr:nvSpPr>
        <xdr:cNvPr id="14" name="Rectangle: Rounded Corners 13">
          <a:extLst>
            <a:ext uri="{FF2B5EF4-FFF2-40B4-BE49-F238E27FC236}">
              <a16:creationId xmlns:a16="http://schemas.microsoft.com/office/drawing/2014/main" id="{B13F7B3B-FC97-4E4F-B1B3-EAEC574EF768}"/>
            </a:ext>
          </a:extLst>
        </xdr:cNvPr>
        <xdr:cNvSpPr/>
      </xdr:nvSpPr>
      <xdr:spPr>
        <a:xfrm>
          <a:off x="7056120" y="76200"/>
          <a:ext cx="1714500" cy="6858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0" u="none" strike="noStrike">
              <a:solidFill>
                <a:schemeClr val="bg2"/>
              </a:solidFill>
              <a:effectLst/>
              <a:latin typeface="+mn-lt"/>
              <a:ea typeface="+mn-ea"/>
              <a:cs typeface="+mn-cs"/>
            </a:rPr>
            <a:t>Total</a:t>
          </a:r>
          <a:r>
            <a:rPr lang="en-IN" sz="1400" b="1" i="0" u="none" strike="noStrike" baseline="0">
              <a:solidFill>
                <a:schemeClr val="bg2"/>
              </a:solidFill>
              <a:effectLst/>
              <a:latin typeface="+mn-lt"/>
              <a:ea typeface="+mn-ea"/>
              <a:cs typeface="+mn-cs"/>
            </a:rPr>
            <a:t> Rides</a:t>
          </a:r>
          <a:endParaRPr lang="en-IN" sz="1400" b="1" i="0" u="none" strike="noStrike">
            <a:solidFill>
              <a:schemeClr val="bg2"/>
            </a:solidFill>
            <a:effectLst/>
            <a:latin typeface="+mn-lt"/>
            <a:ea typeface="+mn-ea"/>
            <a:cs typeface="+mn-cs"/>
          </a:endParaRPr>
        </a:p>
        <a:p>
          <a:pPr algn="ctr"/>
          <a:r>
            <a:rPr lang="en-IN" sz="1600" b="1" i="0" u="none" strike="noStrike">
              <a:solidFill>
                <a:srgbClr val="00B0F0"/>
              </a:solidFill>
              <a:effectLst/>
              <a:latin typeface="+mn-lt"/>
              <a:ea typeface="+mn-ea"/>
              <a:cs typeface="+mn-cs"/>
            </a:rPr>
            <a:t>  </a:t>
          </a:r>
          <a:r>
            <a:rPr lang="en-IN" sz="1200" b="1" i="0" u="none" strike="noStrike">
              <a:solidFill>
                <a:srgbClr val="00B0F0"/>
              </a:solidFill>
              <a:effectLst/>
              <a:latin typeface="+mn-lt"/>
              <a:ea typeface="+mn-ea"/>
              <a:cs typeface="+mn-cs"/>
            </a:rPr>
            <a:t>1149</a:t>
          </a:r>
          <a:r>
            <a:rPr lang="en-IN" sz="1600" b="1">
              <a:solidFill>
                <a:srgbClr val="00B0F0"/>
              </a:solidFill>
            </a:rPr>
            <a:t>  </a:t>
          </a:r>
        </a:p>
      </xdr:txBody>
    </xdr:sp>
    <xdr:clientData/>
  </xdr:twoCellAnchor>
  <xdr:twoCellAnchor>
    <xdr:from>
      <xdr:col>15</xdr:col>
      <xdr:colOff>403860</xdr:colOff>
      <xdr:row>22</xdr:row>
      <xdr:rowOff>68580</xdr:rowOff>
    </xdr:from>
    <xdr:to>
      <xdr:col>23</xdr:col>
      <xdr:colOff>129540</xdr:colOff>
      <xdr:row>36</xdr:row>
      <xdr:rowOff>172260</xdr:rowOff>
    </xdr:to>
    <xdr:graphicFrame macro="">
      <xdr:nvGraphicFramePr>
        <xdr:cNvPr id="15" name="Chart 14">
          <a:extLst>
            <a:ext uri="{FF2B5EF4-FFF2-40B4-BE49-F238E27FC236}">
              <a16:creationId xmlns:a16="http://schemas.microsoft.com/office/drawing/2014/main" id="{2BF046CA-0427-4B99-B6BD-2F8074AB59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60960</xdr:colOff>
      <xdr:row>0</xdr:row>
      <xdr:rowOff>53340</xdr:rowOff>
    </xdr:from>
    <xdr:to>
      <xdr:col>23</xdr:col>
      <xdr:colOff>121920</xdr:colOff>
      <xdr:row>5</xdr:row>
      <xdr:rowOff>152400</xdr:rowOff>
    </xdr:to>
    <mc:AlternateContent xmlns:mc="http://schemas.openxmlformats.org/markup-compatibility/2006" xmlns:a14="http://schemas.microsoft.com/office/drawing/2010/main">
      <mc:Choice Requires="a14">
        <xdr:graphicFrame macro="">
          <xdr:nvGraphicFramePr>
            <xdr:cNvPr id="18" name="Months (End Date)">
              <a:extLst>
                <a:ext uri="{FF2B5EF4-FFF2-40B4-BE49-F238E27FC236}">
                  <a16:creationId xmlns:a16="http://schemas.microsoft.com/office/drawing/2014/main" id="{FFEAA1AB-9D4D-4577-9011-0230D15B1E5E}"/>
                </a:ext>
              </a:extLst>
            </xdr:cNvPr>
            <xdr:cNvGraphicFramePr/>
          </xdr:nvGraphicFramePr>
          <xdr:xfrm>
            <a:off x="0" y="0"/>
            <a:ext cx="0" cy="0"/>
          </xdr:xfrm>
          <a:graphic>
            <a:graphicData uri="http://schemas.microsoft.com/office/drawing/2010/slicer">
              <sle:slicer xmlns:sle="http://schemas.microsoft.com/office/drawing/2010/slicer" name="Months (End Date)"/>
            </a:graphicData>
          </a:graphic>
        </xdr:graphicFrame>
      </mc:Choice>
      <mc:Fallback xmlns="">
        <xdr:sp macro="" textlink="">
          <xdr:nvSpPr>
            <xdr:cNvPr id="0" name=""/>
            <xdr:cNvSpPr>
              <a:spLocks noTextEdit="1"/>
            </xdr:cNvSpPr>
          </xdr:nvSpPr>
          <xdr:spPr>
            <a:xfrm>
              <a:off x="11643360" y="53340"/>
              <a:ext cx="2499360" cy="1226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297180</xdr:colOff>
      <xdr:row>0</xdr:row>
      <xdr:rowOff>76201</xdr:rowOff>
    </xdr:from>
    <xdr:to>
      <xdr:col>19</xdr:col>
      <xdr:colOff>15240</xdr:colOff>
      <xdr:row>5</xdr:row>
      <xdr:rowOff>160020</xdr:rowOff>
    </xdr:to>
    <mc:AlternateContent xmlns:mc="http://schemas.openxmlformats.org/markup-compatibility/2006" xmlns:a14="http://schemas.microsoft.com/office/drawing/2010/main">
      <mc:Choice Requires="a14">
        <xdr:graphicFrame macro="">
          <xdr:nvGraphicFramePr>
            <xdr:cNvPr id="19" name="Start Date2">
              <a:extLst>
                <a:ext uri="{FF2B5EF4-FFF2-40B4-BE49-F238E27FC236}">
                  <a16:creationId xmlns:a16="http://schemas.microsoft.com/office/drawing/2014/main" id="{10BA0FB4-3A51-4DB1-B2C0-FB3528B0DF89}"/>
                </a:ext>
              </a:extLst>
            </xdr:cNvPr>
            <xdr:cNvGraphicFramePr/>
          </xdr:nvGraphicFramePr>
          <xdr:xfrm>
            <a:off x="0" y="0"/>
            <a:ext cx="0" cy="0"/>
          </xdr:xfrm>
          <a:graphic>
            <a:graphicData uri="http://schemas.microsoft.com/office/drawing/2010/slicer">
              <sle:slicer xmlns:sle="http://schemas.microsoft.com/office/drawing/2010/slicer" name="Start Date2"/>
            </a:graphicData>
          </a:graphic>
        </xdr:graphicFrame>
      </mc:Choice>
      <mc:Fallback xmlns="">
        <xdr:sp macro="" textlink="">
          <xdr:nvSpPr>
            <xdr:cNvPr id="0" name=""/>
            <xdr:cNvSpPr>
              <a:spLocks noTextEdit="1"/>
            </xdr:cNvSpPr>
          </xdr:nvSpPr>
          <xdr:spPr>
            <a:xfrm>
              <a:off x="8831580" y="76201"/>
              <a:ext cx="2766060" cy="12115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30480</xdr:colOff>
      <xdr:row>3</xdr:row>
      <xdr:rowOff>91440</xdr:rowOff>
    </xdr:from>
    <xdr:to>
      <xdr:col>14</xdr:col>
      <xdr:colOff>207300</xdr:colOff>
      <xdr:row>22</xdr:row>
      <xdr:rowOff>720</xdr:rowOff>
    </xdr:to>
    <xdr:graphicFrame macro="">
      <xdr:nvGraphicFramePr>
        <xdr:cNvPr id="2" name="Chart 1">
          <a:extLst>
            <a:ext uri="{FF2B5EF4-FFF2-40B4-BE49-F238E27FC236}">
              <a16:creationId xmlns:a16="http://schemas.microsoft.com/office/drawing/2014/main" id="{0496F437-5882-446A-9172-B8A6B1ACAD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594360</xdr:colOff>
      <xdr:row>1</xdr:row>
      <xdr:rowOff>121920</xdr:rowOff>
    </xdr:from>
    <xdr:to>
      <xdr:col>2</xdr:col>
      <xdr:colOff>99060</xdr:colOff>
      <xdr:row>5</xdr:row>
      <xdr:rowOff>114300</xdr:rowOff>
    </xdr:to>
    <xdr:pic>
      <xdr:nvPicPr>
        <xdr:cNvPr id="9" name="Picture 8">
          <a:extLst>
            <a:ext uri="{FF2B5EF4-FFF2-40B4-BE49-F238E27FC236}">
              <a16:creationId xmlns:a16="http://schemas.microsoft.com/office/drawing/2014/main" id="{FB0344EB-E5FB-B2E1-E7FD-9883E329205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94360" y="518160"/>
          <a:ext cx="723900" cy="723900"/>
        </a:xfrm>
        <a:prstGeom prst="rect">
          <a:avLst/>
        </a:prstGeom>
      </xdr:spPr>
    </xdr:pic>
    <xdr:clientData/>
  </xdr:twoCellAnchor>
  <xdr:twoCellAnchor editAs="oneCell">
    <xdr:from>
      <xdr:col>2</xdr:col>
      <xdr:colOff>320040</xdr:colOff>
      <xdr:row>1</xdr:row>
      <xdr:rowOff>129541</xdr:rowOff>
    </xdr:from>
    <xdr:to>
      <xdr:col>5</xdr:col>
      <xdr:colOff>396240</xdr:colOff>
      <xdr:row>5</xdr:row>
      <xdr:rowOff>167641</xdr:rowOff>
    </xdr:to>
    <xdr:pic>
      <xdr:nvPicPr>
        <xdr:cNvPr id="16" name="Picture 15">
          <a:extLst>
            <a:ext uri="{FF2B5EF4-FFF2-40B4-BE49-F238E27FC236}">
              <a16:creationId xmlns:a16="http://schemas.microsoft.com/office/drawing/2014/main" id="{E7A0C7EA-BCF3-EB85-D04E-9A6A6924338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539240" y="525781"/>
          <a:ext cx="1905000" cy="7696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861060</xdr:colOff>
      <xdr:row>5</xdr:row>
      <xdr:rowOff>53340</xdr:rowOff>
    </xdr:from>
    <xdr:to>
      <xdr:col>8</xdr:col>
      <xdr:colOff>541020</xdr:colOff>
      <xdr:row>20</xdr:row>
      <xdr:rowOff>53340</xdr:rowOff>
    </xdr:to>
    <xdr:graphicFrame macro="">
      <xdr:nvGraphicFramePr>
        <xdr:cNvPr id="2" name="Chart 1">
          <a:extLst>
            <a:ext uri="{FF2B5EF4-FFF2-40B4-BE49-F238E27FC236}">
              <a16:creationId xmlns:a16="http://schemas.microsoft.com/office/drawing/2014/main" id="{A8AF00FE-6659-7411-D3E9-74EB43E278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457200</xdr:colOff>
      <xdr:row>6</xdr:row>
      <xdr:rowOff>45720</xdr:rowOff>
    </xdr:from>
    <xdr:to>
      <xdr:col>11</xdr:col>
      <xdr:colOff>152400</xdr:colOff>
      <xdr:row>21</xdr:row>
      <xdr:rowOff>45720</xdr:rowOff>
    </xdr:to>
    <xdr:graphicFrame macro="">
      <xdr:nvGraphicFramePr>
        <xdr:cNvPr id="2" name="Chart 1">
          <a:extLst>
            <a:ext uri="{FF2B5EF4-FFF2-40B4-BE49-F238E27FC236}">
              <a16:creationId xmlns:a16="http://schemas.microsoft.com/office/drawing/2014/main" id="{38BC4D96-65E8-8A74-BD99-1EACB9F5D0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1</xdr:row>
      <xdr:rowOff>30480</xdr:rowOff>
    </xdr:from>
    <xdr:to>
      <xdr:col>13</xdr:col>
      <xdr:colOff>76200</xdr:colOff>
      <xdr:row>24</xdr:row>
      <xdr:rowOff>38100</xdr:rowOff>
    </xdr:to>
    <xdr:graphicFrame macro="">
      <xdr:nvGraphicFramePr>
        <xdr:cNvPr id="2" name="Chart 1">
          <a:extLst>
            <a:ext uri="{FF2B5EF4-FFF2-40B4-BE49-F238E27FC236}">
              <a16:creationId xmlns:a16="http://schemas.microsoft.com/office/drawing/2014/main" id="{E7A0FA12-F0D7-6429-E093-1A431129B6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60960</xdr:colOff>
      <xdr:row>1</xdr:row>
      <xdr:rowOff>15240</xdr:rowOff>
    </xdr:from>
    <xdr:to>
      <xdr:col>14</xdr:col>
      <xdr:colOff>38100</xdr:colOff>
      <xdr:row>23</xdr:row>
      <xdr:rowOff>175260</xdr:rowOff>
    </xdr:to>
    <xdr:graphicFrame macro="">
      <xdr:nvGraphicFramePr>
        <xdr:cNvPr id="2" name="Chart 1">
          <a:extLst>
            <a:ext uri="{FF2B5EF4-FFF2-40B4-BE49-F238E27FC236}">
              <a16:creationId xmlns:a16="http://schemas.microsoft.com/office/drawing/2014/main" id="{32849A27-9802-4641-AA80-A687B66A3C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861060</xdr:colOff>
      <xdr:row>5</xdr:row>
      <xdr:rowOff>53340</xdr:rowOff>
    </xdr:from>
    <xdr:to>
      <xdr:col>8</xdr:col>
      <xdr:colOff>541020</xdr:colOff>
      <xdr:row>20</xdr:row>
      <xdr:rowOff>53340</xdr:rowOff>
    </xdr:to>
    <xdr:graphicFrame macro="">
      <xdr:nvGraphicFramePr>
        <xdr:cNvPr id="2" name="Chart 1">
          <a:extLst>
            <a:ext uri="{FF2B5EF4-FFF2-40B4-BE49-F238E27FC236}">
              <a16:creationId xmlns:a16="http://schemas.microsoft.com/office/drawing/2014/main" id="{2304F82C-68AD-4D74-8169-931EB79E35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30480</xdr:colOff>
      <xdr:row>2</xdr:row>
      <xdr:rowOff>15240</xdr:rowOff>
    </xdr:from>
    <xdr:to>
      <xdr:col>10</xdr:col>
      <xdr:colOff>38100</xdr:colOff>
      <xdr:row>21</xdr:row>
      <xdr:rowOff>83820</xdr:rowOff>
    </xdr:to>
    <xdr:graphicFrame macro="">
      <xdr:nvGraphicFramePr>
        <xdr:cNvPr id="2" name="Chart 1">
          <a:extLst>
            <a:ext uri="{FF2B5EF4-FFF2-40B4-BE49-F238E27FC236}">
              <a16:creationId xmlns:a16="http://schemas.microsoft.com/office/drawing/2014/main" id="{9D09D6C3-2276-DEB9-0A44-0C055CFD12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876300</xdr:colOff>
      <xdr:row>18</xdr:row>
      <xdr:rowOff>53340</xdr:rowOff>
    </xdr:from>
    <xdr:to>
      <xdr:col>15</xdr:col>
      <xdr:colOff>342900</xdr:colOff>
      <xdr:row>40</xdr:row>
      <xdr:rowOff>60960</xdr:rowOff>
    </xdr:to>
    <xdr:graphicFrame macro="">
      <xdr:nvGraphicFramePr>
        <xdr:cNvPr id="2" name="Chart 1">
          <a:extLst>
            <a:ext uri="{FF2B5EF4-FFF2-40B4-BE49-F238E27FC236}">
              <a16:creationId xmlns:a16="http://schemas.microsoft.com/office/drawing/2014/main" id="{F05B4BC5-45CF-CD45-FE47-FCED4118FF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ijesh" refreshedDate="45207.770788310183" createdVersion="8" refreshedVersion="8" minRefreshableVersion="3" recordCount="1149" xr:uid="{1B3DCF16-504F-4B6F-9705-62EE5AB8937A}">
  <cacheSource type="worksheet">
    <worksheetSource ref="B1:O1150" sheet="My Uber Drives - 2016"/>
  </cacheSource>
  <cacheFields count="19">
    <cacheField name="Start Date" numFmtId="0">
      <sharedItems containsSemiMixedTypes="0" containsNonDate="0" containsDate="1" containsString="0" minDate="2016-01-01T00:00:00" maxDate="2017-01-01T00:00:00" count="292">
        <d v="2016-08-21T00:00:00"/>
        <d v="2016-12-17T00:00:00"/>
        <d v="2016-12-29T00:00:00"/>
        <d v="2016-06-02T00:00:00"/>
        <d v="2016-07-03T00:00:00"/>
        <d v="2016-08-03T00:00:00"/>
        <d v="2016-04-24T00:00:00"/>
        <d v="2016-04-27T00:00:00"/>
        <d v="2016-01-05T00:00:00"/>
        <d v="2016-09-05T00:00:00"/>
        <d v="2016-03-06T00:00:00"/>
        <d v="2016-06-15T00:00:00"/>
        <d v="2016-06-25T00:00:00"/>
        <d v="2016-07-11T00:00:00"/>
        <d v="2016-08-11T00:00:00"/>
        <d v="2016-11-20T00:00:00"/>
        <d v="2016-11-26T00:00:00"/>
        <d v="2016-07-17T00:00:00"/>
        <d v="2016-06-01T00:00:00"/>
        <d v="2016-10-01T00:00:00"/>
        <d v="2016-12-01T00:00:00"/>
        <d v="2016-01-14T00:00:00"/>
        <d v="2016-01-20T00:00:00"/>
        <d v="2016-01-27T00:00:00"/>
        <d v="2016-01-29T00:00:00"/>
        <d v="2016-01-30T00:00:00"/>
        <d v="2016-01-02T00:00:00"/>
        <d v="2016-07-02T00:00:00"/>
        <d v="2016-12-02T00:00:00"/>
        <d v="2016-02-16T00:00:00"/>
        <d v="2016-02-18T00:00:00"/>
        <d v="2016-02-22T00:00:00"/>
        <d v="2016-02-29T00:00:00"/>
        <d v="2016-03-03T00:00:00"/>
        <d v="2016-04-03T00:00:00"/>
        <d v="2016-03-17T00:00:00"/>
        <d v="2016-03-18T00:00:00"/>
        <d v="2016-03-19T00:00:00"/>
        <d v="2016-03-20T00:00:00"/>
        <d v="2016-03-25T00:00:00"/>
        <d v="2016-03-27T00:00:00"/>
        <d v="2016-01-04T00:00:00"/>
        <d v="2016-02-04T00:00:00"/>
        <d v="2016-12-04T00:00:00"/>
        <d v="2016-04-28T00:00:00"/>
        <d v="2016-04-29T00:00:00"/>
        <d v="2016-06-05T00:00:00"/>
        <d v="2016-10-05T00:00:00"/>
        <d v="2016-05-18T00:00:00"/>
        <d v="2016-05-28T00:00:00"/>
        <d v="2016-01-06T00:00:00"/>
        <d v="2016-05-06T00:00:00"/>
        <d v="2016-06-13T00:00:00"/>
        <d v="2016-06-28T00:00:00"/>
        <d v="2016-06-07T00:00:00"/>
        <d v="2016-07-19T00:00:00"/>
        <d v="2016-07-08T00:00:00"/>
        <d v="2016-08-08T00:00:00"/>
        <d v="2016-10-23T00:00:00"/>
        <d v="2016-03-11T00:00:00"/>
        <d v="2016-06-11T00:00:00"/>
        <d v="2016-09-11T00:00:00"/>
        <d v="2016-11-11T00:00:00"/>
        <d v="2016-11-14T00:00:00"/>
        <d v="2016-11-17T00:00:00"/>
        <d v="2016-11-19T00:00:00"/>
        <d v="2016-11-22T00:00:00"/>
        <d v="2016-11-30T00:00:00"/>
        <d v="2016-01-12T00:00:00"/>
        <d v="2016-02-12T00:00:00"/>
        <d v="2016-03-12T00:00:00"/>
        <d v="2016-04-12T00:00:00"/>
        <d v="2016-07-12T00:00:00"/>
        <d v="2016-09-12T00:00:00"/>
        <d v="2016-10-12T00:00:00"/>
        <d v="2016-12-12T00:00:00"/>
        <d v="2016-12-14T00:00:00"/>
        <d v="2016-12-19T00:00:00"/>
        <d v="2016-12-20T00:00:00"/>
        <d v="2016-12-21T00:00:00"/>
        <d v="2016-12-22T00:00:00"/>
        <d v="2016-12-26T00:00:00"/>
        <d v="2016-12-27T00:00:00"/>
        <d v="2016-12-30T00:00:00"/>
        <d v="2016-02-01T00:00:00"/>
        <d v="2016-11-01T00:00:00"/>
        <d v="2016-01-15T00:00:00"/>
        <d v="2016-01-21T00:00:00"/>
        <d v="2016-01-26T00:00:00"/>
        <d v="2016-02-02T00:00:00"/>
        <d v="2016-04-02T00:00:00"/>
        <d v="2016-02-17T00:00:00"/>
        <d v="2016-02-20T00:00:00"/>
        <d v="2016-02-21T00:00:00"/>
        <d v="2016-02-24T00:00:00"/>
        <d v="2016-02-25T00:00:00"/>
        <d v="2016-03-14T00:00:00"/>
        <d v="2016-07-04T00:00:00"/>
        <d v="2016-08-04T00:00:00"/>
        <d v="2016-04-15T00:00:00"/>
        <d v="2016-04-16T00:00:00"/>
        <d v="2016-02-05T00:00:00"/>
        <d v="2016-04-05T00:00:00"/>
        <d v="2016-05-05T00:00:00"/>
        <d v="2016-05-17T00:00:00"/>
        <d v="2016-05-23T00:00:00"/>
        <d v="2016-05-27T00:00:00"/>
        <d v="2016-06-06T00:00:00"/>
        <d v="2016-08-06T00:00:00"/>
        <d v="2016-11-06T00:00:00"/>
        <d v="2016-12-06T00:00:00"/>
        <d v="2016-06-14T00:00:00"/>
        <d v="2016-06-24T00:00:00"/>
        <d v="2016-03-07T00:00:00"/>
        <d v="2016-05-07T00:00:00"/>
        <d v="2016-07-14T00:00:00"/>
        <d v="2016-07-16T00:00:00"/>
        <d v="2016-07-18T00:00:00"/>
        <d v="2016-10-25T00:00:00"/>
        <d v="2016-10-31T00:00:00"/>
        <d v="2016-12-11T00:00:00"/>
        <d v="2016-11-21T00:00:00"/>
        <d v="2016-08-12T00:00:00"/>
        <d v="2016-11-12T00:00:00"/>
        <d v="2016-12-13T00:00:00"/>
        <d v="2016-12-18T00:00:00"/>
        <d v="2016-12-23T00:00:00"/>
        <d v="2016-12-24T00:00:00"/>
        <d v="2016-12-25T00:00:00"/>
        <d v="2016-12-28T00:00:00"/>
        <d v="2016-01-01T00:00:00"/>
        <d v="2016-01-18T00:00:00"/>
        <d v="2016-08-02T00:00:00"/>
        <d v="2016-09-02T00:00:00"/>
        <d v="2016-11-02T00:00:00"/>
        <d v="2016-01-03T00:00:00"/>
        <d v="2016-05-03T00:00:00"/>
        <d v="2016-11-03T00:00:00"/>
        <d v="2016-03-13T00:00:00"/>
        <d v="2016-03-15T00:00:00"/>
        <d v="2016-03-16T00:00:00"/>
        <d v="2016-03-21T00:00:00"/>
        <d v="2016-03-22T00:00:00"/>
        <d v="2016-03-30T00:00:00"/>
        <d v="2016-03-31T00:00:00"/>
        <d v="2016-05-04T00:00:00"/>
        <d v="2016-06-04T00:00:00"/>
        <d v="2016-04-19T00:00:00"/>
        <d v="2016-04-23T00:00:00"/>
        <d v="2016-04-30T00:00:00"/>
        <d v="2016-03-05T00:00:00"/>
        <d v="2016-05-14T00:00:00"/>
        <d v="2016-05-19T00:00:00"/>
        <d v="2016-05-20T00:00:00"/>
        <d v="2016-05-22T00:00:00"/>
        <d v="2016-06-21T00:00:00"/>
        <d v="2016-07-22T00:00:00"/>
        <d v="2016-07-26T00:00:00"/>
        <d v="2016-07-29T00:00:00"/>
        <d v="2016-10-16T00:00:00"/>
        <d v="2016-01-11T00:00:00"/>
        <d v="2016-11-16T00:00:00"/>
        <d v="2016-11-18T00:00:00"/>
        <d v="2016-11-23T00:00:00"/>
        <d v="2016-11-27T00:00:00"/>
        <d v="2016-05-12T00:00:00"/>
        <d v="2016-05-01T00:00:00"/>
        <d v="2016-07-01T00:00:00"/>
        <d v="2016-01-13T00:00:00"/>
        <d v="2016-01-28T00:00:00"/>
        <d v="2016-05-02T00:00:00"/>
        <d v="2016-02-13T00:00:00"/>
        <d v="2016-02-14T00:00:00"/>
        <d v="2016-02-19T00:00:00"/>
        <d v="2016-02-26T00:00:00"/>
        <d v="2016-02-28T00:00:00"/>
        <d v="2016-10-03T00:00:00"/>
        <d v="2016-03-04T00:00:00"/>
        <d v="2016-04-22T00:00:00"/>
        <d v="2016-11-05T00:00:00"/>
        <d v="2016-05-31T00:00:00"/>
        <d v="2016-07-06T00:00:00"/>
        <d v="2016-10-06T00:00:00"/>
        <d v="2016-06-26T00:00:00"/>
        <d v="2016-06-29T00:00:00"/>
        <d v="2016-06-30T00:00:00"/>
        <d v="2016-01-07T00:00:00"/>
        <d v="2016-02-07T00:00:00"/>
        <d v="2016-04-07T00:00:00"/>
        <d v="2016-07-23T00:00:00"/>
        <d v="2016-02-08T00:00:00"/>
        <d v="2016-08-13T00:00:00"/>
        <d v="2016-11-10T00:00:00"/>
        <d v="2016-10-14T00:00:00"/>
        <d v="2016-10-26T00:00:00"/>
        <d v="2016-10-27T00:00:00"/>
        <d v="2016-10-28T00:00:00"/>
        <d v="2016-10-29T00:00:00"/>
        <d v="2016-02-11T00:00:00"/>
        <d v="2016-10-11T00:00:00"/>
        <d v="2016-11-13T00:00:00"/>
        <d v="2016-11-25T00:00:00"/>
        <d v="2016-12-15T00:00:00"/>
        <d v="2016-12-31T00:00:00"/>
        <d v="2016-01-19T00:00:00"/>
        <d v="2016-12-03T00:00:00"/>
        <d v="2016-03-23T00:00:00"/>
        <d v="2016-03-24T00:00:00"/>
        <d v="2016-03-26T00:00:00"/>
        <d v="2016-03-28T00:00:00"/>
        <d v="2016-03-29T00:00:00"/>
        <d v="2016-06-16T00:00:00"/>
        <d v="2016-06-17T00:00:00"/>
        <d v="2016-06-18T00:00:00"/>
        <d v="2016-06-19T00:00:00"/>
        <d v="2016-06-27T00:00:00"/>
        <d v="2016-07-07T00:00:00"/>
        <d v="2016-08-07T00:00:00"/>
        <d v="2016-09-07T00:00:00"/>
        <d v="2016-10-07T00:00:00"/>
        <d v="2016-12-07T00:00:00"/>
        <d v="2016-07-13T00:00:00"/>
        <d v="2016-07-15T00:00:00"/>
        <d v="2016-07-20T00:00:00"/>
        <d v="2016-07-21T00:00:00"/>
        <d v="2016-07-25T00:00:00"/>
        <d v="2016-07-27T00:00:00"/>
        <d v="2016-07-28T00:00:00"/>
        <d v="2016-07-30T00:00:00"/>
        <d v="2016-07-31T00:00:00"/>
        <d v="2016-01-08T00:00:00"/>
        <d v="2016-03-08T00:00:00"/>
        <d v="2016-05-08T00:00:00"/>
        <d v="2016-06-08T00:00:00"/>
        <d v="2016-09-08T00:00:00"/>
        <d v="2016-10-08T00:00:00"/>
        <d v="2016-11-08T00:00:00"/>
        <d v="2016-12-08T00:00:00"/>
        <d v="2016-08-15T00:00:00"/>
        <d v="2016-08-16T00:00:00"/>
        <d v="2016-08-17T00:00:00"/>
        <d v="2016-08-19T00:00:00"/>
        <d v="2016-08-22T00:00:00"/>
        <d v="2016-08-23T00:00:00"/>
        <d v="2016-08-24T00:00:00"/>
        <d v="2016-08-25T00:00:00"/>
        <d v="2016-08-26T00:00:00"/>
        <d v="2016-08-27T00:00:00"/>
        <d v="2016-08-28T00:00:00"/>
        <d v="2016-08-29T00:00:00"/>
        <d v="2016-08-30T00:00:00"/>
        <d v="2016-01-09T00:00:00"/>
        <d v="2016-02-09T00:00:00"/>
        <d v="2016-05-09T00:00:00"/>
        <d v="2016-10-09T00:00:00"/>
        <d v="2016-11-09T00:00:00"/>
        <d v="2016-12-09T00:00:00"/>
        <d v="2016-09-13T00:00:00"/>
        <d v="2016-09-14T00:00:00"/>
        <d v="2016-09-15T00:00:00"/>
        <d v="2016-09-18T00:00:00"/>
        <d v="2016-09-19T00:00:00"/>
        <d v="2016-09-20T00:00:00"/>
        <d v="2016-09-23T00:00:00"/>
        <d v="2016-09-24T00:00:00"/>
        <d v="2016-09-27T00:00:00"/>
        <d v="2016-09-28T00:00:00"/>
        <d v="2016-09-29T00:00:00"/>
        <d v="2016-09-30T00:00:00"/>
        <d v="2016-03-10T00:00:00"/>
        <d v="2016-04-10T00:00:00"/>
        <d v="2016-06-10T00:00:00"/>
        <d v="2016-07-10T00:00:00"/>
        <d v="2016-08-10T00:00:00"/>
        <d v="2016-10-10T00:00:00"/>
        <d v="2016-12-10T00:00:00"/>
        <d v="2016-10-13T00:00:00"/>
        <d v="2016-10-15T00:00:00"/>
        <d v="2016-10-17T00:00:00"/>
        <d v="2016-10-18T00:00:00"/>
        <d v="2016-10-19T00:00:00"/>
        <d v="2016-10-20T00:00:00"/>
        <d v="2016-10-21T00:00:00"/>
        <d v="2016-10-22T00:00:00"/>
        <d v="2016-10-24T00:00:00"/>
        <d v="2016-10-30T00:00:00"/>
        <d v="2016-04-11T00:00:00"/>
        <d v="2016-05-11T00:00:00"/>
        <d v="2016-11-15T00:00:00"/>
        <d v="2016-04-14T00:00:00"/>
        <d v="2016-08-18T00:00:00"/>
        <d v="2016-09-10T00:00:00"/>
      </sharedItems>
      <fieldGroup par="16"/>
    </cacheField>
    <cacheField name="Start Time" numFmtId="167">
      <sharedItems containsSemiMixedTypes="0" containsNonDate="0" containsDate="1" containsString="0" minDate="1899-12-30T00:00:00" maxDate="1899-12-30T23:55:00" count="687">
        <d v="1899-12-30T10:00:00"/>
        <d v="1899-12-30T15:38:00"/>
        <d v="1899-12-30T13:56:00"/>
        <d v="1899-12-30T16:20:00"/>
        <d v="1899-12-30T15:19:00"/>
        <d v="1899-12-30T14:38:00"/>
        <d v="1899-12-30T21:41:00"/>
        <d v="1899-12-30T13:30:00"/>
        <d v="1899-12-30T14:13:00"/>
        <d v="1899-12-30T17:33:00"/>
        <d v="1899-12-30T14:39:00"/>
        <d v="1899-12-30T22:47:00"/>
        <d v="1899-12-30T01:46:00"/>
        <d v="1899-12-30T15:26:00"/>
        <d v="1899-12-30T09:15:00"/>
        <d v="1899-12-30T12:28:00"/>
        <d v="1899-12-30T19:17:00"/>
        <d v="1899-12-30T10:29:00"/>
        <d v="1899-12-30T10:27:00"/>
        <d v="1899-12-30T18:29:00"/>
        <d v="1899-12-30T14:42:00"/>
        <d v="1899-12-30T11:23:00"/>
        <d v="1899-12-30T12:20:00"/>
        <d v="1899-12-30T12:17:00"/>
        <d v="1899-12-30T15:13:00"/>
        <d v="1899-12-30T16:29:00"/>
        <d v="1899-12-30T13:25:00"/>
        <d v="1899-12-30T10:19:00"/>
        <d v="1899-12-30T12:34:00"/>
        <d v="1899-12-30T14:05:00"/>
        <d v="1899-12-30T14:46:00"/>
        <d v="1899-12-30T09:31:00"/>
        <d v="1899-12-30T18:09:00"/>
        <d v="1899-12-30T10:35:00"/>
        <d v="1899-12-30T12:10:00"/>
        <d v="1899-12-30T18:03:00"/>
        <d v="1899-12-30T11:14:00"/>
        <d v="1899-12-30T15:33:00"/>
        <d v="1899-12-30T03:21:00"/>
        <d v="1899-12-30T18:44:00"/>
        <d v="1899-12-30T21:54:00"/>
        <d v="1899-12-30T16:40:00"/>
        <d v="1899-12-30T15:27:00"/>
        <d v="1899-12-30T09:46:00"/>
        <d v="1899-12-30T13:40:00"/>
        <d v="1899-12-30T09:23:00"/>
        <d v="1899-12-30T12:52:00"/>
        <d v="1899-12-30T21:01:00"/>
        <d v="1899-12-30T12:50:00"/>
        <d v="1899-12-30T14:01:00"/>
        <d v="1899-12-30T19:33:00"/>
        <d v="1899-12-30T18:45:00"/>
        <d v="1899-12-30T13:24:00"/>
        <d v="1899-12-30T16:52:00"/>
        <d v="1899-12-30T15:31:00"/>
        <d v="1899-12-30T14:36:00"/>
        <d v="1899-12-30T12:21:00"/>
        <d v="1899-12-30T16:57:00"/>
        <d v="1899-12-30T19:38:00"/>
        <d v="1899-12-30T10:58:00"/>
        <d v="1899-12-30T12:09:00"/>
        <d v="1899-12-30T22:10:00"/>
        <d v="1899-12-30T18:46:00"/>
        <d v="1899-12-30T17:18:00"/>
        <d v="1899-12-30T06:08:00"/>
        <d v="1899-12-30T17:58:00"/>
        <d v="1899-12-30T19:35:00"/>
        <d v="1899-12-30T09:03:00"/>
        <d v="1899-12-30T17:19:00"/>
        <d v="1899-12-30T09:11:00"/>
        <d v="1899-12-30T13:00:00"/>
        <d v="1899-12-30T14:35:00"/>
        <d v="1899-12-30T14:03:00"/>
        <d v="1899-12-30T15:06:00"/>
        <d v="1899-12-30T20:00:00"/>
        <d v="1899-12-30T16:37:00"/>
        <d v="1899-12-30T00:48:00"/>
        <d v="1899-12-30T23:46:00"/>
        <d v="1899-12-30T17:28:00"/>
        <d v="1899-12-30T17:02:00"/>
        <d v="1899-12-30T23:28:00"/>
        <d v="1899-12-30T21:10:00"/>
        <d v="1899-12-30T22:46:00"/>
        <d v="1899-12-30T16:27:00"/>
        <d v="1899-12-30T18:40:00"/>
        <d v="1899-12-30T09:35:00"/>
        <d v="1899-12-30T11:24:00"/>
        <d v="1899-12-30T10:13:00"/>
        <d v="1899-12-30T21:14:00"/>
        <d v="1899-12-30T11:58:00"/>
        <d v="1899-12-30T15:51:00"/>
        <d v="1899-12-30T21:02:00"/>
        <d v="1899-12-30T11:03:00"/>
        <d v="1899-12-30T20:36:00"/>
        <d v="1899-12-30T13:07:00"/>
        <d v="1899-12-30T22:59:00"/>
        <d v="1899-12-30T20:31:00"/>
        <d v="1899-12-30T20:23:00"/>
        <d v="1899-12-30T19:53:00"/>
        <d v="1899-12-30T22:03:00"/>
        <d v="1899-12-30T22:09:00"/>
        <d v="1899-12-30T14:26:00"/>
        <d v="1899-12-30T20:48:00"/>
        <d v="1899-12-30T20:24:00"/>
        <d v="1899-12-30T15:09:00"/>
        <d v="1899-12-30T16:50:00"/>
        <d v="1899-12-30T18:47:00"/>
        <d v="1899-12-30T17:59:00"/>
        <d v="1899-12-30T17:04:00"/>
        <d v="1899-12-30T23:27:00"/>
        <d v="1899-12-30T09:05:00"/>
        <d v="1899-12-30T10:15:00"/>
        <d v="1899-12-30T11:29:00"/>
        <d v="1899-12-30T14:49:00"/>
        <d v="1899-12-30T19:19:00"/>
        <d v="1899-12-30T19:50:00"/>
        <d v="1899-12-30T23:06:00"/>
        <d v="1899-12-30T20:25:00"/>
        <d v="1899-12-30T11:56:00"/>
        <d v="1899-12-30T15:42:00"/>
        <d v="1899-12-30T21:39:00"/>
        <d v="1899-12-30T00:41:00"/>
        <d v="1899-12-30T14:25:00"/>
        <d v="1899-12-30T12:33:00"/>
        <d v="1899-12-30T16:24:00"/>
        <d v="1899-12-30T17:17:00"/>
        <d v="1899-12-30T17:27:00"/>
        <d v="1899-12-30T18:31:00"/>
        <d v="1899-12-30T16:21:00"/>
        <d v="1899-12-30T13:51:00"/>
        <d v="1899-12-30T08:40:00"/>
        <d v="1899-12-30T18:57:00"/>
        <d v="1899-12-30T16:49:00"/>
        <d v="1899-12-30T17:40:00"/>
        <d v="1899-12-30T16:38:00"/>
        <d v="1899-12-30T18:00:00"/>
        <d v="1899-12-30T19:28:00"/>
        <d v="1899-12-30T11:39:00"/>
        <d v="1899-12-30T11:47:00"/>
        <d v="1899-12-30T16:47:00"/>
        <d v="1899-12-30T11:04:00"/>
        <d v="1899-12-30T16:16:00"/>
        <d v="1899-12-30T09:10:00"/>
        <d v="1899-12-30T08:34:00"/>
        <d v="1899-12-30T19:23:00"/>
        <d v="1899-12-30T17:37:00"/>
        <d v="1899-12-30T00:31:00"/>
        <d v="1899-12-30T19:45:00"/>
        <d v="1899-12-30T13:55:00"/>
        <d v="1899-12-30T12:29:00"/>
        <d v="1899-12-30T12:59:00"/>
        <d v="1899-12-30T19:07:00"/>
        <d v="1899-12-30T19:46:00"/>
        <d v="1899-12-30T22:38:00"/>
        <d v="1899-12-30T14:14:00"/>
        <d v="1899-12-30T20:55:00"/>
        <d v="1899-12-30T22:34:00"/>
        <d v="1899-12-30T13:15:00"/>
        <d v="1899-12-30T14:34:00"/>
        <d v="1899-12-30T21:09:00"/>
        <d v="1899-12-30T20:26:00"/>
        <d v="1899-12-30T22:11:00"/>
        <d v="1899-12-30T00:15:00"/>
        <d v="1899-12-30T18:14:00"/>
        <d v="1899-12-30T18:41:00"/>
        <d v="1899-12-30T19:36:00"/>
        <d v="1899-12-30T15:36:00"/>
        <d v="1899-12-30T12:04:00"/>
        <d v="1899-12-30T14:31:00"/>
        <d v="1899-12-30T17:16:00"/>
        <d v="1899-12-30T20:11:00"/>
        <d v="1899-12-30T17:08:00"/>
        <d v="1899-12-30T20:05:00"/>
        <d v="1899-12-30T21:58:00"/>
        <d v="1899-12-30T12:19:00"/>
        <d v="1899-12-30T13:18:00"/>
        <d v="1899-12-30T10:18:00"/>
        <d v="1899-12-30T00:28:00"/>
        <d v="1899-12-30T03:02:00"/>
        <d v="1899-12-30T00:00:00"/>
        <d v="1899-12-30T16:48:00"/>
        <d v="1899-12-30T16:03:00"/>
        <d v="1899-12-30T22:50:00"/>
        <d v="1899-12-30T20:28:00"/>
        <d v="1899-12-30T17:14:00"/>
        <d v="1899-12-30T22:24:00"/>
        <d v="1899-12-30T21:45:00"/>
        <d v="1899-12-30T15:40:00"/>
        <d v="1899-12-30T20:19:00"/>
        <d v="1899-12-30T17:41:00"/>
        <d v="1899-12-30T17:45:00"/>
        <d v="1899-12-30T17:50:00"/>
        <d v="1899-12-30T18:43:00"/>
        <d v="1899-12-30T19:47:00"/>
        <d v="1899-12-30T08:37:00"/>
        <d v="1899-12-30T18:35:00"/>
        <d v="1899-12-30T14:19:00"/>
        <d v="1899-12-30T14:53:00"/>
        <d v="1899-12-30T21:26:00"/>
        <d v="1899-12-30T19:05:00"/>
        <d v="1899-12-30T21:48:00"/>
        <d v="1899-12-30T13:22:00"/>
        <d v="1899-12-30T18:19:00"/>
        <d v="1899-12-30T13:03:00"/>
        <d v="1899-12-30T09:08:00"/>
        <d v="1899-12-30T13:04:00"/>
        <d v="1899-12-30T10:30:00"/>
        <d v="1899-12-30T13:14:00"/>
        <d v="1899-12-30T16:14:00"/>
        <d v="1899-12-30T16:56:00"/>
        <d v="1899-12-30T10:14:00"/>
        <d v="1899-12-30T15:55:00"/>
        <d v="1899-12-30T16:23:00"/>
        <d v="1899-12-30T12:51:00"/>
        <d v="1899-12-30T13:08:00"/>
        <d v="1899-12-30T17:12:00"/>
        <d v="1899-12-30T22:04:00"/>
        <d v="1899-12-30T00:10:00"/>
        <d v="1899-12-30T11:42:00"/>
        <d v="1899-12-30T13:53:00"/>
        <d v="1899-12-30T18:33:00"/>
        <d v="1899-12-30T22:44:00"/>
        <d v="1899-12-30T00:49:00"/>
        <d v="1899-12-30T12:25:00"/>
        <d v="1899-12-30T13:17:00"/>
        <d v="1899-12-30T15:05:00"/>
        <d v="1899-12-30T11:31:00"/>
        <d v="1899-12-30T15:41:00"/>
        <d v="1899-12-30T21:11:00"/>
        <d v="1899-12-30T17:15:00"/>
        <d v="1899-12-30T13:32:00"/>
        <d v="1899-12-30T14:30:00"/>
        <d v="1899-12-30T12:53:00"/>
        <d v="1899-12-30T11:43:00"/>
        <d v="1899-12-30T13:26:00"/>
        <d v="1899-12-30T14:55:00"/>
        <d v="1899-12-30T16:13:00"/>
        <d v="1899-12-30T14:43:00"/>
        <d v="1899-12-30T16:01:00"/>
        <d v="1899-12-30T10:41:00"/>
        <d v="1899-12-30T21:21:00"/>
        <d v="1899-12-30T12:56:00"/>
        <d v="1899-12-30T09:37:00"/>
        <d v="1899-12-30T10:26:00"/>
        <d v="1899-12-30T15:59:00"/>
        <d v="1899-12-30T16:35:00"/>
        <d v="1899-12-30T12:57:00"/>
        <d v="1899-12-30T14:00:00"/>
        <d v="1899-12-30T16:28:00"/>
        <d v="1899-12-30T17:49:00"/>
        <d v="1899-12-30T15:17:00"/>
        <d v="1899-12-30T12:13:00"/>
        <d v="1899-12-30T18:22:00"/>
        <d v="1899-12-30T14:44:00"/>
        <d v="1899-12-30T15:56:00"/>
        <d v="1899-12-30T19:16:00"/>
        <d v="1899-12-30T11:44:00"/>
        <d v="1899-12-30T17:23:00"/>
        <d v="1899-12-30T15:35:00"/>
        <d v="1899-12-30T09:47:00"/>
        <d v="1899-12-30T09:07:00"/>
        <d v="1899-12-30T18:23:00"/>
        <d v="1899-12-30T20:07:00"/>
        <d v="1899-12-30T20:39:00"/>
        <d v="1899-12-30T08:45:00"/>
        <d v="1899-12-30T11:34:00"/>
        <d v="1899-12-30T17:20:00"/>
        <d v="1899-12-30T07:15:00"/>
        <d v="1899-12-30T08:35:00"/>
        <d v="1899-12-30T15:34:00"/>
        <d v="1899-12-30T16:05:00"/>
        <d v="1899-12-30T20:18:00"/>
        <d v="1899-12-30T06:17:00"/>
        <d v="1899-12-30T01:11:00"/>
        <d v="1899-12-30T22:05:00"/>
        <d v="1899-12-30T14:37:00"/>
        <d v="1899-12-30T00:19:00"/>
        <d v="1899-12-30T18:20:00"/>
        <d v="1899-12-30T13:34:00"/>
        <d v="1899-12-30T13:42:00"/>
        <d v="1899-12-30T15:10:00"/>
        <d v="1899-12-30T17:44:00"/>
        <d v="1899-12-30T19:57:00"/>
        <d v="1899-12-30T17:03:00"/>
        <d v="1899-12-30T18:49:00"/>
        <d v="1899-12-30T18:42:00"/>
        <d v="1899-12-30T13:45:00"/>
        <d v="1899-12-30T15:37:00"/>
        <d v="1899-12-30T22:20:00"/>
        <d v="1899-12-30T15:16:00"/>
        <d v="1899-12-30T21:30:00"/>
        <d v="1899-12-30T22:19:00"/>
        <d v="1899-12-30T21:24:00"/>
        <d v="1899-12-30T23:01:00"/>
        <d v="1899-12-30T15:43:00"/>
        <d v="1899-12-30T15:39:00"/>
        <d v="1899-12-30T15:57:00"/>
        <d v="1899-12-30T18:05:00"/>
        <d v="1899-12-30T20:06:00"/>
        <d v="1899-12-30T21:08:00"/>
        <d v="1899-12-30T08:23:00"/>
        <d v="1899-12-30T13:12:00"/>
        <d v="1899-12-30T16:55:00"/>
        <d v="1899-12-30T17:34:00"/>
        <d v="1899-12-30T05:23:00"/>
        <d v="1899-12-30T18:08:00"/>
        <d v="1899-12-30T18:54:00"/>
        <d v="1899-12-30T19:52:00"/>
        <d v="1899-12-30T17:11:00"/>
        <d v="1899-12-30T11:54:00"/>
        <d v="1899-12-30T10:50:00"/>
        <d v="1899-12-30T00:33:00"/>
        <d v="1899-12-30T20:04:00"/>
        <d v="1899-12-30T18:32:00"/>
        <d v="1899-12-30T11:30:00"/>
        <d v="1899-12-30T14:27:00"/>
        <d v="1899-12-30T20:52:00"/>
        <d v="1899-12-30T22:31:00"/>
        <d v="1899-12-30T20:15:00"/>
        <d v="1899-12-30T21:34:00"/>
        <d v="1899-12-30T19:04:00"/>
        <d v="1899-12-30T20:41:00"/>
        <d v="1899-12-30T18:51:00"/>
        <d v="1899-12-30T22:52:00"/>
        <d v="1899-12-30T20:09:00"/>
        <d v="1899-12-30T21:23:00"/>
        <d v="1899-12-30T13:37:00"/>
        <d v="1899-12-30T18:18:00"/>
        <d v="1899-12-30T12:12:00"/>
        <d v="1899-12-30T18:56:00"/>
        <d v="1899-12-30T19:22:00"/>
        <d v="1899-12-30T21:13:00"/>
        <d v="1899-12-30T18:17:00"/>
        <d v="1899-12-30T16:06:00"/>
        <d v="1899-12-30T13:36:00"/>
        <d v="1899-12-30T17:51:00"/>
        <d v="1899-12-30T20:20:00"/>
        <d v="1899-12-30T11:35:00"/>
        <d v="1899-12-30T07:43:00"/>
        <d v="1899-12-30T09:19:00"/>
        <d v="1899-12-30T10:34:00"/>
        <d v="1899-12-30T19:12:00"/>
        <d v="1899-12-30T19:15:00"/>
        <d v="1899-12-30T08:30:00"/>
        <d v="1899-12-30T15:04:00"/>
        <d v="1899-12-30T09:44:00"/>
        <d v="1899-12-30T11:28:00"/>
        <d v="1899-12-30T18:59:00"/>
        <d v="1899-12-30T17:31:00"/>
        <d v="1899-12-30T17:30:00"/>
        <d v="1899-12-30T13:27:00"/>
        <d v="1899-12-30T08:05:00"/>
        <d v="1899-12-30T15:08:00"/>
        <d v="1899-12-30T16:02:00"/>
        <d v="1899-12-30T13:54:00"/>
        <d v="1899-12-30T15:00:00"/>
        <d v="1899-12-30T10:36:00"/>
        <d v="1899-12-30T11:48:00"/>
        <d v="1899-12-30T09:24:00"/>
        <d v="1899-12-30T15:11:00"/>
        <d v="1899-12-30T10:56:00"/>
        <d v="1899-12-30T18:04:00"/>
        <d v="1899-12-30T20:22:00"/>
        <d v="1899-12-30T13:02:00"/>
        <d v="1899-12-30T14:21:00"/>
        <d v="1899-12-30T14:07:00"/>
        <d v="1899-12-30T17:06:00"/>
        <d v="1899-12-30T19:27:00"/>
        <d v="1899-12-30T09:02:00"/>
        <d v="1899-12-30T09:21:00"/>
        <d v="1899-12-30T10:21:00"/>
        <d v="1899-12-30T14:50:00"/>
        <d v="1899-12-30T23:15:00"/>
        <d v="1899-12-30T13:01:00"/>
        <d v="1899-12-30T05:22:00"/>
        <d v="1899-12-30T09:26:00"/>
        <d v="1899-12-30T12:36:00"/>
        <d v="1899-12-30T21:27:00"/>
        <d v="1899-12-30T07:47:00"/>
        <d v="1899-12-30T11:46:00"/>
        <d v="1899-12-30T16:43:00"/>
        <d v="1899-12-30T13:57:00"/>
        <d v="1899-12-30T03:36:00"/>
        <d v="1899-12-30T10:08:00"/>
        <d v="1899-12-30T18:24:00"/>
        <d v="1899-12-30T18:53:00"/>
        <d v="1899-12-30T07:37:00"/>
        <d v="1899-12-30T22:54:00"/>
        <d v="1899-12-30T13:43:00"/>
        <d v="1899-12-30T23:11:00"/>
        <d v="1899-12-30T02:00:00"/>
        <d v="1899-12-30T12:30:00"/>
        <d v="1899-12-30T09:34:00"/>
        <d v="1899-12-30T12:22:00"/>
        <d v="1899-12-30T08:25:00"/>
        <d v="1899-12-30T10:10:00"/>
        <d v="1899-12-30T12:08:00"/>
        <d v="1899-12-30T13:13:00"/>
        <d v="1899-12-30T17:54:00"/>
        <d v="1899-12-30T23:55:00"/>
        <d v="1899-12-30T05:47:00"/>
        <d v="1899-12-30T16:45:00"/>
        <d v="1899-12-30T21:47:00"/>
        <d v="1899-12-30T13:10:00"/>
        <d v="1899-12-30T21:53:00"/>
        <d v="1899-12-30T23:52:00"/>
        <d v="1899-12-30T23:34:00"/>
        <d v="1899-12-30T21:42:00"/>
        <d v="1899-12-30T23:41:00"/>
        <d v="1899-12-30T23:53:00"/>
        <d v="1899-12-30T23:39:00"/>
        <d v="1899-12-30T14:17:00"/>
        <d v="1899-12-30T16:09:00"/>
        <d v="1899-12-30T11:25:00"/>
        <d v="1899-12-30T11:53:00"/>
        <d v="1899-12-30T17:43:00"/>
        <d v="1899-12-30T20:13:00"/>
        <d v="1899-12-30T23:38:00"/>
        <d v="1899-12-30T23:48:00"/>
        <d v="1899-12-30T00:32:00"/>
        <d v="1899-12-30T00:08:00"/>
        <d v="1899-12-30T09:06:00"/>
        <d v="1899-12-30T13:21:00"/>
        <d v="1899-12-30T20:17:00"/>
        <d v="1899-12-30T23:18:00"/>
        <d v="1899-12-30T08:11:00"/>
        <d v="1899-12-30T01:27:00"/>
        <d v="1899-12-30T23:54:00"/>
        <d v="1899-12-30T19:25:00"/>
        <d v="1899-12-30T13:06:00"/>
        <d v="1899-12-30T15:53:00"/>
        <d v="1899-12-30T18:13:00"/>
        <d v="1899-12-30T15:22:00"/>
        <d v="1899-12-30T16:46:00"/>
        <d v="1899-12-30T12:16:00"/>
        <d v="1899-12-30T18:21:00"/>
        <d v="1899-12-30T15:30:00"/>
        <d v="1899-12-30T14:22:00"/>
        <d v="1899-12-30T21:56:00"/>
        <d v="1899-12-30T14:58:00"/>
        <d v="1899-12-30T15:12:00"/>
        <d v="1899-12-30T17:00:00"/>
        <d v="1899-12-30T17:36:00"/>
        <d v="1899-12-30T07:44:00"/>
        <d v="1899-12-30T12:03:00"/>
        <d v="1899-12-30T12:35:00"/>
        <d v="1899-12-30T12:43:00"/>
        <d v="1899-12-30T14:20:00"/>
        <d v="1899-12-30T19:55:00"/>
        <d v="1899-12-30T07:42:00"/>
        <d v="1899-12-30T19:49:00"/>
        <d v="1899-12-30T20:56:00"/>
        <d v="1899-12-30T17:56:00"/>
        <d v="1899-12-30T11:33:00"/>
        <d v="1899-12-30T14:15:00"/>
        <d v="1899-12-30T13:09:00"/>
        <d v="1899-12-30T16:34:00"/>
        <d v="1899-12-30T23:14:00"/>
        <d v="1899-12-30T01:07:00"/>
        <d v="1899-12-30T15:03:00"/>
        <d v="1899-12-30T10:37:00"/>
        <d v="1899-12-30T10:54:00"/>
        <d v="1899-12-30T11:40:00"/>
        <d v="1899-12-30T01:25:00"/>
        <d v="1899-12-30T09:09:00"/>
        <d v="1899-12-30T13:58:00"/>
        <d v="1899-12-30T18:55:00"/>
        <d v="1899-12-30T00:50:00"/>
        <d v="1899-12-30T08:29:00"/>
        <d v="1899-12-30T11:32:00"/>
        <d v="1899-12-30T12:39:00"/>
        <d v="1899-12-30T11:20:00"/>
        <d v="1899-12-30T11:45:00"/>
        <d v="1899-12-30T16:26:00"/>
        <d v="1899-12-30T17:09:00"/>
        <d v="1899-12-30T20:08:00"/>
        <d v="1899-12-30T20:34:00"/>
        <d v="1899-12-30T07:59:00"/>
        <d v="1899-12-30T10:48:00"/>
        <d v="1899-12-30T12:41:00"/>
        <d v="1899-12-30T16:59:00"/>
        <d v="1899-12-30T16:04:00"/>
        <d v="1899-12-30T11:05:00"/>
        <d v="1899-12-30T17:01:00"/>
        <d v="1899-12-30T11:07:00"/>
        <d v="1899-12-30T09:45:00"/>
        <d v="1899-12-30T14:08:00"/>
        <d v="1899-12-30T16:18:00"/>
        <d v="1899-12-30T11:57:00"/>
        <d v="1899-12-30T19:21:00"/>
        <d v="1899-12-30T09:13:00"/>
        <d v="1899-12-30T18:27:00"/>
        <d v="1899-12-30T18:39:00"/>
        <d v="1899-12-30T20:57:00"/>
        <d v="1899-12-30T17:52:00"/>
        <d v="1899-12-30T18:34:00"/>
        <d v="1899-12-30T12:06:00"/>
        <d v="1899-12-30T23:04:00"/>
        <d v="1899-12-30T19:30:00"/>
        <d v="1899-12-30T22:55:00"/>
        <d v="1899-12-30T20:29:00"/>
        <d v="1899-12-30T08:48:00"/>
        <d v="1899-12-30T11:01:00"/>
        <d v="1899-12-30T22:16:00"/>
        <d v="1899-12-30T20:47:00"/>
        <d v="1899-12-30T17:29:00"/>
        <d v="1899-12-30T19:39:00"/>
        <d v="1899-12-30T21:43:00"/>
        <d v="1899-12-30T16:11:00"/>
        <d v="1899-12-30T00:29:00"/>
        <d v="1899-12-30T02:39:00"/>
        <d v="1899-12-30T05:51:00"/>
        <d v="1899-12-30T20:44:00"/>
        <d v="1899-12-30T23:19:00"/>
        <d v="1899-12-30T19:41:00"/>
        <d v="1899-12-30T08:51:00"/>
        <d v="1899-12-30T09:43:00"/>
        <d v="1899-12-30T10:22:00"/>
        <d v="1899-12-30T10:51:00"/>
        <d v="1899-12-30T11:06:00"/>
        <d v="1899-12-30T08:56:00"/>
        <d v="1899-12-30T11:49:00"/>
        <d v="1899-12-30T12:11:00"/>
        <d v="1899-12-30T22:41:00"/>
        <d v="1899-12-30T12:48:00"/>
        <d v="1899-12-30T09:50:00"/>
        <d v="1899-12-30T13:48:00"/>
        <d v="1899-12-30T09:52:00"/>
        <d v="1899-12-30T14:10:00"/>
        <d v="1899-12-30T19:51:00"/>
        <d v="1899-12-30T16:10:00"/>
        <d v="1899-12-30T23:47:00"/>
        <d v="1899-12-30T16:39:00"/>
        <d v="1899-12-30T15:29:00"/>
        <d v="1899-12-30T19:42:00"/>
        <d v="1899-12-30T18:16:00"/>
        <d v="1899-12-30T17:42:00"/>
        <d v="1899-12-30T10:42:00"/>
        <d v="1899-12-30T11:11:00"/>
        <d v="1899-12-30T11:37:00"/>
        <d v="1899-12-30T12:14:00"/>
        <d v="1899-12-30T15:49:00"/>
        <d v="1899-12-30T14:48:00"/>
        <d v="1899-12-30T15:15:00"/>
        <d v="1899-12-30T15:50:00"/>
        <d v="1899-12-30T10:47:00"/>
        <d v="1899-12-30T19:08:00"/>
        <d v="1899-12-30T22:00:00"/>
        <d v="1899-12-30T00:04:00"/>
        <d v="1899-12-30T15:45:00"/>
        <d v="1899-12-30T21:16:00"/>
        <d v="1899-12-30T12:47:00"/>
        <d v="1899-12-30T13:28:00"/>
        <d v="1899-12-30T13:52:00"/>
        <d v="1899-12-30T11:51:00"/>
        <d v="1899-12-30T12:46:00"/>
        <d v="1899-12-30T14:59:00"/>
        <d v="1899-12-30T16:00:00"/>
        <d v="1899-12-30T06:40:00"/>
        <d v="1899-12-30T16:17:00"/>
        <d v="1899-12-30T21:50:00"/>
        <d v="1899-12-30T17:53:00"/>
        <d v="1899-12-30T18:37:00"/>
        <d v="1899-12-30T20:59:00"/>
        <d v="1899-12-30T15:20:00"/>
        <d v="1899-12-30T07:58:00"/>
        <d v="1899-12-30T08:16:00"/>
        <d v="1899-12-30T08:46:00"/>
        <d v="1899-12-30T10:06:00"/>
        <d v="1899-12-30T10:31:00"/>
        <d v="1899-12-30T10:17:00"/>
        <d v="1899-12-30T10:57:00"/>
        <d v="1899-12-30T14:45:00"/>
        <d v="1899-12-30T15:32:00"/>
        <d v="1899-12-30T16:54:00"/>
        <d v="1899-12-30T17:05:00"/>
        <d v="1899-12-30T08:24:00"/>
        <d v="1899-12-30T08:54:00"/>
        <d v="1899-12-30T09:27:00"/>
        <d v="1899-12-30T12:07:00"/>
        <d v="1899-12-30T16:30:00"/>
        <d v="1899-12-30T18:10:00"/>
        <d v="1899-12-30T18:48:00"/>
        <d v="1899-12-30T15:14:00"/>
        <d v="1899-12-30T19:58:00"/>
        <d v="1899-12-30T20:53:00"/>
        <d v="1899-12-30T08:10:00"/>
        <d v="1899-12-30T13:19:00"/>
        <d v="1899-12-30T13:49:00"/>
        <d v="1899-12-30T15:07:00"/>
        <d v="1899-12-30T12:05:00"/>
        <d v="1899-12-30T16:36:00"/>
        <d v="1899-12-30T22:58:00"/>
        <d v="1899-12-30T15:23:00"/>
        <d v="1899-12-30T19:31:00"/>
        <d v="1899-12-30T16:15:00"/>
        <d v="1899-12-30T09:57:00"/>
        <d v="1899-12-30T21:15:00"/>
        <d v="1899-12-30T12:02:00"/>
        <d v="1899-12-30T13:38:00"/>
        <d v="1899-12-30T17:24:00"/>
        <d v="1899-12-30T17:21:00"/>
        <d v="1899-12-30T10:25:00"/>
        <d v="1899-12-30T10:28:00"/>
        <d v="1899-12-30T09:51:00"/>
        <d v="1899-12-30T21:40:00"/>
        <d v="1899-12-30T08:07:00"/>
        <d v="1899-12-30T11:15:00"/>
        <d v="1899-12-30T11:55:00"/>
        <d v="1899-12-30T20:33:00"/>
        <d v="1899-12-30T18:07:00"/>
        <d v="1899-12-30T06:18:00"/>
        <d v="1899-12-30T14:40:00"/>
        <d v="1899-12-30T19:10:00"/>
        <d v="1899-12-30T08:33:00"/>
        <d v="1899-12-30T19:14:00"/>
        <d v="1899-12-30T17:39:00"/>
        <d v="1899-12-30T08:49:00"/>
        <d v="1899-12-30T11:27:00"/>
        <d v="1899-12-30T14:29:00"/>
        <d v="1899-12-30T15:47:00"/>
        <d v="1899-12-30T18:15:00"/>
        <d v="1899-12-30T17:22:00"/>
        <d v="1899-12-30T19:18:00"/>
        <d v="1899-12-30T16:08:00"/>
        <d v="1899-12-30T08:50:00"/>
        <d v="1899-12-30T10:16:00"/>
        <d v="1899-12-30T22:28:00"/>
        <d v="1899-12-30T00:01:00"/>
        <d v="1899-12-30T20:30:00"/>
        <d v="1899-12-30T18:02:00"/>
        <d v="1899-12-30T08:12:00"/>
        <d v="1899-12-30T08:53:00"/>
        <d v="1899-12-30T18:12:00"/>
        <d v="1899-12-30T19:03:00"/>
        <d v="1899-12-30T09:33:00"/>
        <d v="1899-12-30T09:54:00"/>
        <d v="1899-12-30T14:02:00"/>
        <d v="1899-12-30T15:44:00"/>
        <d v="1899-12-30T16:33:00"/>
        <d v="1899-12-30T11:26:00"/>
        <d v="1899-12-30T00:54:00"/>
        <d v="1899-12-30T14:57:00"/>
        <d v="1899-12-30T20:54:00"/>
        <d v="1899-12-30T19:20:00"/>
        <d v="1899-12-30T17:13:00"/>
        <d v="1899-12-30T07:49:00"/>
        <d v="1899-12-30T10:11:00"/>
        <d v="1899-12-30T12:24:00"/>
        <d v="1899-12-30T12:58:00"/>
        <d v="1899-12-30T18:26:00"/>
        <d v="1899-12-30T18:11:00"/>
        <d v="1899-12-30T11:50:00"/>
        <d v="1899-12-30T17:35:00"/>
        <d v="1899-12-30T19:59:00"/>
        <d v="1899-12-30T21:04:00"/>
        <d v="1899-12-30T22:12:00"/>
        <d v="1899-12-30T13:41:00"/>
        <d v="1899-12-30T15:58:00"/>
        <d v="1899-12-30T10:20:00"/>
        <d v="1899-12-30T18:30:00"/>
        <d v="1899-12-30T10:32:00"/>
        <d v="1899-12-30T10:55:00"/>
        <d v="1899-12-30T13:46:00"/>
        <d v="1899-12-30T15:25:00"/>
        <d v="1899-12-30T13:05:00"/>
        <d v="1899-12-30T13:59:00"/>
        <d v="1899-12-30T15:54:00"/>
        <d v="1899-12-30T20:35:00"/>
        <d v="1899-12-30T14:18:00"/>
        <d v="1899-12-30T08:55:00"/>
        <d v="1899-12-30T08:21:00"/>
        <d v="1899-12-30T10:45:00"/>
        <d v="1899-12-30T08:19:00"/>
        <d v="1899-12-30T13:33:00"/>
        <d v="1899-12-30T19:02:00"/>
        <d v="1899-12-30T07:29:00"/>
        <d v="1899-12-30T11:36:00"/>
        <d v="1899-12-30T08:22:00"/>
        <d v="1899-12-30T18:38:00"/>
        <d v="1899-12-30T14:04:00"/>
        <d v="1899-12-30T10:02:00"/>
        <d v="1899-12-30T14:09:00"/>
        <d v="1899-12-30T20:21:00"/>
        <d v="1899-12-30T07:02:00"/>
        <d v="1899-12-30T21:32:00"/>
        <d v="1899-12-30T22:08:00"/>
      </sharedItems>
      <fieldGroup par="15"/>
    </cacheField>
    <cacheField name="END_DATE*" numFmtId="0">
      <sharedItems containsDate="1" containsBlank="1" containsMixedTypes="1" minDate="2016-01-01T21:17:00" maxDate="2016-12-12T20:57:00"/>
    </cacheField>
    <cacheField name="End Date" numFmtId="0">
      <sharedItems containsSemiMixedTypes="0" containsNonDate="0" containsDate="1" containsString="0" minDate="2016-01-01T00:00:00" maxDate="2017-01-01T00:00:00" count="292">
        <d v="2016-08-21T00:00:00"/>
        <d v="2016-12-17T00:00:00"/>
        <d v="2016-12-29T00:00:00"/>
        <d v="2016-06-02T00:00:00"/>
        <d v="2016-07-03T00:00:00"/>
        <d v="2016-08-03T00:00:00"/>
        <d v="2016-04-24T00:00:00"/>
        <d v="2016-04-27T00:00:00"/>
        <d v="2016-01-05T00:00:00"/>
        <d v="2016-09-05T00:00:00"/>
        <d v="2016-03-06T00:00:00"/>
        <d v="2016-06-15T00:00:00"/>
        <d v="2016-06-25T00:00:00"/>
        <d v="2016-07-11T00:00:00"/>
        <d v="2016-08-11T00:00:00"/>
        <d v="2016-11-20T00:00:00"/>
        <d v="2016-11-26T00:00:00"/>
        <d v="2016-07-17T00:00:00"/>
        <d v="2016-06-01T00:00:00"/>
        <d v="2016-10-01T00:00:00"/>
        <d v="2016-12-01T00:00:00"/>
        <d v="2016-01-14T00:00:00"/>
        <d v="2016-01-20T00:00:00"/>
        <d v="2016-01-27T00:00:00"/>
        <d v="2016-01-29T00:00:00"/>
        <d v="2016-01-30T00:00:00"/>
        <d v="2016-01-02T00:00:00"/>
        <d v="2016-07-02T00:00:00"/>
        <d v="2016-12-02T00:00:00"/>
        <d v="2016-02-16T00:00:00"/>
        <d v="2016-02-18T00:00:00"/>
        <d v="2016-02-22T00:00:00"/>
        <d v="2016-02-29T00:00:00"/>
        <d v="2016-03-03T00:00:00"/>
        <d v="2016-04-03T00:00:00"/>
        <d v="2016-03-17T00:00:00"/>
        <d v="2016-03-18T00:00:00"/>
        <d v="2016-03-19T00:00:00"/>
        <d v="2016-03-20T00:00:00"/>
        <d v="2016-03-25T00:00:00"/>
        <d v="2016-03-27T00:00:00"/>
        <d v="2016-01-04T00:00:00"/>
        <d v="2016-02-04T00:00:00"/>
        <d v="2016-12-04T00:00:00"/>
        <d v="2016-04-28T00:00:00"/>
        <d v="2016-04-29T00:00:00"/>
        <d v="2016-06-05T00:00:00"/>
        <d v="2016-10-05T00:00:00"/>
        <d v="2016-05-18T00:00:00"/>
        <d v="2016-05-28T00:00:00"/>
        <d v="2016-01-06T00:00:00"/>
        <d v="2016-05-06T00:00:00"/>
        <d v="2016-06-13T00:00:00"/>
        <d v="2016-06-28T00:00:00"/>
        <d v="2016-06-07T00:00:00"/>
        <d v="2016-07-19T00:00:00"/>
        <d v="2016-07-08T00:00:00"/>
        <d v="2016-08-08T00:00:00"/>
        <d v="2016-10-23T00:00:00"/>
        <d v="2016-03-11T00:00:00"/>
        <d v="2016-06-11T00:00:00"/>
        <d v="2016-09-11T00:00:00"/>
        <d v="2016-11-11T00:00:00"/>
        <d v="2016-11-14T00:00:00"/>
        <d v="2016-11-17T00:00:00"/>
        <d v="2016-11-19T00:00:00"/>
        <d v="2016-11-22T00:00:00"/>
        <d v="2016-11-30T00:00:00"/>
        <d v="2016-01-12T00:00:00"/>
        <d v="2016-02-12T00:00:00"/>
        <d v="2016-03-12T00:00:00"/>
        <d v="2016-04-12T00:00:00"/>
        <d v="2016-07-12T00:00:00"/>
        <d v="2016-09-12T00:00:00"/>
        <d v="2016-10-12T00:00:00"/>
        <d v="2016-12-12T00:00:00"/>
        <d v="2016-12-14T00:00:00"/>
        <d v="2016-12-19T00:00:00"/>
        <d v="2016-12-20T00:00:00"/>
        <d v="2016-12-21T00:00:00"/>
        <d v="2016-12-22T00:00:00"/>
        <d v="2016-12-26T00:00:00"/>
        <d v="2016-12-27T00:00:00"/>
        <d v="2016-12-30T00:00:00"/>
        <d v="2016-02-01T00:00:00"/>
        <d v="2016-11-01T00:00:00"/>
        <d v="2016-01-15T00:00:00"/>
        <d v="2016-01-21T00:00:00"/>
        <d v="2016-01-26T00:00:00"/>
        <d v="2016-02-02T00:00:00"/>
        <d v="2016-04-02T00:00:00"/>
        <d v="2016-02-17T00:00:00"/>
        <d v="2016-02-20T00:00:00"/>
        <d v="2016-02-21T00:00:00"/>
        <d v="2016-02-24T00:00:00"/>
        <d v="2016-02-25T00:00:00"/>
        <d v="2016-03-14T00:00:00"/>
        <d v="2016-07-04T00:00:00"/>
        <d v="2016-08-04T00:00:00"/>
        <d v="2016-04-15T00:00:00"/>
        <d v="2016-04-16T00:00:00"/>
        <d v="2016-02-05T00:00:00"/>
        <d v="2016-04-05T00:00:00"/>
        <d v="2016-05-05T00:00:00"/>
        <d v="2016-05-17T00:00:00"/>
        <d v="2016-05-23T00:00:00"/>
        <d v="2016-05-27T00:00:00"/>
        <d v="2016-06-06T00:00:00"/>
        <d v="2016-08-06T00:00:00"/>
        <d v="2016-11-06T00:00:00"/>
        <d v="2016-12-06T00:00:00"/>
        <d v="2016-06-14T00:00:00"/>
        <d v="2016-06-24T00:00:00"/>
        <d v="2016-03-07T00:00:00"/>
        <d v="2016-05-07T00:00:00"/>
        <d v="2016-07-14T00:00:00"/>
        <d v="2016-07-16T00:00:00"/>
        <d v="2016-07-18T00:00:00"/>
        <d v="2016-10-25T00:00:00"/>
        <d v="2016-10-31T00:00:00"/>
        <d v="2016-12-11T00:00:00"/>
        <d v="2016-11-21T00:00:00"/>
        <d v="2016-08-12T00:00:00"/>
        <d v="2016-11-12T00:00:00"/>
        <d v="2016-12-13T00:00:00"/>
        <d v="2016-12-18T00:00:00"/>
        <d v="2016-12-23T00:00:00"/>
        <d v="2016-12-24T00:00:00"/>
        <d v="2016-12-25T00:00:00"/>
        <d v="2016-12-28T00:00:00"/>
        <d v="2016-01-01T00:00:00"/>
        <d v="2016-01-18T00:00:00"/>
        <d v="2016-08-02T00:00:00"/>
        <d v="2016-09-02T00:00:00"/>
        <d v="2016-11-02T00:00:00"/>
        <d v="2016-01-03T00:00:00"/>
        <d v="2016-05-03T00:00:00"/>
        <d v="2016-11-03T00:00:00"/>
        <d v="2016-03-13T00:00:00"/>
        <d v="2016-03-15T00:00:00"/>
        <d v="2016-03-16T00:00:00"/>
        <d v="2016-03-21T00:00:00"/>
        <d v="2016-03-22T00:00:00"/>
        <d v="2016-03-30T00:00:00"/>
        <d v="2016-03-31T00:00:00"/>
        <d v="2016-05-04T00:00:00"/>
        <d v="2016-06-04T00:00:00"/>
        <d v="2016-04-19T00:00:00"/>
        <d v="2016-04-23T00:00:00"/>
        <d v="2016-04-30T00:00:00"/>
        <d v="2016-03-05T00:00:00"/>
        <d v="2016-05-14T00:00:00"/>
        <d v="2016-05-19T00:00:00"/>
        <d v="2016-05-20T00:00:00"/>
        <d v="2016-05-22T00:00:00"/>
        <d v="2016-06-21T00:00:00"/>
        <d v="2016-07-22T00:00:00"/>
        <d v="2016-07-26T00:00:00"/>
        <d v="2016-07-29T00:00:00"/>
        <d v="2016-10-16T00:00:00"/>
        <d v="2016-01-11T00:00:00"/>
        <d v="2016-11-16T00:00:00"/>
        <d v="2016-11-18T00:00:00"/>
        <d v="2016-11-23T00:00:00"/>
        <d v="2016-11-27T00:00:00"/>
        <d v="2016-05-12T00:00:00"/>
        <d v="2016-05-01T00:00:00"/>
        <d v="2016-07-01T00:00:00"/>
        <d v="2016-01-13T00:00:00"/>
        <d v="2016-01-28T00:00:00"/>
        <d v="2016-05-02T00:00:00"/>
        <d v="2016-02-13T00:00:00"/>
        <d v="2016-02-14T00:00:00"/>
        <d v="2016-02-19T00:00:00"/>
        <d v="2016-02-26T00:00:00"/>
        <d v="2016-02-28T00:00:00"/>
        <d v="2016-10-03T00:00:00"/>
        <d v="2016-03-26T00:00:00"/>
        <d v="2016-03-04T00:00:00"/>
        <d v="2016-04-22T00:00:00"/>
        <d v="2016-11-05T00:00:00"/>
        <d v="2016-05-31T00:00:00"/>
        <d v="2016-07-06T00:00:00"/>
        <d v="2016-10-06T00:00:00"/>
        <d v="2016-06-26T00:00:00"/>
        <d v="2016-06-29T00:00:00"/>
        <d v="2016-06-30T00:00:00"/>
        <d v="2016-01-07T00:00:00"/>
        <d v="2016-02-07T00:00:00"/>
        <d v="2016-04-07T00:00:00"/>
        <d v="2016-07-23T00:00:00"/>
        <d v="2016-02-08T00:00:00"/>
        <d v="2016-08-13T00:00:00"/>
        <d v="2016-11-10T00:00:00"/>
        <d v="2016-10-15T00:00:00"/>
        <d v="2016-10-26T00:00:00"/>
        <d v="2016-10-27T00:00:00"/>
        <d v="2016-10-28T00:00:00"/>
        <d v="2016-10-29T00:00:00"/>
        <d v="2016-02-11T00:00:00"/>
        <d v="2016-10-11T00:00:00"/>
        <d v="2016-11-13T00:00:00"/>
        <d v="2016-11-25T00:00:00"/>
        <d v="2016-12-15T00:00:00"/>
        <d v="2016-12-31T00:00:00"/>
        <d v="2016-01-19T00:00:00"/>
        <d v="2016-12-03T00:00:00"/>
        <d v="2016-03-23T00:00:00"/>
        <d v="2016-03-24T00:00:00"/>
        <d v="2016-03-28T00:00:00"/>
        <d v="2016-03-29T00:00:00"/>
        <d v="2016-06-16T00:00:00"/>
        <d v="2016-06-17T00:00:00"/>
        <d v="2016-06-18T00:00:00"/>
        <d v="2016-06-19T00:00:00"/>
        <d v="2016-06-27T00:00:00"/>
        <d v="2016-07-07T00:00:00"/>
        <d v="2016-08-07T00:00:00"/>
        <d v="2016-09-07T00:00:00"/>
        <d v="2016-10-07T00:00:00"/>
        <d v="2016-12-07T00:00:00"/>
        <d v="2016-07-13T00:00:00"/>
        <d v="2016-07-15T00:00:00"/>
        <d v="2016-07-20T00:00:00"/>
        <d v="2016-07-21T00:00:00"/>
        <d v="2016-07-25T00:00:00"/>
        <d v="2016-07-27T00:00:00"/>
        <d v="2016-07-28T00:00:00"/>
        <d v="2016-07-30T00:00:00"/>
        <d v="2016-07-31T00:00:00"/>
        <d v="2016-01-08T00:00:00"/>
        <d v="2016-03-08T00:00:00"/>
        <d v="2016-05-08T00:00:00"/>
        <d v="2016-06-08T00:00:00"/>
        <d v="2016-09-08T00:00:00"/>
        <d v="2016-10-08T00:00:00"/>
        <d v="2016-11-08T00:00:00"/>
        <d v="2016-12-08T00:00:00"/>
        <d v="2016-08-15T00:00:00"/>
        <d v="2016-08-16T00:00:00"/>
        <d v="2016-08-17T00:00:00"/>
        <d v="2016-08-19T00:00:00"/>
        <d v="2016-08-22T00:00:00"/>
        <d v="2016-08-23T00:00:00"/>
        <d v="2016-08-24T00:00:00"/>
        <d v="2016-08-25T00:00:00"/>
        <d v="2016-08-26T00:00:00"/>
        <d v="2016-08-27T00:00:00"/>
        <d v="2016-08-28T00:00:00"/>
        <d v="2016-08-29T00:00:00"/>
        <d v="2016-08-30T00:00:00"/>
        <d v="2016-01-09T00:00:00"/>
        <d v="2016-02-09T00:00:00"/>
        <d v="2016-05-09T00:00:00"/>
        <d v="2016-10-09T00:00:00"/>
        <d v="2016-11-09T00:00:00"/>
        <d v="2016-12-09T00:00:00"/>
        <d v="2016-09-13T00:00:00"/>
        <d v="2016-09-14T00:00:00"/>
        <d v="2016-09-15T00:00:00"/>
        <d v="2016-09-18T00:00:00"/>
        <d v="2016-09-19T00:00:00"/>
        <d v="2016-09-20T00:00:00"/>
        <d v="2016-09-23T00:00:00"/>
        <d v="2016-09-24T00:00:00"/>
        <d v="2016-09-27T00:00:00"/>
        <d v="2016-09-28T00:00:00"/>
        <d v="2016-09-29T00:00:00"/>
        <d v="2016-09-30T00:00:00"/>
        <d v="2016-03-10T00:00:00"/>
        <d v="2016-04-10T00:00:00"/>
        <d v="2016-06-10T00:00:00"/>
        <d v="2016-07-10T00:00:00"/>
        <d v="2016-08-10T00:00:00"/>
        <d v="2016-10-10T00:00:00"/>
        <d v="2016-12-10T00:00:00"/>
        <d v="2016-10-13T00:00:00"/>
        <d v="2016-10-14T00:00:00"/>
        <d v="2016-10-17T00:00:00"/>
        <d v="2016-10-18T00:00:00"/>
        <d v="2016-10-19T00:00:00"/>
        <d v="2016-10-20T00:00:00"/>
        <d v="2016-10-21T00:00:00"/>
        <d v="2016-10-22T00:00:00"/>
        <d v="2016-10-24T00:00:00"/>
        <d v="2016-10-30T00:00:00"/>
        <d v="2016-04-11T00:00:00"/>
        <d v="2016-05-11T00:00:00"/>
        <d v="2016-11-15T00:00:00"/>
        <d v="2016-04-14T00:00:00"/>
        <d v="2016-08-18T00:00:00"/>
        <d v="2016-09-10T00:00:00"/>
      </sharedItems>
      <fieldGroup par="18"/>
    </cacheField>
    <cacheField name="End Time" numFmtId="167">
      <sharedItems containsSemiMixedTypes="0" containsNonDate="0" containsDate="1" containsString="0" minDate="1899-12-30T00:00:00" maxDate="1899-12-30T23:59:00"/>
    </cacheField>
    <cacheField name="CATEGORY*" numFmtId="0">
      <sharedItems count="2">
        <s v="Business"/>
        <s v="Personal"/>
      </sharedItems>
    </cacheField>
    <cacheField name="Time Diff." numFmtId="165">
      <sharedItems containsSemiMixedTypes="0" containsNonDate="0" containsDate="1" containsString="0" minDate="1899-12-30T00:01:00" maxDate="1899-12-30T05:36:00"/>
    </cacheField>
    <cacheField name="Hours Diff." numFmtId="168">
      <sharedItems containsSemiMixedTypes="0" containsString="0" containsNumber="1" minValue="1.6666666666666666E-2" maxValue="5.6"/>
    </cacheField>
    <cacheField name="START*" numFmtId="0">
      <sharedItems count="177">
        <s v="Unknown Location"/>
        <s v="Kar?chi"/>
        <s v="Cary"/>
        <s v="Raleigh"/>
        <s v="Whitebridge"/>
        <s v="Morrisville"/>
        <s v="Burtrose"/>
        <s v="San Francisco"/>
        <s v="Kenner"/>
        <s v="CBD"/>
        <s v="New Orleans"/>
        <s v="Berkeley"/>
        <s v="Holly Springs"/>
        <s v="Banner Elk"/>
        <s v="Boone"/>
        <s v="Fort Pierce"/>
        <s v="Jamaica"/>
        <s v="Hudson Square"/>
        <s v="Houston"/>
        <s v="Fairmont"/>
        <s v="Apex"/>
        <s v="Chapel Hill"/>
        <s v="Katunayaka"/>
        <s v="Hazelwood"/>
        <s v="Durham"/>
        <s v="Fayetteville Street"/>
        <s v="Austin"/>
        <s v="Sharpstown"/>
        <s v="Sugar Land"/>
        <s v="Galveston"/>
        <s v="Briar Meadow"/>
        <s v="Latta"/>
        <s v="Kissimmee"/>
        <s v="Daytona Beach"/>
        <s v="Jacksonville"/>
        <s v="Meredith"/>
        <s v="Palo Alto"/>
        <s v="Sunnyvale"/>
        <s v="Newark"/>
        <s v="Menlo Park"/>
        <s v="Oakland"/>
        <s v="Lower Garden District"/>
        <s v="Edgehill Farms"/>
        <s v="Santa Clara"/>
        <s v="Mountain View"/>
        <s v="Rawalpindi"/>
        <s v="Islamabad"/>
        <s v="Lahore"/>
        <s v="Flatiron District"/>
        <s v="Lower Manhattan"/>
        <s v="Hell's Kitchen"/>
        <s v="Eagan Park"/>
        <s v="Nugegoda"/>
        <s v="Preston"/>
        <s v="Heritage Pines"/>
        <s v="Westpark Place"/>
        <s v="The Drag"/>
        <s v="Port Bolivar"/>
        <s v="Lake Reams"/>
        <s v="Meredith Townes"/>
        <s v="Chessington"/>
        <s v="Parkway"/>
        <s v="Mcvan"/>
        <s v="Redmond"/>
        <s v="Savon Height"/>
        <s v="Kilarney Woods"/>
        <s v="Townes at Everett Crossing"/>
        <s v="Huntington Woods"/>
        <s v="Medical Centre"/>
        <s v="Soho"/>
        <s v="Tribeca"/>
        <s v="Financial District"/>
        <s v="Downtown"/>
        <s v="Chalmette"/>
        <s v="Parkwood"/>
        <s v="Emeryville"/>
        <s v="Fuquay-Varina"/>
        <s v="West Palm Beach"/>
        <s v="Midtown"/>
        <s v="Midtown East"/>
        <s v="Farmington Woods"/>
        <s v="Northwoods"/>
        <s v="Eastgate"/>
        <s v="Colombo"/>
        <s v="Noorpur Shahan"/>
        <s v="Tanglewood"/>
        <s v="Waverly Place"/>
        <s v="South Congress"/>
        <s v="Georgian Acres"/>
        <s v="North Austin"/>
        <s v="West University"/>
        <s v="Orlando"/>
        <s v="Wayne Ridge"/>
        <s v="Capitol One"/>
        <s v="University District"/>
        <s v="Seattle"/>
        <s v="Old City"/>
        <s v="Weston"/>
        <s v="Seaport"/>
        <s v="Rose Hill"/>
        <s v="Storyville"/>
        <s v="Arabi"/>
        <s v="Lexington Park at Amberly"/>
        <s v="El Cerrito"/>
        <s v="New York"/>
        <s v="Elmhurst"/>
        <s v="Gulfton"/>
        <s v="East Elmhurst"/>
        <s v="Long Island City"/>
        <s v="R?walpindi"/>
        <s v="East Austin"/>
        <s v="Katy"/>
        <s v="Washington Avenue"/>
        <s v="Ridgeland"/>
        <s v="Florence"/>
        <s v="Bellevue"/>
        <s v="Pontchartrain Shores"/>
        <s v="Metairie"/>
        <s v="Stonewater"/>
        <s v="Winston Salem"/>
        <s v="Asheville"/>
        <s v="Topton"/>
        <s v="Renaissance"/>
        <s v="Ingleside"/>
        <s v="West Berkeley"/>
        <s v="Krendle Woods"/>
        <s v="Jackson Heights"/>
        <s v="Congress Ave District"/>
        <s v="Red River District"/>
        <s v="Coxville"/>
        <s v="Convention Center District"/>
        <s v="Couples Glen"/>
        <s v="Sand Lake Commons"/>
        <s v="Sky Lake"/>
        <s v="Lakeview"/>
        <s v="Marigny"/>
        <s v="Covington"/>
        <s v="Mandeville"/>
        <s v="Jamestown Court"/>
        <s v="Pontchartrain Beach"/>
        <s v="St Thomas"/>
        <s v="Elk Park"/>
        <s v="Newland"/>
        <s v="Arlington Park at Amberly"/>
        <s v="Arlington"/>
        <s v="Kalorama Triangle"/>
        <s v="K Street"/>
        <s v="West End"/>
        <s v="Connecticut Avenue"/>
        <s v="Columbia Heights"/>
        <s v="Washington"/>
        <s v="Wake Forest"/>
        <s v="Karachi"/>
        <s v="SOMISSPO"/>
        <s v="North Berkeley Hills"/>
        <s v="San Jose"/>
        <s v="Eagle Rock"/>
        <s v="Hayesville"/>
        <s v="Bryson City"/>
        <s v="Almond"/>
        <s v="Mebane"/>
        <s v="Agnew"/>
        <s v="Cory"/>
        <s v="NOMA"/>
        <s v="Sunnyside"/>
        <s v="Central"/>
        <s v="Tenderloin"/>
        <s v="College Avenue"/>
        <s v="South"/>
        <s v="Southside"/>
        <s v="South Berkeley"/>
        <s v="Wake Co."/>
        <s v="East Harlem"/>
        <s v="Lake Wellingborough"/>
        <s v="Summerwinds"/>
        <s v="Katunayake"/>
        <s v="Gampaha"/>
      </sharedItems>
    </cacheField>
    <cacheField name="STOP*" numFmtId="0">
      <sharedItems count="187">
        <s v="Unknown Location"/>
        <s v="Kar?chi"/>
        <s v="Raleigh"/>
        <s v="Cary"/>
        <s v="Waverly Place"/>
        <s v="Burtrose"/>
        <s v="Whitebridge"/>
        <s v="Tanglewood"/>
        <s v="Palo Alto"/>
        <s v="New Orleans"/>
        <s v="Lower Garden District"/>
        <s v="Chalmette"/>
        <s v="San Francisco"/>
        <s v="Berkeley"/>
        <s v="Boone"/>
        <s v="West Palm Beach"/>
        <s v="New York"/>
        <s v="Hell's Kitchen"/>
        <s v="Houston"/>
        <s v="Meredith Townes"/>
        <s v="Chapel Hill"/>
        <s v="Islamabad"/>
        <s v="Katy"/>
        <s v="Midtown"/>
        <s v="Sugar Land"/>
        <s v="Latta"/>
        <s v="Jacksonville"/>
        <s v="Orlando"/>
        <s v="Daytona Beach"/>
        <s v="Ridgeland"/>
        <s v="Cedar Hill"/>
        <s v="Durham"/>
        <s v="Morrisville"/>
        <s v="Sunnyvale"/>
        <s v="Newark"/>
        <s v="Menlo Park"/>
        <s v="Savon Height"/>
        <s v="Lakeview"/>
        <s v="Stonewater"/>
        <s v="Oakland"/>
        <s v="Mountain View"/>
        <s v="Rawalpindi"/>
        <s v="Lahore"/>
        <s v="Fort Pierce"/>
        <s v="Hudson Square"/>
        <s v="Jamestown Court"/>
        <s v="Westpark Place"/>
        <s v="Apex"/>
        <s v="Katunayaka"/>
        <s v="Heritage Pines"/>
        <s v="Depot Historic District"/>
        <s v="Edgehill Farms"/>
        <s v="South Congress"/>
        <s v="Sharpstown"/>
        <s v="Port Bolivar"/>
        <s v="Lake Reams"/>
        <s v="Harden Place"/>
        <s v="Chessington"/>
        <s v="Capitol One"/>
        <s v="Bellevue"/>
        <s v="Preston"/>
        <s v="Kildaire Farms"/>
        <s v="Weston"/>
        <s v="Hazelwood"/>
        <s v="Tudor City"/>
        <s v="Tribeca"/>
        <s v="Financial District"/>
        <s v="Kips Bay"/>
        <s v="Bay Farm Island"/>
        <s v="Arabi"/>
        <s v="Parkwood"/>
        <s v="Banner Elk"/>
        <s v="Wake Co."/>
        <s v="Midtown East"/>
        <s v="Lower Manhattan"/>
        <s v="Walnut Terrace"/>
        <s v="Nugegoda"/>
        <s v="Colombo"/>
        <s v="Wayne Ridge"/>
        <s v="Northwoods"/>
        <s v="Congress Ave District"/>
        <s v="Convention Center District"/>
        <s v="North Austin"/>
        <s v="The Drag"/>
        <s v="Coxville"/>
        <s v="Alief"/>
        <s v="Galveston"/>
        <s v="Greater Greenspoint"/>
        <s v="Kissimmee"/>
        <s v="University District"/>
        <s v="Redmond"/>
        <s v="Parkway Museums"/>
        <s v="Gramercy-Flatiron"/>
        <s v="Soho"/>
        <s v="Faubourg Marigny"/>
        <s v="Macgregor Downs"/>
        <s v="Metairie"/>
        <s v="Palm Beach"/>
        <s v="Queens"/>
        <s v="East Harlem"/>
        <s v="Queens County"/>
        <s v="Gulfton"/>
        <s v="Downtown"/>
        <s v="Umstead"/>
        <s v="Leesville Hollow"/>
        <s v="Williamsburg Manor"/>
        <s v="Midtown West"/>
        <s v="Long Island City"/>
        <s v="Jamaica"/>
        <s v="R?walpindi"/>
        <s v="West University"/>
        <s v="Washington Avenue"/>
        <s v="Florence"/>
        <s v="Parkway"/>
        <s v="Seattle"/>
        <s v="Mcvan"/>
        <s v="Hog Island"/>
        <s v="Emeryville"/>
        <s v="Pontchartrain Shores"/>
        <s v="Kenner"/>
        <s v="Summerwinds"/>
        <s v="Lexington Park at Amberly"/>
        <s v="Winston Salem"/>
        <s v="Asheville"/>
        <s v="Topton"/>
        <s v="Hayesville"/>
        <s v="Agnew"/>
        <s v="Potrero Flats"/>
        <s v="South"/>
        <s v="Southside"/>
        <s v="Holly Springs"/>
        <s v="Fuquay-Varina"/>
        <s v="Lake Wellingborough"/>
        <s v="East Elmhurst"/>
        <s v="Arts District"/>
        <s v="Red River District"/>
        <s v="Briar Meadow"/>
        <s v="Isles of Buena Vista"/>
        <s v="Vista East"/>
        <s v="Sky Lake"/>
        <s v="Sand Lake Commons"/>
        <s v="Kilarney Woods"/>
        <s v="Storyville"/>
        <s v="Bywater"/>
        <s v="Marigny"/>
        <s v="Covington"/>
        <s v="Mandeville"/>
        <s v="Pontchartrain Beach"/>
        <s v="CBD"/>
        <s v="St Thomas"/>
        <s v="Elk Park"/>
        <s v="Newland"/>
        <s v="Arlington Park at Amberly"/>
        <s v="Washington"/>
        <s v="K Street"/>
        <s v="Kalorama Triangle"/>
        <s v="Northwest Rectangle"/>
        <s v="Columbia Heights"/>
        <s v="Arlington"/>
        <s v="Farmington Woods"/>
        <s v="Wake Forest"/>
        <s v="Noorpur Shahan"/>
        <s v="Karachi"/>
        <s v="French Quarter"/>
        <s v="North Berkeley Hills"/>
        <s v="San Jose"/>
        <s v="Eagle Rock"/>
        <s v="Huntington Woods"/>
        <s v="Bryson City"/>
        <s v="Almond"/>
        <s v="Mebane"/>
        <s v="Santa Clara"/>
        <s v="Cory"/>
        <s v="Renaissance"/>
        <s v="West Berkeley"/>
        <s v="Central"/>
        <s v="Sunnyside"/>
        <s v="Ingleside"/>
        <s v="SOMISSPO"/>
        <s v="Tenderloin"/>
        <s v="College Avenue"/>
        <s v="Southwest Berkeley"/>
        <s v="South Berkeley"/>
        <s v="NoMad"/>
        <s v="El Cerrito"/>
        <s v="Gampaha"/>
        <s v="Ilukwatta"/>
      </sharedItems>
    </cacheField>
    <cacheField name="MILES*" numFmtId="0">
      <sharedItems containsSemiMixedTypes="0" containsString="0" containsNumber="1" minValue="0.5" maxValue="310.3"/>
    </cacheField>
    <cacheField name="Speed" numFmtId="1">
      <sharedItems containsSemiMixedTypes="0" containsString="0" containsNumber="1" minValue="3.9173553719008267" maxValue="906"/>
    </cacheField>
    <cacheField name="PURPOSE*" numFmtId="0">
      <sharedItems containsBlank="1" count="11">
        <s v="Airport/Travel"/>
        <s v="Between Offices"/>
        <s v="Charity ($)"/>
        <s v="Commute"/>
        <s v="Customer Visit"/>
        <s v="Errand/Supplies"/>
        <s v="Meal/Entertain"/>
        <s v="Meeting"/>
        <s v="Moving"/>
        <m/>
        <s v="Temporary Site"/>
      </sharedItems>
    </cacheField>
    <cacheField name="PURPOSE" numFmtId="0">
      <sharedItems count="11">
        <s v="Airport/Travel"/>
        <s v="Between Offices"/>
        <s v="Charity ($)"/>
        <s v="Commute"/>
        <s v="Customer Visit"/>
        <s v="Errand/Supplies"/>
        <s v="Meal/Entertain"/>
        <s v="Meeting"/>
        <s v="Moving"/>
        <s v="No Purpose"/>
        <s v="Temporary Site"/>
      </sharedItems>
    </cacheField>
    <cacheField name="Minutes (Start Time)" numFmtId="0" databaseField="0">
      <fieldGroup base="1">
        <rangePr groupBy="minutes" startDate="1899-12-30T00:00:00" endDate="1899-12-30T23:55:0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Start Time)" numFmtId="0" databaseField="0">
      <fieldGroup base="1">
        <rangePr groupBy="hours" startDate="1899-12-30T00:00:00" endDate="1899-12-30T23:55:00"/>
        <groupItems count="26">
          <s v="&lt;00-01-1900"/>
          <s v="00"/>
          <s v="01"/>
          <s v="02"/>
          <s v="03"/>
          <s v="04"/>
          <s v="05"/>
          <s v="06"/>
          <s v="07"/>
          <s v="08"/>
          <s v="09"/>
          <s v="10"/>
          <s v="11"/>
          <s v="12"/>
          <s v="13"/>
          <s v="14"/>
          <s v="15"/>
          <s v="16"/>
          <s v="17"/>
          <s v="18"/>
          <s v="19"/>
          <s v="20"/>
          <s v="21"/>
          <s v="22"/>
          <s v="23"/>
          <s v="&gt;00-01-1900"/>
        </groupItems>
      </fieldGroup>
    </cacheField>
    <cacheField name="Start Date2" numFmtId="0" databaseField="0">
      <fieldGroup base="0">
        <discretePr count="292">
          <x v="6"/>
          <x v="5"/>
          <x v="3"/>
          <x v="3"/>
          <x v="6"/>
          <x v="2"/>
          <x v="6"/>
          <x v="2"/>
          <x v="0"/>
          <x v="1"/>
          <x v="6"/>
          <x v="2"/>
          <x v="5"/>
          <x v="1"/>
          <x v="3"/>
          <x v="6"/>
          <x v="5"/>
          <x v="6"/>
          <x v="2"/>
          <x v="5"/>
          <x v="3"/>
          <x v="3"/>
          <x v="2"/>
          <x v="2"/>
          <x v="4"/>
          <x v="5"/>
          <x v="5"/>
          <x v="5"/>
          <x v="4"/>
          <x v="0"/>
          <x v="3"/>
          <x v="1"/>
          <x v="1"/>
          <x v="3"/>
          <x v="6"/>
          <x v="3"/>
          <x v="4"/>
          <x v="5"/>
          <x v="6"/>
          <x v="4"/>
          <x v="6"/>
          <x v="1"/>
          <x v="3"/>
          <x v="6"/>
          <x v="3"/>
          <x v="4"/>
          <x v="6"/>
          <x v="2"/>
          <x v="2"/>
          <x v="5"/>
          <x v="2"/>
          <x v="4"/>
          <x v="1"/>
          <x v="0"/>
          <x v="0"/>
          <x v="0"/>
          <x v="4"/>
          <x v="1"/>
          <x v="6"/>
          <x v="4"/>
          <x v="5"/>
          <x v="6"/>
          <x v="4"/>
          <x v="1"/>
          <x v="3"/>
          <x v="5"/>
          <x v="0"/>
          <x v="2"/>
          <x v="0"/>
          <x v="4"/>
          <x v="5"/>
          <x v="0"/>
          <x v="0"/>
          <x v="1"/>
          <x v="2"/>
          <x v="1"/>
          <x v="2"/>
          <x v="1"/>
          <x v="0"/>
          <x v="2"/>
          <x v="3"/>
          <x v="1"/>
          <x v="0"/>
          <x v="4"/>
          <x v="1"/>
          <x v="0"/>
          <x v="4"/>
          <x v="3"/>
          <x v="0"/>
          <x v="0"/>
          <x v="5"/>
          <x v="2"/>
          <x v="5"/>
          <x v="6"/>
          <x v="2"/>
          <x v="3"/>
          <x v="1"/>
          <x v="1"/>
          <x v="3"/>
          <x v="4"/>
          <x v="5"/>
          <x v="4"/>
          <x v="0"/>
          <x v="3"/>
          <x v="0"/>
          <x v="1"/>
          <x v="4"/>
          <x v="1"/>
          <x v="5"/>
          <x v="6"/>
          <x v="0"/>
          <x v="0"/>
          <x v="4"/>
          <x v="1"/>
          <x v="5"/>
          <x v="3"/>
          <x v="5"/>
          <x v="1"/>
          <x v="0"/>
          <x v="1"/>
          <x v="6"/>
          <x v="1"/>
          <x v="4"/>
          <x v="5"/>
          <x v="0"/>
          <x v="6"/>
          <x v="4"/>
          <x v="5"/>
          <x v="6"/>
          <x v="2"/>
          <x v="4"/>
          <x v="1"/>
          <x v="0"/>
          <x v="4"/>
          <x v="2"/>
          <x v="6"/>
          <x v="0"/>
          <x v="3"/>
          <x v="6"/>
          <x v="0"/>
          <x v="2"/>
          <x v="1"/>
          <x v="0"/>
          <x v="2"/>
          <x v="3"/>
          <x v="2"/>
          <x v="5"/>
          <x v="0"/>
          <x v="5"/>
          <x v="5"/>
          <x v="5"/>
          <x v="5"/>
          <x v="3"/>
          <x v="4"/>
          <x v="6"/>
          <x v="0"/>
          <x v="4"/>
          <x v="0"/>
          <x v="4"/>
          <x v="6"/>
          <x v="1"/>
          <x v="2"/>
          <x v="4"/>
          <x v="2"/>
          <x v="6"/>
          <x v="3"/>
          <x v="6"/>
          <x v="4"/>
          <x v="2"/>
          <x v="3"/>
          <x v="1"/>
          <x v="5"/>
          <x v="6"/>
          <x v="4"/>
          <x v="4"/>
          <x v="6"/>
          <x v="1"/>
          <x v="4"/>
          <x v="4"/>
          <x v="5"/>
          <x v="0"/>
          <x v="2"/>
          <x v="3"/>
          <x v="6"/>
          <x v="2"/>
          <x v="3"/>
          <x v="2"/>
          <x v="6"/>
          <x v="3"/>
          <x v="5"/>
          <x v="1"/>
          <x v="5"/>
          <x v="3"/>
          <x v="4"/>
          <x v="2"/>
          <x v="3"/>
          <x v="4"/>
          <x v="5"/>
          <x v="3"/>
          <x v="0"/>
          <x v="6"/>
          <x v="4"/>
          <x v="3"/>
          <x v="5"/>
          <x v="0"/>
          <x v="5"/>
          <x v="2"/>
          <x v="3"/>
          <x v="5"/>
          <x v="1"/>
          <x v="0"/>
          <x v="3"/>
          <x v="4"/>
          <x v="5"/>
          <x v="6"/>
          <x v="1"/>
          <x v="3"/>
          <x v="6"/>
          <x v="2"/>
          <x v="4"/>
          <x v="2"/>
          <x v="2"/>
          <x v="4"/>
          <x v="2"/>
          <x v="3"/>
          <x v="1"/>
          <x v="2"/>
          <x v="3"/>
          <x v="5"/>
          <x v="6"/>
          <x v="4"/>
          <x v="0"/>
          <x v="6"/>
          <x v="2"/>
          <x v="3"/>
          <x v="5"/>
          <x v="0"/>
          <x v="3"/>
          <x v="1"/>
          <x v="0"/>
          <x v="2"/>
          <x v="4"/>
          <x v="1"/>
          <x v="0"/>
          <x v="2"/>
          <x v="3"/>
          <x v="4"/>
          <x v="5"/>
          <x v="6"/>
          <x v="1"/>
          <x v="0"/>
          <x v="5"/>
          <x v="0"/>
          <x v="1"/>
          <x v="6"/>
          <x v="2"/>
          <x v="4"/>
          <x v="0"/>
          <x v="2"/>
          <x v="3"/>
          <x v="6"/>
          <x v="1"/>
          <x v="0"/>
          <x v="4"/>
          <x v="5"/>
          <x v="0"/>
          <x v="2"/>
          <x v="3"/>
          <x v="4"/>
          <x v="3"/>
          <x v="6"/>
          <x v="4"/>
          <x v="6"/>
          <x v="2"/>
          <x v="1"/>
          <x v="5"/>
          <x v="3"/>
          <x v="5"/>
          <x v="1"/>
          <x v="0"/>
          <x v="2"/>
          <x v="3"/>
          <x v="4"/>
          <x v="5"/>
          <x v="1"/>
          <x v="6"/>
          <x v="1"/>
          <x v="2"/>
          <x v="0"/>
          <x v="3"/>
          <x v="3"/>
          <x v="5"/>
        </discretePr>
        <groupItems count="7">
          <s v="Group3"/>
          <s v="Group1"/>
          <s v="Group4"/>
          <s v="Group5"/>
          <s v="Group6"/>
          <s v="Group2"/>
          <s v="Group7"/>
        </groupItems>
      </fieldGroup>
    </cacheField>
    <cacheField name="Days (End Date)" numFmtId="0" databaseField="0">
      <fieldGroup base="3">
        <rangePr groupBy="days" startDate="2016-01-01T00:00:00" endDate="2017-01-01T00:00:00"/>
        <groupItems count="368">
          <s v="&lt;01-01-201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17"/>
        </groupItems>
      </fieldGroup>
    </cacheField>
    <cacheField name="Months (End Date)" numFmtId="0" databaseField="0">
      <fieldGroup base="3">
        <rangePr groupBy="months" startDate="2016-01-01T00:00:00" endDate="2017-01-01T00:00:00"/>
        <groupItems count="14">
          <s v="&lt;01-01-2016"/>
          <s v="Jan"/>
          <s v="Feb"/>
          <s v="Mar"/>
          <s v="Apr"/>
          <s v="May"/>
          <s v="Jun"/>
          <s v="Jul"/>
          <s v="Aug"/>
          <s v="Sep"/>
          <s v="Oct"/>
          <s v="Nov"/>
          <s v="Dec"/>
          <s v="&gt;01-01-2017"/>
        </groupItems>
      </fieldGroup>
    </cacheField>
  </cacheFields>
  <extLst>
    <ext xmlns:x14="http://schemas.microsoft.com/office/spreadsheetml/2009/9/main" uri="{725AE2AE-9491-48be-B2B4-4EB974FC3084}">
      <x14:pivotCacheDefinition pivotCacheId="17343829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9">
  <r>
    <x v="0"/>
    <x v="0"/>
    <s v="8/21/2016 10:29"/>
    <x v="0"/>
    <d v="1899-12-30T10:29:00"/>
    <x v="0"/>
    <d v="1899-12-30T00:29:00"/>
    <n v="0.48333333333333334"/>
    <x v="0"/>
    <x v="0"/>
    <n v="7.6"/>
    <n v="15.724137931034482"/>
    <x v="0"/>
    <x v="0"/>
  </r>
  <r>
    <x v="1"/>
    <x v="1"/>
    <s v="12/17/2016 16:12"/>
    <x v="1"/>
    <d v="1899-12-30T16:12:00"/>
    <x v="0"/>
    <d v="1899-12-30T00:34:00"/>
    <n v="0.56666666666666665"/>
    <x v="0"/>
    <x v="0"/>
    <n v="4.8"/>
    <n v="8.4705882352941178"/>
    <x v="0"/>
    <x v="0"/>
  </r>
  <r>
    <x v="2"/>
    <x v="2"/>
    <s v="12/29/2016 14:11"/>
    <x v="2"/>
    <d v="1899-12-30T14:11:00"/>
    <x v="0"/>
    <d v="1899-12-30T00:15:00"/>
    <n v="0.25"/>
    <x v="1"/>
    <x v="1"/>
    <n v="4.0999999999999996"/>
    <n v="16.399999999999999"/>
    <x v="0"/>
    <x v="0"/>
  </r>
  <r>
    <x v="3"/>
    <x v="3"/>
    <d v="2016-06-02T16:53:00"/>
    <x v="3"/>
    <d v="1899-12-30T16:53:00"/>
    <x v="0"/>
    <d v="1899-12-30T00:33:00"/>
    <n v="0.55000000000000004"/>
    <x v="2"/>
    <x v="2"/>
    <n v="11.4"/>
    <n v="20.727272727272727"/>
    <x v="1"/>
    <x v="1"/>
  </r>
  <r>
    <x v="4"/>
    <x v="4"/>
    <d v="2016-07-03T15:45:00"/>
    <x v="4"/>
    <d v="1899-12-30T15:45:00"/>
    <x v="0"/>
    <d v="1899-12-30T00:26:00"/>
    <n v="0.43333333333333335"/>
    <x v="3"/>
    <x v="3"/>
    <n v="11.9"/>
    <n v="27.46153846153846"/>
    <x v="1"/>
    <x v="1"/>
  </r>
  <r>
    <x v="5"/>
    <x v="5"/>
    <d v="2016-08-03T14:55:00"/>
    <x v="5"/>
    <d v="1899-12-30T14:55:00"/>
    <x v="0"/>
    <d v="1899-12-30T00:17:00"/>
    <n v="0.28333333333333333"/>
    <x v="4"/>
    <x v="4"/>
    <n v="7.2"/>
    <n v="25.411764705882355"/>
    <x v="1"/>
    <x v="1"/>
  </r>
  <r>
    <x v="6"/>
    <x v="6"/>
    <s v="4/24/2016 21:50"/>
    <x v="6"/>
    <d v="1899-12-30T21:50:00"/>
    <x v="0"/>
    <d v="1899-12-30T00:09:00"/>
    <n v="0.15"/>
    <x v="5"/>
    <x v="3"/>
    <n v="4.2"/>
    <n v="28.000000000000004"/>
    <x v="1"/>
    <x v="1"/>
  </r>
  <r>
    <x v="7"/>
    <x v="7"/>
    <s v="4/27/2016 13:40"/>
    <x v="7"/>
    <d v="1899-12-30T13:40:00"/>
    <x v="0"/>
    <d v="1899-12-30T00:10:00"/>
    <n v="0.16666666666666666"/>
    <x v="4"/>
    <x v="5"/>
    <n v="4.9000000000000004"/>
    <n v="29.400000000000002"/>
    <x v="1"/>
    <x v="1"/>
  </r>
  <r>
    <x v="7"/>
    <x v="8"/>
    <s v="4/27/2016 14:25"/>
    <x v="7"/>
    <d v="1899-12-30T14:25:00"/>
    <x v="0"/>
    <d v="1899-12-30T00:12:00"/>
    <n v="0.2"/>
    <x v="6"/>
    <x v="6"/>
    <n v="4.8"/>
    <n v="23.999999999999996"/>
    <x v="1"/>
    <x v="1"/>
  </r>
  <r>
    <x v="8"/>
    <x v="9"/>
    <d v="2016-01-05T17:45:00"/>
    <x v="8"/>
    <d v="1899-12-30T17:45:00"/>
    <x v="0"/>
    <d v="1899-12-30T00:12:00"/>
    <n v="0.2"/>
    <x v="4"/>
    <x v="7"/>
    <n v="6.2"/>
    <n v="31"/>
    <x v="1"/>
    <x v="1"/>
  </r>
  <r>
    <x v="9"/>
    <x v="10"/>
    <d v="2016-09-05T15:06:00"/>
    <x v="9"/>
    <d v="1899-12-30T15:06:00"/>
    <x v="0"/>
    <d v="1899-12-30T00:27:00"/>
    <n v="0.45"/>
    <x v="7"/>
    <x v="8"/>
    <n v="20.5"/>
    <n v="45.555555555555557"/>
    <x v="1"/>
    <x v="1"/>
  </r>
  <r>
    <x v="10"/>
    <x v="11"/>
    <d v="2016-03-06T23:06:00"/>
    <x v="10"/>
    <d v="1899-12-30T23:06:00"/>
    <x v="0"/>
    <d v="1899-12-30T00:19:00"/>
    <n v="0.31666666666666665"/>
    <x v="5"/>
    <x v="3"/>
    <n v="4"/>
    <n v="12.631578947368421"/>
    <x v="1"/>
    <x v="1"/>
  </r>
  <r>
    <x v="11"/>
    <x v="12"/>
    <s v="6/15/2016 2:06"/>
    <x v="11"/>
    <d v="1899-12-30T02:06:00"/>
    <x v="0"/>
    <d v="1899-12-30T00:20:00"/>
    <n v="0.33333333333333331"/>
    <x v="8"/>
    <x v="9"/>
    <n v="12.4"/>
    <n v="37.200000000000003"/>
    <x v="1"/>
    <x v="1"/>
  </r>
  <r>
    <x v="11"/>
    <x v="13"/>
    <s v="6/15/2016 15:34"/>
    <x v="11"/>
    <d v="1899-12-30T15:34:00"/>
    <x v="0"/>
    <d v="1899-12-30T00:08:00"/>
    <n v="0.13333333333333333"/>
    <x v="9"/>
    <x v="10"/>
    <n v="1.9"/>
    <n v="14.25"/>
    <x v="1"/>
    <x v="1"/>
  </r>
  <r>
    <x v="12"/>
    <x v="14"/>
    <s v="6/25/2016 10:08"/>
    <x v="12"/>
    <d v="1899-12-30T10:08:00"/>
    <x v="0"/>
    <d v="1899-12-30T00:53:00"/>
    <n v="0.8833333333333333"/>
    <x v="10"/>
    <x v="11"/>
    <n v="11.8"/>
    <n v="13.358490566037737"/>
    <x v="1"/>
    <x v="1"/>
  </r>
  <r>
    <x v="13"/>
    <x v="15"/>
    <d v="2016-07-11T12:57:00"/>
    <x v="13"/>
    <d v="1899-12-30T12:57:00"/>
    <x v="0"/>
    <d v="1899-12-30T00:29:00"/>
    <n v="0.48333333333333334"/>
    <x v="11"/>
    <x v="12"/>
    <n v="11.8"/>
    <n v="24.413793103448278"/>
    <x v="1"/>
    <x v="1"/>
  </r>
  <r>
    <x v="13"/>
    <x v="16"/>
    <d v="2016-07-11T19:57:00"/>
    <x v="13"/>
    <d v="1899-12-30T19:57:00"/>
    <x v="0"/>
    <d v="1899-12-30T00:40:00"/>
    <n v="0.66666666666666663"/>
    <x v="7"/>
    <x v="13"/>
    <n v="13.2"/>
    <n v="19.8"/>
    <x v="1"/>
    <x v="1"/>
  </r>
  <r>
    <x v="14"/>
    <x v="17"/>
    <d v="2016-08-11T10:57:00"/>
    <x v="14"/>
    <d v="1899-12-30T10:57:00"/>
    <x v="0"/>
    <d v="1899-12-30T00:28:00"/>
    <n v="0.46666666666666667"/>
    <x v="11"/>
    <x v="12"/>
    <n v="12.2"/>
    <n v="26.142857142857142"/>
    <x v="1"/>
    <x v="1"/>
  </r>
  <r>
    <x v="15"/>
    <x v="18"/>
    <s v="11/20/2016 11:32"/>
    <x v="15"/>
    <d v="1899-12-30T11:32:00"/>
    <x v="0"/>
    <d v="1899-12-30T01:05:00"/>
    <n v="1.0833333333333333"/>
    <x v="2"/>
    <x v="3"/>
    <n v="39.200000000000003"/>
    <n v="36.184615384615391"/>
    <x v="1"/>
    <x v="1"/>
  </r>
  <r>
    <x v="16"/>
    <x v="19"/>
    <s v="11/26/2016 19:04"/>
    <x v="16"/>
    <d v="1899-12-30T19:04:00"/>
    <x v="0"/>
    <d v="1899-12-30T00:35:00"/>
    <n v="0.58333333333333337"/>
    <x v="12"/>
    <x v="3"/>
    <n v="13.3"/>
    <n v="22.8"/>
    <x v="1"/>
    <x v="1"/>
  </r>
  <r>
    <x v="2"/>
    <x v="20"/>
    <s v="12/29/2016 14:58"/>
    <x v="2"/>
    <d v="1899-12-30T14:58:00"/>
    <x v="0"/>
    <d v="1899-12-30T00:16:00"/>
    <n v="0.26666666666666666"/>
    <x v="1"/>
    <x v="1"/>
    <n v="6.1"/>
    <n v="22.875"/>
    <x v="1"/>
    <x v="1"/>
  </r>
  <r>
    <x v="17"/>
    <x v="21"/>
    <s v="7/17/2016 11:50"/>
    <x v="17"/>
    <d v="1899-12-30T11:50:00"/>
    <x v="1"/>
    <d v="1899-12-30T00:27:00"/>
    <n v="0.45"/>
    <x v="13"/>
    <x v="14"/>
    <n v="15.1"/>
    <n v="33.555555555555557"/>
    <x v="2"/>
    <x v="2"/>
  </r>
  <r>
    <x v="17"/>
    <x v="22"/>
    <s v="7/17/2016 15:25"/>
    <x v="17"/>
    <d v="1899-12-30T15:25:00"/>
    <x v="1"/>
    <d v="1899-12-30T03:05:00"/>
    <n v="3.0833333333333335"/>
    <x v="14"/>
    <x v="3"/>
    <n v="180.2"/>
    <n v="58.443243243243238"/>
    <x v="3"/>
    <x v="3"/>
  </r>
  <r>
    <x v="18"/>
    <x v="20"/>
    <d v="2016-06-01T15:49:00"/>
    <x v="18"/>
    <d v="1899-12-30T15:49:00"/>
    <x v="0"/>
    <d v="1899-12-30T01:07:00"/>
    <n v="1.1166666666666667"/>
    <x v="15"/>
    <x v="15"/>
    <n v="63.7"/>
    <n v="57.044776119402989"/>
    <x v="4"/>
    <x v="4"/>
  </r>
  <r>
    <x v="19"/>
    <x v="23"/>
    <d v="2016-10-01T12:44:00"/>
    <x v="19"/>
    <d v="1899-12-30T12:44:00"/>
    <x v="0"/>
    <d v="1899-12-30T00:27:00"/>
    <n v="0.45"/>
    <x v="16"/>
    <x v="16"/>
    <n v="16.5"/>
    <n v="36.666666666666664"/>
    <x v="4"/>
    <x v="4"/>
  </r>
  <r>
    <x v="20"/>
    <x v="24"/>
    <d v="2016-12-01T15:28:00"/>
    <x v="20"/>
    <d v="1899-12-30T15:28:00"/>
    <x v="0"/>
    <d v="1899-12-30T00:15:00"/>
    <n v="0.25"/>
    <x v="17"/>
    <x v="17"/>
    <n v="2.4"/>
    <n v="9.6"/>
    <x v="4"/>
    <x v="4"/>
  </r>
  <r>
    <x v="21"/>
    <x v="25"/>
    <m/>
    <x v="21"/>
    <d v="1899-12-30T17:05:00"/>
    <x v="0"/>
    <d v="1899-12-30T00:36:00"/>
    <n v="0.6"/>
    <x v="18"/>
    <x v="18"/>
    <n v="21.9"/>
    <n v="36.5"/>
    <x v="4"/>
    <x v="4"/>
  </r>
  <r>
    <x v="22"/>
    <x v="26"/>
    <m/>
    <x v="22"/>
    <d v="1899-12-30T14:19:00"/>
    <x v="0"/>
    <d v="1899-12-30T00:54:00"/>
    <n v="0.9"/>
    <x v="3"/>
    <x v="3"/>
    <n v="40.200000000000003"/>
    <n v="44.666666666666671"/>
    <x v="4"/>
    <x v="4"/>
  </r>
  <r>
    <x v="23"/>
    <x v="27"/>
    <m/>
    <x v="23"/>
    <d v="1899-12-30T10:48:00"/>
    <x v="0"/>
    <d v="1899-12-30T00:29:00"/>
    <n v="0.48333333333333334"/>
    <x v="2"/>
    <x v="2"/>
    <n v="18.7"/>
    <n v="38.689655172413794"/>
    <x v="4"/>
    <x v="4"/>
  </r>
  <r>
    <x v="23"/>
    <x v="28"/>
    <m/>
    <x v="23"/>
    <d v="1899-12-30T12:44:00"/>
    <x v="0"/>
    <d v="1899-12-30T00:10:00"/>
    <n v="0.16666666666666666"/>
    <x v="19"/>
    <x v="19"/>
    <n v="3.4"/>
    <n v="20.400000000000002"/>
    <x v="4"/>
    <x v="4"/>
  </r>
  <r>
    <x v="23"/>
    <x v="29"/>
    <m/>
    <x v="23"/>
    <d v="1899-12-30T14:13:00"/>
    <x v="0"/>
    <d v="1899-12-30T00:08:00"/>
    <n v="0.13333333333333333"/>
    <x v="3"/>
    <x v="2"/>
    <n v="2.7"/>
    <n v="20.25"/>
    <x v="4"/>
    <x v="4"/>
  </r>
  <r>
    <x v="23"/>
    <x v="30"/>
    <m/>
    <x v="23"/>
    <d v="1899-12-30T15:08:00"/>
    <x v="0"/>
    <d v="1899-12-30T00:22:00"/>
    <n v="0.36666666666666664"/>
    <x v="3"/>
    <x v="3"/>
    <n v="12.9"/>
    <n v="35.181818181818187"/>
    <x v="4"/>
    <x v="4"/>
  </r>
  <r>
    <x v="24"/>
    <x v="31"/>
    <m/>
    <x v="24"/>
    <d v="1899-12-30T09:45:00"/>
    <x v="0"/>
    <d v="1899-12-30T00:14:00"/>
    <n v="0.23333333333333334"/>
    <x v="2"/>
    <x v="3"/>
    <n v="4.5999999999999996"/>
    <n v="19.714285714285712"/>
    <x v="4"/>
    <x v="4"/>
  </r>
  <r>
    <x v="25"/>
    <x v="32"/>
    <m/>
    <x v="25"/>
    <d v="1899-12-30T18:24:00"/>
    <x v="0"/>
    <d v="1899-12-30T00:15:00"/>
    <n v="0.25"/>
    <x v="20"/>
    <x v="3"/>
    <n v="5.7"/>
    <n v="22.8"/>
    <x v="4"/>
    <x v="4"/>
  </r>
  <r>
    <x v="26"/>
    <x v="33"/>
    <d v="2016-01-02T11:15:00"/>
    <x v="26"/>
    <d v="1899-12-30T11:15:00"/>
    <x v="0"/>
    <d v="1899-12-30T00:40:00"/>
    <n v="0.66666666666666663"/>
    <x v="2"/>
    <x v="20"/>
    <n v="19.399999999999999"/>
    <n v="29.099999999999998"/>
    <x v="4"/>
    <x v="4"/>
  </r>
  <r>
    <x v="26"/>
    <x v="34"/>
    <d v="2016-01-02T12:43:00"/>
    <x v="26"/>
    <d v="1899-12-30T12:43:00"/>
    <x v="0"/>
    <d v="1899-12-30T00:33:00"/>
    <n v="0.55000000000000004"/>
    <x v="21"/>
    <x v="3"/>
    <n v="23.3"/>
    <n v="42.36363636363636"/>
    <x v="4"/>
    <x v="4"/>
  </r>
  <r>
    <x v="27"/>
    <x v="35"/>
    <d v="2016-07-02T18:17:00"/>
    <x v="27"/>
    <d v="1899-12-30T18:17:00"/>
    <x v="0"/>
    <d v="1899-12-30T00:14:00"/>
    <n v="0.23333333333333334"/>
    <x v="20"/>
    <x v="3"/>
    <n v="5.7"/>
    <n v="24.428571428571431"/>
    <x v="4"/>
    <x v="4"/>
  </r>
  <r>
    <x v="28"/>
    <x v="36"/>
    <d v="2016-12-02T11:35:00"/>
    <x v="28"/>
    <d v="1899-12-30T11:35:00"/>
    <x v="0"/>
    <d v="1899-12-30T00:21:00"/>
    <n v="0.35"/>
    <x v="5"/>
    <x v="2"/>
    <n v="17"/>
    <n v="48.571428571428577"/>
    <x v="4"/>
    <x v="4"/>
  </r>
  <r>
    <x v="28"/>
    <x v="37"/>
    <d v="2016-12-02T16:06:00"/>
    <x v="28"/>
    <d v="1899-12-30T16:06:00"/>
    <x v="0"/>
    <d v="1899-12-30T00:33:00"/>
    <n v="0.55000000000000004"/>
    <x v="5"/>
    <x v="3"/>
    <n v="11.5"/>
    <n v="20.909090909090907"/>
    <x v="4"/>
    <x v="4"/>
  </r>
  <r>
    <x v="29"/>
    <x v="38"/>
    <s v="2/16/2016 4:13"/>
    <x v="29"/>
    <d v="1899-12-30T04:13:00"/>
    <x v="0"/>
    <d v="1899-12-30T00:52:00"/>
    <n v="0.8666666666666667"/>
    <x v="22"/>
    <x v="0"/>
    <n v="43.7"/>
    <n v="50.423076923076927"/>
    <x v="4"/>
    <x v="4"/>
  </r>
  <r>
    <x v="30"/>
    <x v="39"/>
    <s v="2/18/2016 18:58"/>
    <x v="30"/>
    <d v="1899-12-30T18:58:00"/>
    <x v="0"/>
    <d v="1899-12-30T00:14:00"/>
    <n v="0.23333333333333334"/>
    <x v="0"/>
    <x v="21"/>
    <n v="5.2"/>
    <n v="22.285714285714285"/>
    <x v="4"/>
    <x v="4"/>
  </r>
  <r>
    <x v="31"/>
    <x v="40"/>
    <s v="2/22/2016 22:09"/>
    <x v="31"/>
    <d v="1899-12-30T22:09:00"/>
    <x v="0"/>
    <d v="1899-12-30T00:15:00"/>
    <n v="0.25"/>
    <x v="5"/>
    <x v="3"/>
    <n v="8.1"/>
    <n v="32.4"/>
    <x v="4"/>
    <x v="4"/>
  </r>
  <r>
    <x v="32"/>
    <x v="41"/>
    <s v="2/29/2016 17:00"/>
    <x v="32"/>
    <d v="1899-12-30T17:00:00"/>
    <x v="0"/>
    <d v="1899-12-30T00:20:00"/>
    <n v="0.33333333333333331"/>
    <x v="23"/>
    <x v="6"/>
    <n v="6.6"/>
    <n v="19.8"/>
    <x v="4"/>
    <x v="4"/>
  </r>
  <r>
    <x v="33"/>
    <x v="42"/>
    <d v="2016-03-03T15:48:00"/>
    <x v="33"/>
    <d v="1899-12-30T15:48:00"/>
    <x v="0"/>
    <d v="1899-12-30T00:21:00"/>
    <n v="0.35"/>
    <x v="2"/>
    <x v="2"/>
    <n v="7.6"/>
    <n v="21.714285714285715"/>
    <x v="4"/>
    <x v="4"/>
  </r>
  <r>
    <x v="34"/>
    <x v="43"/>
    <d v="2016-04-03T10:03:00"/>
    <x v="34"/>
    <d v="1899-12-30T10:03:00"/>
    <x v="0"/>
    <d v="1899-12-30T00:17:00"/>
    <n v="0.28333333333333333"/>
    <x v="24"/>
    <x v="3"/>
    <n v="9.9"/>
    <n v="34.941176470588239"/>
    <x v="4"/>
    <x v="4"/>
  </r>
  <r>
    <x v="34"/>
    <x v="44"/>
    <d v="2016-04-03T14:09:00"/>
    <x v="34"/>
    <d v="1899-12-30T14:09:00"/>
    <x v="0"/>
    <d v="1899-12-30T00:29:00"/>
    <n v="0.48333333333333334"/>
    <x v="2"/>
    <x v="2"/>
    <n v="15.7"/>
    <n v="32.482758620689651"/>
    <x v="4"/>
    <x v="4"/>
  </r>
  <r>
    <x v="4"/>
    <x v="45"/>
    <d v="2016-07-03T09:47:00"/>
    <x v="4"/>
    <d v="1899-12-30T09:47:00"/>
    <x v="0"/>
    <d v="1899-12-30T00:24:00"/>
    <n v="0.4"/>
    <x v="2"/>
    <x v="2"/>
    <n v="12.4"/>
    <n v="31"/>
    <x v="4"/>
    <x v="4"/>
  </r>
  <r>
    <x v="4"/>
    <x v="34"/>
    <d v="2016-07-03T12:26:00"/>
    <x v="4"/>
    <d v="1899-12-30T12:26:00"/>
    <x v="0"/>
    <d v="1899-12-30T00:16:00"/>
    <n v="0.26666666666666666"/>
    <x v="25"/>
    <x v="19"/>
    <n v="5.9"/>
    <n v="22.125"/>
    <x v="4"/>
    <x v="4"/>
  </r>
  <r>
    <x v="35"/>
    <x v="46"/>
    <s v="3/17/2016 15:11"/>
    <x v="35"/>
    <d v="1899-12-30T15:11:00"/>
    <x v="0"/>
    <d v="1899-12-30T02:19:00"/>
    <n v="2.3166666666666669"/>
    <x v="26"/>
    <x v="22"/>
    <n v="136"/>
    <n v="58.705035971223019"/>
    <x v="4"/>
    <x v="4"/>
  </r>
  <r>
    <x v="36"/>
    <x v="47"/>
    <s v="3/18/2016 21:15"/>
    <x v="36"/>
    <d v="1899-12-30T21:15:00"/>
    <x v="0"/>
    <d v="1899-12-30T00:14:00"/>
    <n v="0.23333333333333334"/>
    <x v="27"/>
    <x v="23"/>
    <n v="9.1999999999999993"/>
    <n v="39.428571428571423"/>
    <x v="4"/>
    <x v="4"/>
  </r>
  <r>
    <x v="37"/>
    <x v="48"/>
    <s v="3/19/2016 13:13"/>
    <x v="37"/>
    <d v="1899-12-30T13:13:00"/>
    <x v="0"/>
    <d v="1899-12-30T00:23:00"/>
    <n v="0.38333333333333336"/>
    <x v="18"/>
    <x v="24"/>
    <n v="12"/>
    <n v="31.304347826086953"/>
    <x v="4"/>
    <x v="4"/>
  </r>
  <r>
    <x v="37"/>
    <x v="49"/>
    <s v="3/19/2016 14:57"/>
    <x v="37"/>
    <d v="1899-12-30T14:57:00"/>
    <x v="0"/>
    <d v="1899-12-30T00:56:00"/>
    <n v="0.93333333333333335"/>
    <x v="28"/>
    <x v="18"/>
    <n v="35.1"/>
    <n v="37.607142857142861"/>
    <x v="4"/>
    <x v="4"/>
  </r>
  <r>
    <x v="37"/>
    <x v="50"/>
    <s v="3/19/2016 20:39"/>
    <x v="37"/>
    <d v="1899-12-30T20:39:00"/>
    <x v="0"/>
    <d v="1899-12-30T01:06:00"/>
    <n v="1.1000000000000001"/>
    <x v="29"/>
    <x v="18"/>
    <n v="57"/>
    <n v="51.818181818181813"/>
    <x v="4"/>
    <x v="4"/>
  </r>
  <r>
    <x v="38"/>
    <x v="51"/>
    <s v="3/20/2016 19:06"/>
    <x v="38"/>
    <d v="1899-12-30T19:06:00"/>
    <x v="0"/>
    <d v="1899-12-30T00:21:00"/>
    <n v="0.35"/>
    <x v="30"/>
    <x v="23"/>
    <n v="9.6"/>
    <n v="27.428571428571431"/>
    <x v="4"/>
    <x v="4"/>
  </r>
  <r>
    <x v="39"/>
    <x v="52"/>
    <s v="3/25/2016 16:22"/>
    <x v="39"/>
    <d v="1899-12-30T16:22:00"/>
    <x v="0"/>
    <d v="1899-12-30T02:58:00"/>
    <n v="2.9666666666666668"/>
    <x v="2"/>
    <x v="25"/>
    <n v="144"/>
    <n v="48.539325842696627"/>
    <x v="4"/>
    <x v="4"/>
  </r>
  <r>
    <x v="39"/>
    <x v="53"/>
    <s v="3/25/2016 22:22"/>
    <x v="39"/>
    <d v="1899-12-30T22:22:00"/>
    <x v="0"/>
    <d v="1899-12-30T05:30:00"/>
    <n v="5.5"/>
    <x v="31"/>
    <x v="26"/>
    <n v="310.3"/>
    <n v="56.418181818181822"/>
    <x v="4"/>
    <x v="4"/>
  </r>
  <r>
    <x v="40"/>
    <x v="54"/>
    <s v="3/27/2016 15:56"/>
    <x v="40"/>
    <d v="1899-12-30T15:56:00"/>
    <x v="0"/>
    <d v="1899-12-30T00:25:00"/>
    <n v="0.41666666666666669"/>
    <x v="32"/>
    <x v="27"/>
    <n v="6.1"/>
    <n v="14.639999999999999"/>
    <x v="4"/>
    <x v="4"/>
  </r>
  <r>
    <x v="41"/>
    <x v="55"/>
    <d v="2016-01-04T15:24:00"/>
    <x v="41"/>
    <d v="1899-12-30T15:24:00"/>
    <x v="0"/>
    <d v="1899-12-30T00:48:00"/>
    <n v="0.8"/>
    <x v="32"/>
    <x v="27"/>
    <n v="15.5"/>
    <n v="19.375"/>
    <x v="4"/>
    <x v="4"/>
  </r>
  <r>
    <x v="42"/>
    <x v="56"/>
    <d v="2016-02-04T14:47:00"/>
    <x v="42"/>
    <d v="1899-12-30T14:47:00"/>
    <x v="0"/>
    <d v="1899-12-30T02:26:00"/>
    <n v="2.4333333333333331"/>
    <x v="32"/>
    <x v="28"/>
    <n v="77.3"/>
    <n v="31.767123287671236"/>
    <x v="4"/>
    <x v="4"/>
  </r>
  <r>
    <x v="42"/>
    <x v="57"/>
    <d v="2016-02-04T18:09:00"/>
    <x v="42"/>
    <d v="1899-12-30T18:09:00"/>
    <x v="0"/>
    <d v="1899-12-30T01:12:00"/>
    <n v="1.2"/>
    <x v="33"/>
    <x v="26"/>
    <n v="80.5"/>
    <n v="67.083333333333343"/>
    <x v="4"/>
    <x v="4"/>
  </r>
  <r>
    <x v="42"/>
    <x v="58"/>
    <d v="2016-02-04T22:36:00"/>
    <x v="42"/>
    <d v="1899-12-30T22:36:00"/>
    <x v="0"/>
    <d v="1899-12-30T02:58:00"/>
    <n v="2.9666666666666668"/>
    <x v="34"/>
    <x v="29"/>
    <n v="174.2"/>
    <n v="58.7191011235955"/>
    <x v="4"/>
    <x v="4"/>
  </r>
  <r>
    <x v="43"/>
    <x v="59"/>
    <d v="2016-12-04T11:18:00"/>
    <x v="43"/>
    <d v="1899-12-30T11:18:00"/>
    <x v="0"/>
    <d v="1899-12-30T00:20:00"/>
    <n v="0.33333333333333331"/>
    <x v="35"/>
    <x v="30"/>
    <n v="7.5"/>
    <n v="22.5"/>
    <x v="4"/>
    <x v="4"/>
  </r>
  <r>
    <x v="44"/>
    <x v="60"/>
    <s v="4/28/2016 12:34"/>
    <x v="44"/>
    <d v="1899-12-30T12:34:00"/>
    <x v="0"/>
    <d v="1899-12-30T00:25:00"/>
    <n v="0.41666666666666669"/>
    <x v="2"/>
    <x v="2"/>
    <n v="12.4"/>
    <n v="29.759999999999998"/>
    <x v="4"/>
    <x v="4"/>
  </r>
  <r>
    <x v="44"/>
    <x v="7"/>
    <s v="4/28/2016 13:49"/>
    <x v="44"/>
    <d v="1899-12-30T13:49:00"/>
    <x v="0"/>
    <d v="1899-12-30T00:19:00"/>
    <n v="0.31666666666666665"/>
    <x v="3"/>
    <x v="3"/>
    <n v="32.799999999999997"/>
    <n v="103.57894736842105"/>
    <x v="4"/>
    <x v="4"/>
  </r>
  <r>
    <x v="44"/>
    <x v="61"/>
    <s v="4/28/2016 22:28"/>
    <x v="44"/>
    <d v="1899-12-30T22:28:00"/>
    <x v="0"/>
    <d v="1899-12-30T00:18:00"/>
    <n v="0.3"/>
    <x v="5"/>
    <x v="3"/>
    <n v="5.5"/>
    <n v="18.333333333333336"/>
    <x v="4"/>
    <x v="4"/>
  </r>
  <r>
    <x v="45"/>
    <x v="62"/>
    <s v="4/29/2016 19:18"/>
    <x v="45"/>
    <d v="1899-12-30T19:18:00"/>
    <x v="0"/>
    <d v="1899-12-30T00:32:00"/>
    <n v="0.53333333333333333"/>
    <x v="2"/>
    <x v="31"/>
    <n v="14.2"/>
    <n v="26.625"/>
    <x v="4"/>
    <x v="4"/>
  </r>
  <r>
    <x v="46"/>
    <x v="63"/>
    <d v="2016-06-05T17:44:00"/>
    <x v="46"/>
    <d v="1899-12-30T17:44:00"/>
    <x v="0"/>
    <d v="1899-12-30T00:26:00"/>
    <n v="0.43333333333333335"/>
    <x v="5"/>
    <x v="3"/>
    <n v="7.9"/>
    <n v="18.23076923076923"/>
    <x v="4"/>
    <x v="4"/>
  </r>
  <r>
    <x v="9"/>
    <x v="64"/>
    <d v="2016-09-05T06:25:00"/>
    <x v="9"/>
    <d v="1899-12-30T06:25:00"/>
    <x v="0"/>
    <d v="1899-12-30T00:17:00"/>
    <n v="0.28333333333333333"/>
    <x v="2"/>
    <x v="32"/>
    <n v="8.4"/>
    <n v="29.647058823529413"/>
    <x v="4"/>
    <x v="4"/>
  </r>
  <r>
    <x v="9"/>
    <x v="65"/>
    <d v="2016-09-05T18:26:00"/>
    <x v="9"/>
    <d v="1899-12-30T18:26:00"/>
    <x v="0"/>
    <d v="1899-12-30T00:28:00"/>
    <n v="0.46666666666666667"/>
    <x v="36"/>
    <x v="33"/>
    <n v="9.8000000000000007"/>
    <n v="21"/>
    <x v="4"/>
    <x v="4"/>
  </r>
  <r>
    <x v="9"/>
    <x v="66"/>
    <d v="2016-09-05T19:59:00"/>
    <x v="9"/>
    <d v="1899-12-30T19:59:00"/>
    <x v="0"/>
    <d v="1899-12-30T00:24:00"/>
    <n v="0.4"/>
    <x v="37"/>
    <x v="34"/>
    <n v="17.600000000000001"/>
    <n v="44"/>
    <x v="4"/>
    <x v="4"/>
  </r>
  <r>
    <x v="47"/>
    <x v="67"/>
    <d v="2016-10-05T09:20:00"/>
    <x v="47"/>
    <d v="1899-12-30T09:20:00"/>
    <x v="0"/>
    <d v="1899-12-30T00:17:00"/>
    <n v="0.28333333333333333"/>
    <x v="38"/>
    <x v="35"/>
    <n v="9.3000000000000007"/>
    <n v="32.82352941176471"/>
    <x v="4"/>
    <x v="4"/>
  </r>
  <r>
    <x v="47"/>
    <x v="68"/>
    <d v="2016-10-05T17:31:00"/>
    <x v="47"/>
    <d v="1899-12-30T17:31:00"/>
    <x v="0"/>
    <d v="1899-12-30T00:12:00"/>
    <n v="0.2"/>
    <x v="39"/>
    <x v="34"/>
    <n v="7.9"/>
    <n v="39.5"/>
    <x v="4"/>
    <x v="4"/>
  </r>
  <r>
    <x v="48"/>
    <x v="69"/>
    <s v="5/18/2016 9:41"/>
    <x v="48"/>
    <d v="1899-12-30T09:41:00"/>
    <x v="0"/>
    <d v="1899-12-30T00:30:00"/>
    <n v="0.5"/>
    <x v="2"/>
    <x v="32"/>
    <n v="8.4"/>
    <n v="16.8"/>
    <x v="4"/>
    <x v="4"/>
  </r>
  <r>
    <x v="48"/>
    <x v="70"/>
    <s v="5/18/2016 13:02"/>
    <x v="48"/>
    <d v="1899-12-30T13:02:00"/>
    <x v="0"/>
    <d v="1899-12-30T00:02:00"/>
    <n v="3.3333333333333333E-2"/>
    <x v="5"/>
    <x v="2"/>
    <n v="7.6"/>
    <n v="228"/>
    <x v="4"/>
    <x v="4"/>
  </r>
  <r>
    <x v="49"/>
    <x v="71"/>
    <s v="5/28/2016 15:04"/>
    <x v="49"/>
    <d v="1899-12-30T15:04:00"/>
    <x v="0"/>
    <d v="1899-12-30T00:29:00"/>
    <n v="0.48333333333333334"/>
    <x v="5"/>
    <x v="3"/>
    <n v="11.3"/>
    <n v="23.379310344827587"/>
    <x v="4"/>
    <x v="4"/>
  </r>
  <r>
    <x v="50"/>
    <x v="27"/>
    <d v="2016-01-06T10:47:00"/>
    <x v="50"/>
    <d v="1899-12-30T10:47:00"/>
    <x v="0"/>
    <d v="1899-12-30T00:28:00"/>
    <n v="0.46666666666666667"/>
    <x v="2"/>
    <x v="32"/>
    <n v="6.7"/>
    <n v="14.357142857142858"/>
    <x v="4"/>
    <x v="4"/>
  </r>
  <r>
    <x v="51"/>
    <x v="72"/>
    <d v="2016-05-06T14:33:00"/>
    <x v="51"/>
    <d v="1899-12-30T14:33:00"/>
    <x v="0"/>
    <d v="1899-12-30T00:30:00"/>
    <n v="0.5"/>
    <x v="4"/>
    <x v="36"/>
    <n v="7.8"/>
    <n v="15.6"/>
    <x v="4"/>
    <x v="4"/>
  </r>
  <r>
    <x v="51"/>
    <x v="73"/>
    <d v="2016-05-06T15:22:00"/>
    <x v="51"/>
    <d v="1899-12-30T15:22:00"/>
    <x v="0"/>
    <d v="1899-12-30T00:16:00"/>
    <n v="0.26666666666666666"/>
    <x v="2"/>
    <x v="32"/>
    <n v="7.8"/>
    <n v="29.25"/>
    <x v="4"/>
    <x v="4"/>
  </r>
  <r>
    <x v="52"/>
    <x v="74"/>
    <s v="6/13/2016 20:05"/>
    <x v="52"/>
    <d v="1899-12-30T20:05:00"/>
    <x v="0"/>
    <d v="1899-12-30T00:05:00"/>
    <n v="8.3333333333333329E-2"/>
    <x v="40"/>
    <x v="0"/>
    <n v="5.2"/>
    <n v="62.400000000000006"/>
    <x v="4"/>
    <x v="4"/>
  </r>
  <r>
    <x v="11"/>
    <x v="75"/>
    <s v="6/15/2016 17:02"/>
    <x v="11"/>
    <d v="1899-12-30T17:02:00"/>
    <x v="0"/>
    <d v="1899-12-30T00:25:00"/>
    <n v="0.41666666666666669"/>
    <x v="41"/>
    <x v="37"/>
    <n v="6.4"/>
    <n v="15.36"/>
    <x v="4"/>
    <x v="4"/>
  </r>
  <r>
    <x v="53"/>
    <x v="76"/>
    <s v="6/28/2016 1:05"/>
    <x v="53"/>
    <d v="1899-12-30T01:05:00"/>
    <x v="0"/>
    <d v="1899-12-30T00:17:00"/>
    <n v="0.28333333333333333"/>
    <x v="5"/>
    <x v="3"/>
    <n v="8.1999999999999993"/>
    <n v="28.941176470588232"/>
    <x v="4"/>
    <x v="4"/>
  </r>
  <r>
    <x v="54"/>
    <x v="77"/>
    <d v="2016-06-07T23:59:00"/>
    <x v="54"/>
    <d v="1899-12-30T23:59:00"/>
    <x v="0"/>
    <d v="1899-12-30T00:13:00"/>
    <n v="0.21666666666666667"/>
    <x v="5"/>
    <x v="3"/>
    <n v="3.1"/>
    <n v="14.307692307692308"/>
    <x v="4"/>
    <x v="4"/>
  </r>
  <r>
    <x v="55"/>
    <x v="33"/>
    <s v="7/19/2016 10:51"/>
    <x v="55"/>
    <d v="1899-12-30T10:51:00"/>
    <x v="0"/>
    <d v="1899-12-30T00:16:00"/>
    <n v="0.26666666666666666"/>
    <x v="4"/>
    <x v="38"/>
    <n v="6.4"/>
    <n v="24"/>
    <x v="4"/>
    <x v="4"/>
  </r>
  <r>
    <x v="56"/>
    <x v="78"/>
    <d v="2016-07-08T17:43:00"/>
    <x v="56"/>
    <d v="1899-12-30T17:43:00"/>
    <x v="0"/>
    <d v="1899-12-30T00:15:00"/>
    <n v="0.25"/>
    <x v="42"/>
    <x v="6"/>
    <n v="2.7"/>
    <n v="10.8"/>
    <x v="4"/>
    <x v="4"/>
  </r>
  <r>
    <x v="57"/>
    <x v="79"/>
    <d v="2016-08-08T17:13:00"/>
    <x v="57"/>
    <d v="1899-12-30T17:13:00"/>
    <x v="0"/>
    <d v="1899-12-30T00:11:00"/>
    <n v="0.18333333333333332"/>
    <x v="42"/>
    <x v="6"/>
    <n v="2.7"/>
    <n v="14.727272727272728"/>
    <x v="4"/>
    <x v="4"/>
  </r>
  <r>
    <x v="57"/>
    <x v="80"/>
    <d v="2016-08-08T23:37:00"/>
    <x v="57"/>
    <d v="1899-12-30T23:37:00"/>
    <x v="0"/>
    <d v="1899-12-30T00:09:00"/>
    <n v="0.15"/>
    <x v="5"/>
    <x v="3"/>
    <n v="3.2"/>
    <n v="21.333333333333336"/>
    <x v="4"/>
    <x v="4"/>
  </r>
  <r>
    <x v="58"/>
    <x v="81"/>
    <s v="10/23/2016 21:25"/>
    <x v="58"/>
    <d v="1899-12-30T21:25:00"/>
    <x v="0"/>
    <d v="1899-12-30T00:15:00"/>
    <n v="0.25"/>
    <x v="5"/>
    <x v="3"/>
    <n v="3.1"/>
    <n v="12.4"/>
    <x v="4"/>
    <x v="4"/>
  </r>
  <r>
    <x v="59"/>
    <x v="82"/>
    <d v="2016-03-11T22:58:00"/>
    <x v="59"/>
    <d v="1899-12-30T22:58:00"/>
    <x v="0"/>
    <d v="1899-12-30T00:12:00"/>
    <n v="0.2"/>
    <x v="5"/>
    <x v="3"/>
    <n v="3.1"/>
    <n v="15.5"/>
    <x v="4"/>
    <x v="4"/>
  </r>
  <r>
    <x v="60"/>
    <x v="83"/>
    <d v="2016-06-11T17:28:00"/>
    <x v="60"/>
    <d v="1899-12-30T17:28:00"/>
    <x v="0"/>
    <d v="1899-12-30T01:01:00"/>
    <n v="1.0166666666666666"/>
    <x v="43"/>
    <x v="13"/>
    <n v="43.9"/>
    <n v="43.180327868852459"/>
    <x v="4"/>
    <x v="4"/>
  </r>
  <r>
    <x v="61"/>
    <x v="84"/>
    <d v="2016-09-11T19:17:00"/>
    <x v="61"/>
    <d v="1899-12-30T19:17:00"/>
    <x v="0"/>
    <d v="1899-12-30T00:37:00"/>
    <n v="0.6166666666666667"/>
    <x v="7"/>
    <x v="39"/>
    <n v="12.7"/>
    <n v="20.594594594594593"/>
    <x v="4"/>
    <x v="4"/>
  </r>
  <r>
    <x v="62"/>
    <x v="85"/>
    <d v="2016-11-11T10:23:00"/>
    <x v="62"/>
    <d v="1899-12-30T10:23:00"/>
    <x v="0"/>
    <d v="1899-12-30T00:48:00"/>
    <n v="0.8"/>
    <x v="11"/>
    <x v="35"/>
    <n v="45.9"/>
    <n v="57.374999999999993"/>
    <x v="4"/>
    <x v="4"/>
  </r>
  <r>
    <x v="62"/>
    <x v="10"/>
    <d v="2016-11-11T15:46:00"/>
    <x v="62"/>
    <d v="1899-12-30T15:46:00"/>
    <x v="0"/>
    <d v="1899-12-30T01:07:00"/>
    <n v="1.1166666666666667"/>
    <x v="39"/>
    <x v="13"/>
    <n v="36.6"/>
    <n v="32.776119402985074"/>
    <x v="4"/>
    <x v="4"/>
  </r>
  <r>
    <x v="63"/>
    <x v="86"/>
    <s v="11/14/2016 12:13"/>
    <x v="63"/>
    <d v="1899-12-30T12:13:00"/>
    <x v="0"/>
    <d v="1899-12-30T00:49:00"/>
    <n v="0.81666666666666665"/>
    <x v="11"/>
    <x v="40"/>
    <n v="44.6"/>
    <n v="54.612244897959187"/>
    <x v="4"/>
    <x v="4"/>
  </r>
  <r>
    <x v="63"/>
    <x v="44"/>
    <s v="11/14/2016 14:33"/>
    <x v="63"/>
    <d v="1899-12-30T14:33:00"/>
    <x v="0"/>
    <d v="1899-12-30T00:53:00"/>
    <n v="0.8833333333333333"/>
    <x v="44"/>
    <x v="13"/>
    <n v="43.6"/>
    <n v="49.358490566037737"/>
    <x v="4"/>
    <x v="4"/>
  </r>
  <r>
    <x v="64"/>
    <x v="87"/>
    <s v="11/17/2016 10:44"/>
    <x v="64"/>
    <d v="1899-12-30T10:44:00"/>
    <x v="0"/>
    <d v="1899-12-30T00:31:00"/>
    <n v="0.51666666666666672"/>
    <x v="11"/>
    <x v="39"/>
    <n v="16.3"/>
    <n v="31.548387096774192"/>
    <x v="4"/>
    <x v="4"/>
  </r>
  <r>
    <x v="65"/>
    <x v="88"/>
    <s v="11/19/2016 21:35"/>
    <x v="65"/>
    <d v="1899-12-30T21:35:00"/>
    <x v="0"/>
    <d v="1899-12-30T00:21:00"/>
    <n v="0.35"/>
    <x v="20"/>
    <x v="3"/>
    <n v="5.4"/>
    <n v="15.428571428571431"/>
    <x v="4"/>
    <x v="4"/>
  </r>
  <r>
    <x v="15"/>
    <x v="89"/>
    <s v="11/20/2016 12:28"/>
    <x v="15"/>
    <d v="1899-12-30T12:28:00"/>
    <x v="0"/>
    <d v="1899-12-30T00:30:00"/>
    <n v="0.5"/>
    <x v="2"/>
    <x v="3"/>
    <n v="6.4"/>
    <n v="12.8"/>
    <x v="4"/>
    <x v="4"/>
  </r>
  <r>
    <x v="66"/>
    <x v="90"/>
    <s v="11/22/2016 16:43"/>
    <x v="66"/>
    <d v="1899-12-30T16:43:00"/>
    <x v="0"/>
    <d v="1899-12-30T00:52:00"/>
    <n v="0.8666666666666667"/>
    <x v="2"/>
    <x v="3"/>
    <n v="12.7"/>
    <n v="14.653846153846153"/>
    <x v="4"/>
    <x v="4"/>
  </r>
  <r>
    <x v="66"/>
    <x v="91"/>
    <s v="11/22/2016 21:14"/>
    <x v="66"/>
    <d v="1899-12-30T21:14:00"/>
    <x v="0"/>
    <d v="1899-12-30T00:12:00"/>
    <n v="0.2"/>
    <x v="5"/>
    <x v="3"/>
    <n v="3.5"/>
    <n v="17.5"/>
    <x v="4"/>
    <x v="4"/>
  </r>
  <r>
    <x v="67"/>
    <x v="92"/>
    <s v="11/30/2016 11:34"/>
    <x v="67"/>
    <d v="1899-12-30T11:34:00"/>
    <x v="0"/>
    <d v="1899-12-30T00:31:00"/>
    <n v="0.51666666666666672"/>
    <x v="2"/>
    <x v="2"/>
    <n v="8.5"/>
    <n v="16.451612903225804"/>
    <x v="4"/>
    <x v="4"/>
  </r>
  <r>
    <x v="68"/>
    <x v="93"/>
    <d v="2016-01-12T20:46:00"/>
    <x v="68"/>
    <d v="1899-12-30T20:46:00"/>
    <x v="0"/>
    <d v="1899-12-30T00:10:00"/>
    <n v="0.16666666666666666"/>
    <x v="5"/>
    <x v="3"/>
    <n v="2.9"/>
    <n v="17.400000000000002"/>
    <x v="4"/>
    <x v="4"/>
  </r>
  <r>
    <x v="69"/>
    <x v="94"/>
    <d v="2016-02-12T13:22:00"/>
    <x v="69"/>
    <d v="1899-12-30T13:22:00"/>
    <x v="0"/>
    <d v="1899-12-30T00:15:00"/>
    <n v="0.25"/>
    <x v="20"/>
    <x v="3"/>
    <n v="5.3"/>
    <n v="21.2"/>
    <x v="4"/>
    <x v="4"/>
  </r>
  <r>
    <x v="69"/>
    <x v="95"/>
    <d v="2016-02-12T23:07:00"/>
    <x v="69"/>
    <d v="1899-12-30T23:07:00"/>
    <x v="0"/>
    <d v="1899-12-30T00:08:00"/>
    <n v="0.13333333333333333"/>
    <x v="5"/>
    <x v="3"/>
    <n v="3"/>
    <n v="22.5"/>
    <x v="4"/>
    <x v="4"/>
  </r>
  <r>
    <x v="70"/>
    <x v="96"/>
    <d v="2016-03-12T20:41:00"/>
    <x v="70"/>
    <d v="1899-12-30T20:41:00"/>
    <x v="0"/>
    <d v="1899-12-30T00:10:00"/>
    <n v="0.16666666666666666"/>
    <x v="5"/>
    <x v="3"/>
    <n v="3"/>
    <n v="18"/>
    <x v="4"/>
    <x v="4"/>
  </r>
  <r>
    <x v="71"/>
    <x v="97"/>
    <d v="2016-04-12T20:34:00"/>
    <x v="71"/>
    <d v="1899-12-30T20:34:00"/>
    <x v="0"/>
    <d v="1899-12-30T00:11:00"/>
    <n v="0.18333333333333332"/>
    <x v="5"/>
    <x v="3"/>
    <n v="3.4"/>
    <n v="18.545454545454547"/>
    <x v="4"/>
    <x v="4"/>
  </r>
  <r>
    <x v="72"/>
    <x v="98"/>
    <d v="2016-07-12T20:13:00"/>
    <x v="72"/>
    <d v="1899-12-30T20:13:00"/>
    <x v="0"/>
    <d v="1899-12-30T00:20:00"/>
    <n v="0.33333333333333331"/>
    <x v="2"/>
    <x v="3"/>
    <n v="7"/>
    <n v="21"/>
    <x v="4"/>
    <x v="4"/>
  </r>
  <r>
    <x v="73"/>
    <x v="99"/>
    <d v="2016-09-12T22:57:00"/>
    <x v="73"/>
    <d v="1899-12-30T22:57:00"/>
    <x v="0"/>
    <d v="1899-12-30T00:54:00"/>
    <n v="0.9"/>
    <x v="2"/>
    <x v="3"/>
    <n v="18.899999999999999"/>
    <n v="20.999999999999996"/>
    <x v="4"/>
    <x v="4"/>
  </r>
  <r>
    <x v="74"/>
    <x v="100"/>
    <d v="2016-10-12T22:21:00"/>
    <x v="74"/>
    <d v="1899-12-30T22:21:00"/>
    <x v="0"/>
    <d v="1899-12-30T00:12:00"/>
    <n v="0.2"/>
    <x v="5"/>
    <x v="3"/>
    <n v="3.1"/>
    <n v="15.5"/>
    <x v="4"/>
    <x v="4"/>
  </r>
  <r>
    <x v="75"/>
    <x v="101"/>
    <d v="2016-12-12T14:39:00"/>
    <x v="75"/>
    <d v="1899-12-30T14:39:00"/>
    <x v="0"/>
    <d v="1899-12-30T00:13:00"/>
    <n v="0.21666666666666667"/>
    <x v="20"/>
    <x v="3"/>
    <n v="4.7"/>
    <n v="21.692307692307693"/>
    <x v="4"/>
    <x v="4"/>
  </r>
  <r>
    <x v="75"/>
    <x v="102"/>
    <d v="2016-12-12T20:57:00"/>
    <x v="75"/>
    <d v="1899-12-30T20:57:00"/>
    <x v="0"/>
    <d v="1899-12-30T00:09:00"/>
    <n v="0.15"/>
    <x v="5"/>
    <x v="3"/>
    <n v="3"/>
    <n v="20"/>
    <x v="4"/>
    <x v="4"/>
  </r>
  <r>
    <x v="76"/>
    <x v="103"/>
    <s v="12/14/2016 20:40"/>
    <x v="76"/>
    <d v="1899-12-30T20:40:00"/>
    <x v="0"/>
    <d v="1899-12-30T00:16:00"/>
    <n v="0.26666666666666666"/>
    <x v="5"/>
    <x v="3"/>
    <n v="3.1"/>
    <n v="11.625"/>
    <x v="4"/>
    <x v="4"/>
  </r>
  <r>
    <x v="77"/>
    <x v="104"/>
    <s v="12/19/2016 15:38"/>
    <x v="77"/>
    <d v="1899-12-30T15:38:00"/>
    <x v="0"/>
    <d v="1899-12-30T00:29:00"/>
    <n v="0.48333333333333334"/>
    <x v="0"/>
    <x v="41"/>
    <n v="10.199999999999999"/>
    <n v="21.103448275862068"/>
    <x v="4"/>
    <x v="4"/>
  </r>
  <r>
    <x v="77"/>
    <x v="105"/>
    <s v="12/19/2016 17:09"/>
    <x v="77"/>
    <d v="1899-12-30T17:09:00"/>
    <x v="0"/>
    <d v="1899-12-30T00:19:00"/>
    <n v="0.31666666666666665"/>
    <x v="45"/>
    <x v="21"/>
    <n v="7.2"/>
    <n v="22.736842105263161"/>
    <x v="4"/>
    <x v="4"/>
  </r>
  <r>
    <x v="78"/>
    <x v="106"/>
    <s v="12/20/2016 19:21"/>
    <x v="78"/>
    <d v="1899-12-30T19:21:00"/>
    <x v="0"/>
    <d v="1899-12-30T00:34:00"/>
    <n v="0.56666666666666665"/>
    <x v="46"/>
    <x v="0"/>
    <n v="10.3"/>
    <n v="18.176470588235297"/>
    <x v="4"/>
    <x v="4"/>
  </r>
  <r>
    <x v="79"/>
    <x v="107"/>
    <s v="12/21/2016 18:31"/>
    <x v="79"/>
    <d v="1899-12-30T18:31:00"/>
    <x v="0"/>
    <d v="1899-12-30T00:32:00"/>
    <n v="0.53333333333333333"/>
    <x v="46"/>
    <x v="0"/>
    <n v="7.2"/>
    <n v="13.5"/>
    <x v="4"/>
    <x v="4"/>
  </r>
  <r>
    <x v="80"/>
    <x v="108"/>
    <s v="12/22/2016 17:20"/>
    <x v="80"/>
    <d v="1899-12-30T17:20:00"/>
    <x v="0"/>
    <d v="1899-12-30T00:16:00"/>
    <n v="0.26666666666666666"/>
    <x v="0"/>
    <x v="0"/>
    <n v="5.3"/>
    <n v="19.875"/>
    <x v="4"/>
    <x v="4"/>
  </r>
  <r>
    <x v="80"/>
    <x v="109"/>
    <s v="12/22/2016 23:32"/>
    <x v="80"/>
    <d v="1899-12-30T23:32:00"/>
    <x v="0"/>
    <d v="1899-12-30T00:05:00"/>
    <n v="8.3333333333333329E-2"/>
    <x v="47"/>
    <x v="42"/>
    <n v="2.1"/>
    <n v="25.200000000000003"/>
    <x v="4"/>
    <x v="4"/>
  </r>
  <r>
    <x v="81"/>
    <x v="110"/>
    <s v="12/26/2016 9:19"/>
    <x v="81"/>
    <d v="1899-12-30T09:19:00"/>
    <x v="0"/>
    <d v="1899-12-30T00:14:00"/>
    <n v="0.23333333333333334"/>
    <x v="47"/>
    <x v="42"/>
    <n v="6.2"/>
    <n v="26.571428571428573"/>
    <x v="4"/>
    <x v="4"/>
  </r>
  <r>
    <x v="81"/>
    <x v="111"/>
    <s v="12/26/2016 10:36"/>
    <x v="81"/>
    <d v="1899-12-30T10:36:00"/>
    <x v="0"/>
    <d v="1899-12-30T00:21:00"/>
    <n v="0.35"/>
    <x v="47"/>
    <x v="42"/>
    <n v="7.7"/>
    <n v="22.000000000000004"/>
    <x v="4"/>
    <x v="4"/>
  </r>
  <r>
    <x v="81"/>
    <x v="112"/>
    <s v="12/26/2016 11:42"/>
    <x v="81"/>
    <d v="1899-12-30T11:42:00"/>
    <x v="0"/>
    <d v="1899-12-30T00:13:00"/>
    <n v="0.21666666666666667"/>
    <x v="47"/>
    <x v="42"/>
    <n v="3.8"/>
    <n v="17.538461538461537"/>
    <x v="4"/>
    <x v="4"/>
  </r>
  <r>
    <x v="82"/>
    <x v="113"/>
    <s v="12/27/2016 15:03"/>
    <x v="82"/>
    <d v="1899-12-30T15:03:00"/>
    <x v="0"/>
    <d v="1899-12-30T00:14:00"/>
    <n v="0.23333333333333334"/>
    <x v="1"/>
    <x v="0"/>
    <n v="3.1"/>
    <n v="13.285714285714286"/>
    <x v="4"/>
    <x v="4"/>
  </r>
  <r>
    <x v="82"/>
    <x v="114"/>
    <s v="12/27/2016 19:50"/>
    <x v="82"/>
    <d v="1899-12-30T19:50:00"/>
    <x v="0"/>
    <d v="1899-12-30T00:31:00"/>
    <n v="0.51666666666666672"/>
    <x v="1"/>
    <x v="1"/>
    <n v="5.5"/>
    <n v="10.64516129032258"/>
    <x v="4"/>
    <x v="4"/>
  </r>
  <r>
    <x v="2"/>
    <x v="115"/>
    <s v="12/29/2016 20:10"/>
    <x v="2"/>
    <d v="1899-12-30T20:10:00"/>
    <x v="0"/>
    <d v="1899-12-30T00:20:00"/>
    <n v="0.33333333333333331"/>
    <x v="0"/>
    <x v="1"/>
    <n v="4.0999999999999996"/>
    <n v="12.299999999999999"/>
    <x v="4"/>
    <x v="4"/>
  </r>
  <r>
    <x v="83"/>
    <x v="116"/>
    <s v="12/30/2016 23:10"/>
    <x v="83"/>
    <d v="1899-12-30T23:10:00"/>
    <x v="0"/>
    <d v="1899-12-30T00:04:00"/>
    <n v="6.6666666666666666E-2"/>
    <x v="1"/>
    <x v="1"/>
    <n v="0.8"/>
    <n v="12"/>
    <x v="4"/>
    <x v="4"/>
  </r>
  <r>
    <x v="84"/>
    <x v="117"/>
    <d v="2016-02-01T20:38:00"/>
    <x v="84"/>
    <d v="1899-12-30T20:38:00"/>
    <x v="0"/>
    <d v="1899-12-30T00:13:00"/>
    <n v="0.21666666666666667"/>
    <x v="15"/>
    <x v="43"/>
    <n v="4.8"/>
    <n v="22.153846153846153"/>
    <x v="5"/>
    <x v="5"/>
  </r>
  <r>
    <x v="85"/>
    <x v="118"/>
    <d v="2016-11-01T12:03:00"/>
    <x v="85"/>
    <d v="1899-12-30T12:03:00"/>
    <x v="0"/>
    <d v="1899-12-30T00:07:00"/>
    <n v="0.11666666666666667"/>
    <x v="48"/>
    <x v="23"/>
    <n v="1.6"/>
    <n v="13.714285714285715"/>
    <x v="5"/>
    <x v="5"/>
  </r>
  <r>
    <x v="20"/>
    <x v="20"/>
    <d v="2016-12-01T14:56:00"/>
    <x v="20"/>
    <d v="1899-12-30T14:56:00"/>
    <x v="0"/>
    <d v="1899-12-30T00:14:00"/>
    <n v="0.23333333333333334"/>
    <x v="49"/>
    <x v="44"/>
    <n v="1.8"/>
    <n v="7.7142857142857144"/>
    <x v="5"/>
    <x v="5"/>
  </r>
  <r>
    <x v="20"/>
    <x v="119"/>
    <d v="2016-12-01T15:54:00"/>
    <x v="20"/>
    <d v="1899-12-30T15:54:00"/>
    <x v="0"/>
    <d v="1899-12-30T00:12:00"/>
    <n v="0.2"/>
    <x v="50"/>
    <x v="23"/>
    <n v="2"/>
    <n v="10"/>
    <x v="5"/>
    <x v="5"/>
  </r>
  <r>
    <x v="21"/>
    <x v="120"/>
    <m/>
    <x v="21"/>
    <d v="1899-12-30T21:45:00"/>
    <x v="0"/>
    <d v="1899-12-30T00:06:00"/>
    <n v="0.1"/>
    <x v="51"/>
    <x v="45"/>
    <n v="3.9"/>
    <n v="39"/>
    <x v="5"/>
    <x v="5"/>
  </r>
  <r>
    <x v="86"/>
    <x v="121"/>
    <m/>
    <x v="86"/>
    <d v="1899-12-30T01:01:00"/>
    <x v="0"/>
    <d v="1899-12-30T00:20:00"/>
    <n v="0.33333333333333331"/>
    <x v="5"/>
    <x v="3"/>
    <n v="8"/>
    <n v="24"/>
    <x v="5"/>
    <x v="5"/>
  </r>
  <r>
    <x v="87"/>
    <x v="122"/>
    <m/>
    <x v="87"/>
    <d v="1899-12-30T14:29:00"/>
    <x v="0"/>
    <d v="1899-12-30T00:04:00"/>
    <n v="6.6666666666666666E-2"/>
    <x v="2"/>
    <x v="3"/>
    <n v="1.6"/>
    <n v="24"/>
    <x v="5"/>
    <x v="5"/>
  </r>
  <r>
    <x v="88"/>
    <x v="123"/>
    <m/>
    <x v="88"/>
    <d v="1899-12-30T12:41:00"/>
    <x v="0"/>
    <d v="1899-12-30T00:08:00"/>
    <n v="0.13333333333333333"/>
    <x v="23"/>
    <x v="6"/>
    <n v="2.2999999999999998"/>
    <n v="17.25"/>
    <x v="5"/>
    <x v="5"/>
  </r>
  <r>
    <x v="88"/>
    <x v="124"/>
    <m/>
    <x v="88"/>
    <d v="1899-12-30T16:32:00"/>
    <x v="0"/>
    <d v="1899-12-30T00:08:00"/>
    <n v="0.13333333333333333"/>
    <x v="4"/>
    <x v="46"/>
    <n v="1.9"/>
    <n v="14.25"/>
    <x v="5"/>
    <x v="5"/>
  </r>
  <r>
    <x v="88"/>
    <x v="125"/>
    <m/>
    <x v="88"/>
    <d v="1899-12-30T17:22:00"/>
    <x v="0"/>
    <d v="1899-12-30T00:05:00"/>
    <n v="8.3333333333333329E-2"/>
    <x v="2"/>
    <x v="3"/>
    <n v="1.4"/>
    <n v="16.8"/>
    <x v="5"/>
    <x v="5"/>
  </r>
  <r>
    <x v="88"/>
    <x v="126"/>
    <m/>
    <x v="88"/>
    <d v="1899-12-30T17:29:00"/>
    <x v="0"/>
    <d v="1899-12-30T00:02:00"/>
    <n v="3.3333333333333333E-2"/>
    <x v="2"/>
    <x v="3"/>
    <n v="0.5"/>
    <n v="15"/>
    <x v="5"/>
    <x v="5"/>
  </r>
  <r>
    <x v="24"/>
    <x v="127"/>
    <m/>
    <x v="24"/>
    <d v="1899-12-30T18:52:00"/>
    <x v="0"/>
    <d v="1899-12-30T00:21:00"/>
    <n v="0.35"/>
    <x v="2"/>
    <x v="47"/>
    <n v="5.8"/>
    <n v="16.571428571428573"/>
    <x v="5"/>
    <x v="5"/>
  </r>
  <r>
    <x v="25"/>
    <x v="128"/>
    <m/>
    <x v="25"/>
    <d v="1899-12-30T16:33:00"/>
    <x v="0"/>
    <d v="1899-12-30T00:12:00"/>
    <n v="0.2"/>
    <x v="2"/>
    <x v="47"/>
    <n v="5.7"/>
    <n v="28.5"/>
    <x v="5"/>
    <x v="5"/>
  </r>
  <r>
    <x v="89"/>
    <x v="129"/>
    <d v="2016-02-02T14:06:00"/>
    <x v="89"/>
    <d v="1899-12-30T14:06:00"/>
    <x v="0"/>
    <d v="1899-12-30T00:15:00"/>
    <n v="0.25"/>
    <x v="2"/>
    <x v="3"/>
    <n v="6"/>
    <n v="24"/>
    <x v="5"/>
    <x v="5"/>
  </r>
  <r>
    <x v="89"/>
    <x v="5"/>
    <d v="2016-02-02T14:42:00"/>
    <x v="89"/>
    <d v="1899-12-30T14:42:00"/>
    <x v="0"/>
    <d v="1899-12-30T00:04:00"/>
    <n v="6.6666666666666666E-2"/>
    <x v="2"/>
    <x v="3"/>
    <n v="1.6"/>
    <n v="24"/>
    <x v="5"/>
    <x v="5"/>
  </r>
  <r>
    <x v="90"/>
    <x v="130"/>
    <d v="2016-04-02T09:01:00"/>
    <x v="90"/>
    <d v="1899-12-30T09:01:00"/>
    <x v="0"/>
    <d v="1899-12-30T00:21:00"/>
    <n v="0.35"/>
    <x v="2"/>
    <x v="32"/>
    <n v="5.2"/>
    <n v="14.857142857142859"/>
    <x v="5"/>
    <x v="5"/>
  </r>
  <r>
    <x v="3"/>
    <x v="131"/>
    <d v="2016-06-02T19:21:00"/>
    <x v="3"/>
    <d v="1899-12-30T19:21:00"/>
    <x v="0"/>
    <d v="1899-12-30T00:24:00"/>
    <n v="0.4"/>
    <x v="3"/>
    <x v="3"/>
    <n v="9"/>
    <n v="22.5"/>
    <x v="5"/>
    <x v="5"/>
  </r>
  <r>
    <x v="27"/>
    <x v="132"/>
    <d v="2016-07-02T17:01:00"/>
    <x v="27"/>
    <d v="1899-12-30T17:01:00"/>
    <x v="0"/>
    <d v="1899-12-30T00:12:00"/>
    <n v="0.2"/>
    <x v="2"/>
    <x v="47"/>
    <n v="5.6"/>
    <n v="27.999999999999996"/>
    <x v="5"/>
    <x v="5"/>
  </r>
  <r>
    <x v="29"/>
    <x v="133"/>
    <s v="2/16/2016 17:44"/>
    <x v="29"/>
    <d v="1899-12-30T17:44:00"/>
    <x v="0"/>
    <d v="1899-12-30T00:04:00"/>
    <n v="6.6666666666666666E-2"/>
    <x v="52"/>
    <x v="0"/>
    <n v="3.6"/>
    <n v="54"/>
    <x v="5"/>
    <x v="5"/>
  </r>
  <r>
    <x v="91"/>
    <x v="134"/>
    <s v="2/17/2016 16:43"/>
    <x v="91"/>
    <d v="1899-12-30T16:43:00"/>
    <x v="0"/>
    <d v="1899-12-30T00:05:00"/>
    <n v="8.3333333333333329E-2"/>
    <x v="22"/>
    <x v="48"/>
    <n v="0.5"/>
    <n v="6"/>
    <x v="5"/>
    <x v="5"/>
  </r>
  <r>
    <x v="92"/>
    <x v="135"/>
    <s v="2/20/2016 18:03"/>
    <x v="92"/>
    <d v="1899-12-30T18:03:00"/>
    <x v="0"/>
    <d v="1899-12-30T00:03:00"/>
    <n v="0.05"/>
    <x v="0"/>
    <x v="0"/>
    <n v="3.2"/>
    <n v="64"/>
    <x v="5"/>
    <x v="5"/>
  </r>
  <r>
    <x v="92"/>
    <x v="136"/>
    <s v="2/20/2016 19:49"/>
    <x v="92"/>
    <d v="1899-12-30T19:49:00"/>
    <x v="0"/>
    <d v="1899-12-30T00:21:00"/>
    <n v="0.35"/>
    <x v="0"/>
    <x v="0"/>
    <n v="7.7"/>
    <n v="22.000000000000004"/>
    <x v="5"/>
    <x v="5"/>
  </r>
  <r>
    <x v="93"/>
    <x v="137"/>
    <s v="2/21/2016 11:43"/>
    <x v="93"/>
    <d v="1899-12-30T11:43:00"/>
    <x v="0"/>
    <d v="1899-12-30T00:04:00"/>
    <n v="6.6666666666666666E-2"/>
    <x v="0"/>
    <x v="21"/>
    <n v="2.4"/>
    <n v="36"/>
    <x v="5"/>
    <x v="5"/>
  </r>
  <r>
    <x v="93"/>
    <x v="138"/>
    <s v="2/21/2016 12:01"/>
    <x v="93"/>
    <d v="1899-12-30T12:01:00"/>
    <x v="0"/>
    <d v="1899-12-30T00:14:00"/>
    <n v="0.23333333333333334"/>
    <x v="46"/>
    <x v="21"/>
    <n v="4.5999999999999996"/>
    <n v="19.714285714285712"/>
    <x v="5"/>
    <x v="5"/>
  </r>
  <r>
    <x v="94"/>
    <x v="4"/>
    <s v="2/24/2016 15:25"/>
    <x v="94"/>
    <d v="1899-12-30T15:25:00"/>
    <x v="0"/>
    <d v="1899-12-30T00:06:00"/>
    <n v="0.1"/>
    <x v="53"/>
    <x v="6"/>
    <n v="1.7"/>
    <n v="17"/>
    <x v="5"/>
    <x v="5"/>
  </r>
  <r>
    <x v="95"/>
    <x v="83"/>
    <s v="2/25/2016 16:35"/>
    <x v="95"/>
    <d v="1899-12-30T16:35:00"/>
    <x v="0"/>
    <d v="1899-12-30T00:08:00"/>
    <n v="0.13333333333333333"/>
    <x v="4"/>
    <x v="49"/>
    <n v="3.1"/>
    <n v="23.25"/>
    <x v="5"/>
    <x v="5"/>
  </r>
  <r>
    <x v="95"/>
    <x v="139"/>
    <s v="2/25/2016 17:02"/>
    <x v="95"/>
    <d v="1899-12-30T17:02:00"/>
    <x v="0"/>
    <d v="1899-12-30T00:15:00"/>
    <n v="0.25"/>
    <x v="54"/>
    <x v="6"/>
    <n v="3.2"/>
    <n v="12.8"/>
    <x v="5"/>
    <x v="5"/>
  </r>
  <r>
    <x v="33"/>
    <x v="140"/>
    <d v="2016-03-03T11:10:00"/>
    <x v="33"/>
    <d v="1899-12-30T11:10:00"/>
    <x v="0"/>
    <d v="1899-12-30T00:06:00"/>
    <n v="0.1"/>
    <x v="55"/>
    <x v="6"/>
    <n v="2.2999999999999998"/>
    <n v="22.999999999999996"/>
    <x v="5"/>
    <x v="5"/>
  </r>
  <r>
    <x v="34"/>
    <x v="141"/>
    <d v="2016-04-03T16:22:00"/>
    <x v="34"/>
    <d v="1899-12-30T16:22:00"/>
    <x v="0"/>
    <d v="1899-12-30T00:06:00"/>
    <n v="0.1"/>
    <x v="25"/>
    <x v="50"/>
    <n v="0.8"/>
    <n v="8"/>
    <x v="5"/>
    <x v="5"/>
  </r>
  <r>
    <x v="4"/>
    <x v="142"/>
    <d v="2016-07-03T09:20:00"/>
    <x v="4"/>
    <d v="1899-12-30T09:20:00"/>
    <x v="0"/>
    <d v="1899-12-30T00:10:00"/>
    <n v="0.16666666666666666"/>
    <x v="4"/>
    <x v="51"/>
    <n v="2.8"/>
    <n v="16.8"/>
    <x v="5"/>
    <x v="5"/>
  </r>
  <r>
    <x v="96"/>
    <x v="143"/>
    <s v="3/14/2016 8:49"/>
    <x v="96"/>
    <d v="1899-12-30T08:49:00"/>
    <x v="0"/>
    <d v="1899-12-30T00:15:00"/>
    <n v="0.25"/>
    <x v="56"/>
    <x v="52"/>
    <n v="2"/>
    <n v="8"/>
    <x v="5"/>
    <x v="5"/>
  </r>
  <r>
    <x v="36"/>
    <x v="144"/>
    <s v="3/18/2016 19:29"/>
    <x v="36"/>
    <d v="1899-12-30T19:29:00"/>
    <x v="0"/>
    <d v="1899-12-30T00:06:00"/>
    <n v="0.1"/>
    <x v="27"/>
    <x v="53"/>
    <n v="1"/>
    <n v="10"/>
    <x v="5"/>
    <x v="5"/>
  </r>
  <r>
    <x v="37"/>
    <x v="145"/>
    <s v="3/19/2016 17:47"/>
    <x v="37"/>
    <d v="1899-12-30T17:47:00"/>
    <x v="0"/>
    <d v="1899-12-30T00:10:00"/>
    <n v="0.16666666666666666"/>
    <x v="57"/>
    <x v="54"/>
    <n v="2.1"/>
    <n v="12.600000000000001"/>
    <x v="5"/>
    <x v="5"/>
  </r>
  <r>
    <x v="40"/>
    <x v="146"/>
    <s v="3/27/2016 0:40"/>
    <x v="40"/>
    <d v="1899-12-30T00:40:00"/>
    <x v="0"/>
    <d v="1899-12-30T00:09:00"/>
    <n v="0.15"/>
    <x v="58"/>
    <x v="55"/>
    <n v="2.1"/>
    <n v="14.000000000000002"/>
    <x v="5"/>
    <x v="5"/>
  </r>
  <r>
    <x v="97"/>
    <x v="147"/>
    <d v="2016-07-04T20:00:00"/>
    <x v="97"/>
    <d v="1899-12-30T20:00:00"/>
    <x v="0"/>
    <d v="1899-12-30T00:15:00"/>
    <n v="0.25"/>
    <x v="5"/>
    <x v="3"/>
    <n v="6.1"/>
    <n v="24.4"/>
    <x v="5"/>
    <x v="5"/>
  </r>
  <r>
    <x v="98"/>
    <x v="148"/>
    <d v="2016-08-04T14:03:00"/>
    <x v="98"/>
    <d v="1899-12-30T14:03:00"/>
    <x v="0"/>
    <d v="1899-12-30T00:08:00"/>
    <n v="0.13333333333333333"/>
    <x v="55"/>
    <x v="6"/>
    <n v="1.8"/>
    <n v="13.5"/>
    <x v="5"/>
    <x v="5"/>
  </r>
  <r>
    <x v="43"/>
    <x v="14"/>
    <d v="2016-12-04T09:26:00"/>
    <x v="43"/>
    <d v="1899-12-30T09:26:00"/>
    <x v="0"/>
    <d v="1899-12-30T00:11:00"/>
    <n v="0.18333333333333332"/>
    <x v="4"/>
    <x v="51"/>
    <n v="2.8"/>
    <n v="15.272727272727273"/>
    <x v="5"/>
    <x v="5"/>
  </r>
  <r>
    <x v="99"/>
    <x v="149"/>
    <s v="4/15/2016 12:32"/>
    <x v="99"/>
    <d v="1899-12-30T12:32:00"/>
    <x v="0"/>
    <d v="1899-12-30T00:03:00"/>
    <n v="0.05"/>
    <x v="59"/>
    <x v="56"/>
    <n v="1.4"/>
    <n v="27.999999999999996"/>
    <x v="5"/>
    <x v="5"/>
  </r>
  <r>
    <x v="100"/>
    <x v="150"/>
    <s v="4/16/2016 13:17"/>
    <x v="100"/>
    <d v="1899-12-30T13:17:00"/>
    <x v="0"/>
    <d v="1899-12-30T00:18:00"/>
    <n v="0.3"/>
    <x v="2"/>
    <x v="32"/>
    <n v="6"/>
    <n v="20"/>
    <x v="5"/>
    <x v="5"/>
  </r>
  <r>
    <x v="6"/>
    <x v="151"/>
    <s v="4/24/2016 19:16"/>
    <x v="6"/>
    <d v="1899-12-30T19:16:00"/>
    <x v="0"/>
    <d v="1899-12-30T00:09:00"/>
    <n v="0.15"/>
    <x v="2"/>
    <x v="32"/>
    <n v="3.1"/>
    <n v="20.666666666666668"/>
    <x v="5"/>
    <x v="5"/>
  </r>
  <r>
    <x v="6"/>
    <x v="152"/>
    <s v="4/24/2016 19:52"/>
    <x v="6"/>
    <d v="1899-12-30T19:52:00"/>
    <x v="0"/>
    <d v="1899-12-30T00:06:00"/>
    <n v="0.1"/>
    <x v="60"/>
    <x v="57"/>
    <n v="1.9"/>
    <n v="18.999999999999996"/>
    <x v="5"/>
    <x v="5"/>
  </r>
  <r>
    <x v="8"/>
    <x v="153"/>
    <d v="2016-01-05T22:49:00"/>
    <x v="8"/>
    <d v="1899-12-30T22:49:00"/>
    <x v="0"/>
    <d v="1899-12-30T00:11:00"/>
    <n v="0.18333333333333332"/>
    <x v="61"/>
    <x v="6"/>
    <n v="3.1"/>
    <n v="16.90909090909091"/>
    <x v="5"/>
    <x v="5"/>
  </r>
  <r>
    <x v="101"/>
    <x v="154"/>
    <d v="2016-02-05T14:21:00"/>
    <x v="101"/>
    <d v="1899-12-30T14:21:00"/>
    <x v="0"/>
    <d v="1899-12-30T00:07:00"/>
    <n v="0.11666666666666667"/>
    <x v="4"/>
    <x v="46"/>
    <n v="2.2000000000000002"/>
    <n v="18.857142857142858"/>
    <x v="5"/>
    <x v="5"/>
  </r>
  <r>
    <x v="102"/>
    <x v="155"/>
    <d v="2016-04-05T21:14:00"/>
    <x v="102"/>
    <d v="1899-12-30T21:14:00"/>
    <x v="0"/>
    <d v="1899-12-30T00:19:00"/>
    <n v="0.31666666666666665"/>
    <x v="62"/>
    <x v="58"/>
    <n v="14.5"/>
    <n v="45.789473684210527"/>
    <x v="5"/>
    <x v="5"/>
  </r>
  <r>
    <x v="103"/>
    <x v="156"/>
    <d v="2016-05-05T22:40:00"/>
    <x v="103"/>
    <d v="1899-12-30T22:40:00"/>
    <x v="0"/>
    <d v="1899-12-30T00:06:00"/>
    <n v="0.1"/>
    <x v="63"/>
    <x v="59"/>
    <n v="2.9"/>
    <n v="28.999999999999996"/>
    <x v="5"/>
    <x v="5"/>
  </r>
  <r>
    <x v="104"/>
    <x v="157"/>
    <s v="5/17/2016 13:23"/>
    <x v="104"/>
    <d v="1899-12-30T13:23:00"/>
    <x v="0"/>
    <d v="1899-12-30T00:08:00"/>
    <n v="0.13333333333333333"/>
    <x v="4"/>
    <x v="60"/>
    <n v="2.8"/>
    <n v="21"/>
    <x v="5"/>
    <x v="5"/>
  </r>
  <r>
    <x v="104"/>
    <x v="2"/>
    <s v="5/17/2016 14:08"/>
    <x v="104"/>
    <d v="1899-12-30T14:08:00"/>
    <x v="0"/>
    <d v="1899-12-30T00:12:00"/>
    <n v="0.2"/>
    <x v="53"/>
    <x v="46"/>
    <n v="2.7"/>
    <n v="13.5"/>
    <x v="5"/>
    <x v="5"/>
  </r>
  <r>
    <x v="104"/>
    <x v="158"/>
    <s v="5/17/2016 14:40"/>
    <x v="104"/>
    <d v="1899-12-30T14:40:00"/>
    <x v="0"/>
    <d v="1899-12-30T00:06:00"/>
    <n v="0.1"/>
    <x v="55"/>
    <x v="6"/>
    <n v="1.9"/>
    <n v="18.999999999999996"/>
    <x v="5"/>
    <x v="5"/>
  </r>
  <r>
    <x v="105"/>
    <x v="159"/>
    <s v="5/23/2016 21:21"/>
    <x v="105"/>
    <d v="1899-12-30T21:21:00"/>
    <x v="0"/>
    <d v="1899-12-30T00:12:00"/>
    <n v="0.2"/>
    <x v="64"/>
    <x v="6"/>
    <n v="3.6"/>
    <n v="18"/>
    <x v="5"/>
    <x v="5"/>
  </r>
  <r>
    <x v="106"/>
    <x v="160"/>
    <s v="5/27/2016 20:30"/>
    <x v="106"/>
    <d v="1899-12-30T20:30:00"/>
    <x v="0"/>
    <d v="1899-12-30T00:04:00"/>
    <n v="6.6666666666666666E-2"/>
    <x v="4"/>
    <x v="61"/>
    <n v="4.5"/>
    <n v="67.5"/>
    <x v="5"/>
    <x v="5"/>
  </r>
  <r>
    <x v="106"/>
    <x v="161"/>
    <s v="5/27/2016 22:14"/>
    <x v="106"/>
    <d v="1899-12-30T22:14:00"/>
    <x v="0"/>
    <d v="1899-12-30T00:03:00"/>
    <n v="0.05"/>
    <x v="65"/>
    <x v="61"/>
    <n v="1.7"/>
    <n v="34"/>
    <x v="5"/>
    <x v="5"/>
  </r>
  <r>
    <x v="49"/>
    <x v="162"/>
    <s v="5/28/2016 0:21"/>
    <x v="49"/>
    <d v="1899-12-30T00:21:00"/>
    <x v="0"/>
    <d v="1899-12-30T00:06:00"/>
    <n v="0.1"/>
    <x v="65"/>
    <x v="6"/>
    <n v="4.7"/>
    <n v="47"/>
    <x v="5"/>
    <x v="5"/>
  </r>
  <r>
    <x v="10"/>
    <x v="163"/>
    <d v="2016-03-06T18:29:00"/>
    <x v="10"/>
    <d v="1899-12-30T18:29:00"/>
    <x v="0"/>
    <d v="1899-12-30T00:15:00"/>
    <n v="0.25"/>
    <x v="66"/>
    <x v="57"/>
    <n v="3.3"/>
    <n v="13.2"/>
    <x v="5"/>
    <x v="5"/>
  </r>
  <r>
    <x v="10"/>
    <x v="164"/>
    <d v="2016-03-06T18:53:00"/>
    <x v="10"/>
    <d v="1899-12-30T18:53:00"/>
    <x v="0"/>
    <d v="1899-12-30T00:12:00"/>
    <n v="0.2"/>
    <x v="5"/>
    <x v="3"/>
    <n v="3.1"/>
    <n v="15.5"/>
    <x v="5"/>
    <x v="5"/>
  </r>
  <r>
    <x v="10"/>
    <x v="165"/>
    <d v="2016-03-06T19:42:00"/>
    <x v="10"/>
    <d v="1899-12-30T19:42:00"/>
    <x v="0"/>
    <d v="1899-12-30T00:06:00"/>
    <n v="0.1"/>
    <x v="67"/>
    <x v="62"/>
    <n v="1.7"/>
    <n v="17"/>
    <x v="5"/>
    <x v="5"/>
  </r>
  <r>
    <x v="107"/>
    <x v="166"/>
    <d v="2016-06-06T15:45:00"/>
    <x v="107"/>
    <d v="1899-12-30T15:45:00"/>
    <x v="0"/>
    <d v="1899-12-30T00:09:00"/>
    <n v="0.15"/>
    <x v="4"/>
    <x v="63"/>
    <n v="3"/>
    <n v="20"/>
    <x v="5"/>
    <x v="5"/>
  </r>
  <r>
    <x v="107"/>
    <x v="141"/>
    <d v="2016-06-06T16:24:00"/>
    <x v="107"/>
    <d v="1899-12-30T16:24:00"/>
    <x v="0"/>
    <d v="1899-12-30T00:08:00"/>
    <n v="0.13333333333333333"/>
    <x v="23"/>
    <x v="6"/>
    <n v="2.4"/>
    <n v="18"/>
    <x v="5"/>
    <x v="5"/>
  </r>
  <r>
    <x v="108"/>
    <x v="167"/>
    <d v="2016-08-06T13:01:00"/>
    <x v="108"/>
    <d v="1899-12-30T13:01:00"/>
    <x v="0"/>
    <d v="1899-12-30T00:57:00"/>
    <n v="0.95"/>
    <x v="16"/>
    <x v="16"/>
    <n v="22.3"/>
    <n v="23.473684210526319"/>
    <x v="5"/>
    <x v="5"/>
  </r>
  <r>
    <x v="108"/>
    <x v="168"/>
    <d v="2016-08-06T14:37:00"/>
    <x v="108"/>
    <d v="1899-12-30T14:37:00"/>
    <x v="0"/>
    <d v="1899-12-30T00:06:00"/>
    <n v="0.1"/>
    <x v="68"/>
    <x v="64"/>
    <n v="0.7"/>
    <n v="6.9999999999999991"/>
    <x v="5"/>
    <x v="5"/>
  </r>
  <r>
    <x v="108"/>
    <x v="169"/>
    <d v="2016-08-06T17:18:00"/>
    <x v="108"/>
    <d v="1899-12-30T17:18:00"/>
    <x v="0"/>
    <d v="1899-12-30T00:02:00"/>
    <n v="3.3333333333333333E-2"/>
    <x v="69"/>
    <x v="65"/>
    <n v="0.5"/>
    <n v="15"/>
    <x v="5"/>
    <x v="5"/>
  </r>
  <r>
    <x v="108"/>
    <x v="107"/>
    <d v="2016-08-06T18:05:00"/>
    <x v="108"/>
    <d v="1899-12-30T18:05:00"/>
    <x v="0"/>
    <d v="1899-12-30T00:06:00"/>
    <n v="0.1"/>
    <x v="70"/>
    <x v="66"/>
    <n v="0.9"/>
    <n v="9"/>
    <x v="5"/>
    <x v="5"/>
  </r>
  <r>
    <x v="108"/>
    <x v="170"/>
    <d v="2016-08-06T20:25:00"/>
    <x v="108"/>
    <d v="1899-12-30T20:25:00"/>
    <x v="0"/>
    <d v="1899-12-30T00:14:00"/>
    <n v="0.23333333333333334"/>
    <x v="71"/>
    <x v="67"/>
    <n v="4.8"/>
    <n v="20.571428571428569"/>
    <x v="5"/>
    <x v="5"/>
  </r>
  <r>
    <x v="109"/>
    <x v="171"/>
    <d v="2016-11-06T17:16:00"/>
    <x v="109"/>
    <d v="1899-12-30T17:16:00"/>
    <x v="0"/>
    <d v="1899-12-30T00:08:00"/>
    <n v="0.13333333333333333"/>
    <x v="2"/>
    <x v="32"/>
    <n v="3.7"/>
    <n v="27.75"/>
    <x v="5"/>
    <x v="5"/>
  </r>
  <r>
    <x v="110"/>
    <x v="172"/>
    <d v="2016-12-06T20:16:00"/>
    <x v="110"/>
    <d v="1899-12-30T20:16:00"/>
    <x v="0"/>
    <d v="1899-12-30T00:11:00"/>
    <n v="0.18333333333333332"/>
    <x v="5"/>
    <x v="3"/>
    <n v="4.3"/>
    <n v="23.454545454545457"/>
    <x v="5"/>
    <x v="5"/>
  </r>
  <r>
    <x v="110"/>
    <x v="173"/>
    <d v="2016-12-06T22:19:00"/>
    <x v="110"/>
    <d v="1899-12-30T22:19:00"/>
    <x v="0"/>
    <d v="1899-12-30T00:21:00"/>
    <n v="0.35"/>
    <x v="61"/>
    <x v="6"/>
    <n v="2.8"/>
    <n v="8"/>
    <x v="5"/>
    <x v="5"/>
  </r>
  <r>
    <x v="111"/>
    <x v="126"/>
    <s v="6/14/2016 17:57"/>
    <x v="111"/>
    <d v="1899-12-30T17:57:00"/>
    <x v="0"/>
    <d v="1899-12-30T00:30:00"/>
    <n v="0.5"/>
    <x v="72"/>
    <x v="68"/>
    <n v="9.3000000000000007"/>
    <n v="18.600000000000001"/>
    <x v="5"/>
    <x v="5"/>
  </r>
  <r>
    <x v="112"/>
    <x v="174"/>
    <s v="6/24/2016 12:37"/>
    <x v="112"/>
    <d v="1899-12-30T12:37:00"/>
    <x v="0"/>
    <d v="1899-12-30T00:18:00"/>
    <n v="0.3"/>
    <x v="2"/>
    <x v="2"/>
    <n v="8.6"/>
    <n v="28.666666666666668"/>
    <x v="5"/>
    <x v="5"/>
  </r>
  <r>
    <x v="112"/>
    <x v="48"/>
    <s v="6/24/2016 13:12"/>
    <x v="112"/>
    <d v="1899-12-30T13:12:00"/>
    <x v="0"/>
    <d v="1899-12-30T00:22:00"/>
    <n v="0.36666666666666664"/>
    <x v="3"/>
    <x v="32"/>
    <n v="9"/>
    <n v="24.545454545454547"/>
    <x v="5"/>
    <x v="5"/>
  </r>
  <r>
    <x v="112"/>
    <x v="175"/>
    <s v="6/24/2016 13:27"/>
    <x v="112"/>
    <d v="1899-12-30T13:27:00"/>
    <x v="0"/>
    <d v="1899-12-30T00:09:00"/>
    <n v="0.15"/>
    <x v="5"/>
    <x v="3"/>
    <n v="3.1"/>
    <n v="20.666666666666668"/>
    <x v="5"/>
    <x v="5"/>
  </r>
  <r>
    <x v="12"/>
    <x v="176"/>
    <s v="6/25/2016 10:25"/>
    <x v="12"/>
    <d v="1899-12-30T10:25:00"/>
    <x v="0"/>
    <d v="1899-12-30T00:07:00"/>
    <n v="0.11666666666666667"/>
    <x v="73"/>
    <x v="69"/>
    <n v="1.1000000000000001"/>
    <n v="9.4285714285714288"/>
    <x v="5"/>
    <x v="5"/>
  </r>
  <r>
    <x v="113"/>
    <x v="177"/>
    <d v="2016-03-07T00:38:00"/>
    <x v="113"/>
    <d v="1899-12-30T00:38:00"/>
    <x v="0"/>
    <d v="1899-12-30T00:10:00"/>
    <n v="0.16666666666666666"/>
    <x v="2"/>
    <x v="32"/>
    <n v="3.1"/>
    <n v="18.600000000000001"/>
    <x v="5"/>
    <x v="5"/>
  </r>
  <r>
    <x v="113"/>
    <x v="178"/>
    <d v="2016-03-07T03:08:00"/>
    <x v="113"/>
    <d v="1899-12-30T03:08:00"/>
    <x v="0"/>
    <d v="1899-12-30T00:06:00"/>
    <n v="0.1"/>
    <x v="5"/>
    <x v="3"/>
    <n v="3.1"/>
    <n v="31"/>
    <x v="5"/>
    <x v="5"/>
  </r>
  <r>
    <x v="114"/>
    <x v="179"/>
    <d v="2016-05-07T00:05:00"/>
    <x v="114"/>
    <d v="1899-12-30T00:05:00"/>
    <x v="0"/>
    <d v="1899-12-30T00:05:00"/>
    <n v="8.3333333333333329E-2"/>
    <x v="74"/>
    <x v="70"/>
    <n v="1.2"/>
    <n v="14.4"/>
    <x v="5"/>
    <x v="5"/>
  </r>
  <r>
    <x v="114"/>
    <x v="180"/>
    <d v="2016-05-07T16:52:00"/>
    <x v="114"/>
    <d v="1899-12-30T16:52:00"/>
    <x v="0"/>
    <d v="1899-12-30T00:04:00"/>
    <n v="6.6666666666666666E-2"/>
    <x v="4"/>
    <x v="6"/>
    <n v="0.6"/>
    <n v="9"/>
    <x v="5"/>
    <x v="5"/>
  </r>
  <r>
    <x v="115"/>
    <x v="181"/>
    <s v="7/14/2016 16:34"/>
    <x v="115"/>
    <d v="1899-12-30T16:34:00"/>
    <x v="0"/>
    <d v="1899-12-30T00:31:00"/>
    <n v="0.51666666666666672"/>
    <x v="5"/>
    <x v="32"/>
    <n v="11.8"/>
    <n v="22.838709677419352"/>
    <x v="5"/>
    <x v="5"/>
  </r>
  <r>
    <x v="116"/>
    <x v="182"/>
    <s v="7/16/2016 23:03"/>
    <x v="116"/>
    <d v="1899-12-30T23:03:00"/>
    <x v="0"/>
    <d v="1899-12-30T00:13:00"/>
    <n v="0.21666666666666667"/>
    <x v="13"/>
    <x v="71"/>
    <n v="4.4000000000000004"/>
    <n v="20.30769230769231"/>
    <x v="5"/>
    <x v="5"/>
  </r>
  <r>
    <x v="117"/>
    <x v="183"/>
    <s v="7/18/2016 20:32"/>
    <x v="117"/>
    <d v="1899-12-30T20:32:00"/>
    <x v="0"/>
    <d v="1899-12-30T00:04:00"/>
    <n v="6.6666666666666666E-2"/>
    <x v="23"/>
    <x v="62"/>
    <n v="0.9"/>
    <n v="13.5"/>
    <x v="5"/>
    <x v="5"/>
  </r>
  <r>
    <x v="55"/>
    <x v="184"/>
    <s v="7/19/2016 17:24"/>
    <x v="55"/>
    <d v="1899-12-30T17:24:00"/>
    <x v="0"/>
    <d v="1899-12-30T00:10:00"/>
    <n v="0.16666666666666666"/>
    <x v="4"/>
    <x v="57"/>
    <n v="3.9"/>
    <n v="23.400000000000002"/>
    <x v="5"/>
    <x v="5"/>
  </r>
  <r>
    <x v="118"/>
    <x v="185"/>
    <s v="10/25/2016 22:45"/>
    <x v="118"/>
    <d v="1899-12-30T22:45:00"/>
    <x v="0"/>
    <d v="1899-12-30T00:21:00"/>
    <n v="0.35"/>
    <x v="61"/>
    <x v="6"/>
    <n v="8.6999999999999993"/>
    <n v="24.857142857142858"/>
    <x v="5"/>
    <x v="5"/>
  </r>
  <r>
    <x v="119"/>
    <x v="186"/>
    <s v="10/31/2016 22:10"/>
    <x v="119"/>
    <d v="1899-12-30T22:10:00"/>
    <x v="0"/>
    <d v="1899-12-30T00:25:00"/>
    <n v="0.41666666666666669"/>
    <x v="64"/>
    <x v="6"/>
    <n v="9.6"/>
    <n v="23.04"/>
    <x v="5"/>
    <x v="5"/>
  </r>
  <r>
    <x v="120"/>
    <x v="187"/>
    <d v="2016-12-11T15:59:00"/>
    <x v="120"/>
    <d v="1899-12-30T15:59:00"/>
    <x v="0"/>
    <d v="1899-12-30T00:19:00"/>
    <n v="0.31666666666666665"/>
    <x v="75"/>
    <x v="13"/>
    <n v="3.7"/>
    <n v="11.684210526315791"/>
    <x v="5"/>
    <x v="5"/>
  </r>
  <r>
    <x v="63"/>
    <x v="188"/>
    <s v="11/14/2016 20:30"/>
    <x v="63"/>
    <d v="1899-12-30T20:30:00"/>
    <x v="0"/>
    <d v="1899-12-30T00:11:00"/>
    <n v="0.18333333333333332"/>
    <x v="75"/>
    <x v="13"/>
    <n v="3.7"/>
    <n v="20.181818181818183"/>
    <x v="5"/>
    <x v="5"/>
  </r>
  <r>
    <x v="65"/>
    <x v="189"/>
    <s v="11/19/2016 17:54"/>
    <x v="65"/>
    <d v="1899-12-30T17:54:00"/>
    <x v="0"/>
    <d v="1899-12-30T00:13:00"/>
    <n v="0.21666666666666667"/>
    <x v="2"/>
    <x v="47"/>
    <n v="5.4"/>
    <n v="24.923076923076923"/>
    <x v="5"/>
    <x v="5"/>
  </r>
  <r>
    <x v="15"/>
    <x v="190"/>
    <s v="11/20/2016 18:37"/>
    <x v="15"/>
    <d v="1899-12-30T18:37:00"/>
    <x v="0"/>
    <d v="1899-12-30T00:52:00"/>
    <n v="0.8666666666666667"/>
    <x v="2"/>
    <x v="3"/>
    <n v="18.5"/>
    <n v="21.346153846153847"/>
    <x v="5"/>
    <x v="5"/>
  </r>
  <r>
    <x v="121"/>
    <x v="191"/>
    <s v="11/21/2016 18:04"/>
    <x v="121"/>
    <d v="1899-12-30T18:04:00"/>
    <x v="0"/>
    <d v="1899-12-30T00:14:00"/>
    <n v="0.23333333333333334"/>
    <x v="2"/>
    <x v="0"/>
    <n v="6.7"/>
    <n v="28.714285714285715"/>
    <x v="5"/>
    <x v="5"/>
  </r>
  <r>
    <x v="121"/>
    <x v="192"/>
    <s v="11/21/2016 18:51"/>
    <x v="121"/>
    <d v="1899-12-30T18:51:00"/>
    <x v="0"/>
    <d v="1899-12-30T00:08:00"/>
    <n v="0.13333333333333333"/>
    <x v="5"/>
    <x v="3"/>
    <n v="3.4"/>
    <n v="25.5"/>
    <x v="5"/>
    <x v="5"/>
  </r>
  <r>
    <x v="16"/>
    <x v="193"/>
    <s v="11/26/2016 19:54"/>
    <x v="16"/>
    <d v="1899-12-30T19:54:00"/>
    <x v="0"/>
    <d v="1899-12-30T00:07:00"/>
    <n v="0.11666666666666667"/>
    <x v="2"/>
    <x v="3"/>
    <n v="2.5"/>
    <n v="21.428571428571427"/>
    <x v="5"/>
    <x v="5"/>
  </r>
  <r>
    <x v="68"/>
    <x v="194"/>
    <d v="2016-01-12T08:53:00"/>
    <x v="68"/>
    <d v="1899-12-30T08:53:00"/>
    <x v="0"/>
    <d v="1899-12-30T00:16:00"/>
    <n v="0.26666666666666666"/>
    <x v="2"/>
    <x v="3"/>
    <n v="5.5"/>
    <n v="20.625"/>
    <x v="5"/>
    <x v="5"/>
  </r>
  <r>
    <x v="70"/>
    <x v="195"/>
    <d v="2016-03-12T18:56:00"/>
    <x v="70"/>
    <d v="1899-12-30T18:56:00"/>
    <x v="0"/>
    <d v="1899-12-30T00:21:00"/>
    <n v="0.35"/>
    <x v="2"/>
    <x v="72"/>
    <n v="6.6"/>
    <n v="18.857142857142858"/>
    <x v="5"/>
    <x v="5"/>
  </r>
  <r>
    <x v="122"/>
    <x v="196"/>
    <d v="2016-08-12T14:32:00"/>
    <x v="122"/>
    <d v="1899-12-30T14:32:00"/>
    <x v="0"/>
    <d v="1899-12-30T00:13:00"/>
    <n v="0.21666666666666667"/>
    <x v="2"/>
    <x v="3"/>
    <n v="3.4"/>
    <n v="15.692307692307692"/>
    <x v="5"/>
    <x v="5"/>
  </r>
  <r>
    <x v="122"/>
    <x v="197"/>
    <d v="2016-08-12T15:02:00"/>
    <x v="122"/>
    <d v="1899-12-30T15:02:00"/>
    <x v="0"/>
    <d v="1899-12-30T00:09:00"/>
    <n v="0.15"/>
    <x v="2"/>
    <x v="3"/>
    <n v="3.4"/>
    <n v="22.666666666666668"/>
    <x v="5"/>
    <x v="5"/>
  </r>
  <r>
    <x v="122"/>
    <x v="198"/>
    <d v="2016-08-12T21:31:00"/>
    <x v="122"/>
    <d v="1899-12-30T21:31:00"/>
    <x v="0"/>
    <d v="1899-12-30T00:05:00"/>
    <n v="8.3333333333333329E-2"/>
    <x v="2"/>
    <x v="3"/>
    <n v="2"/>
    <n v="24"/>
    <x v="5"/>
    <x v="5"/>
  </r>
  <r>
    <x v="73"/>
    <x v="60"/>
    <d v="2016-09-12T12:24:00"/>
    <x v="73"/>
    <d v="1899-12-30T12:24:00"/>
    <x v="0"/>
    <d v="1899-12-30T00:15:00"/>
    <n v="0.25"/>
    <x v="2"/>
    <x v="47"/>
    <n v="5.0999999999999996"/>
    <n v="20.399999999999999"/>
    <x v="5"/>
    <x v="5"/>
  </r>
  <r>
    <x v="74"/>
    <x v="20"/>
    <d v="2016-10-12T15:18:00"/>
    <x v="74"/>
    <d v="1899-12-30T15:18:00"/>
    <x v="0"/>
    <d v="1899-12-30T00:36:00"/>
    <n v="0.6"/>
    <x v="76"/>
    <x v="3"/>
    <n v="15.6"/>
    <n v="26"/>
    <x v="5"/>
    <x v="5"/>
  </r>
  <r>
    <x v="123"/>
    <x v="199"/>
    <d v="2016-11-12T19:15:00"/>
    <x v="123"/>
    <d v="1899-12-30T19:15:00"/>
    <x v="0"/>
    <d v="1899-12-30T00:10:00"/>
    <n v="0.16666666666666666"/>
    <x v="5"/>
    <x v="3"/>
    <n v="4.8"/>
    <n v="28.8"/>
    <x v="5"/>
    <x v="5"/>
  </r>
  <r>
    <x v="123"/>
    <x v="200"/>
    <d v="2016-11-12T21:56:00"/>
    <x v="123"/>
    <d v="1899-12-30T21:56:00"/>
    <x v="0"/>
    <d v="1899-12-30T00:08:00"/>
    <n v="0.13333333333333333"/>
    <x v="2"/>
    <x v="3"/>
    <n v="2.1"/>
    <n v="15.75"/>
    <x v="5"/>
    <x v="5"/>
  </r>
  <r>
    <x v="75"/>
    <x v="201"/>
    <d v="2016-12-12T13:32:00"/>
    <x v="75"/>
    <d v="1899-12-30T13:32:00"/>
    <x v="0"/>
    <d v="1899-12-30T00:10:00"/>
    <n v="0.16666666666666666"/>
    <x v="2"/>
    <x v="3"/>
    <n v="3.1"/>
    <n v="18.600000000000001"/>
    <x v="5"/>
    <x v="5"/>
  </r>
  <r>
    <x v="124"/>
    <x v="202"/>
    <s v="12/13/2016 18:29"/>
    <x v="124"/>
    <d v="1899-12-30T18:29:00"/>
    <x v="0"/>
    <d v="1899-12-30T00:10:00"/>
    <n v="0.16666666666666666"/>
    <x v="2"/>
    <x v="3"/>
    <n v="4.2"/>
    <n v="25.200000000000003"/>
    <x v="5"/>
    <x v="5"/>
  </r>
  <r>
    <x v="125"/>
    <x v="203"/>
    <s v="12/18/2016 13:41"/>
    <x v="125"/>
    <d v="1899-12-30T13:41:00"/>
    <x v="0"/>
    <d v="1899-12-30T00:38:00"/>
    <n v="0.6333333333333333"/>
    <x v="0"/>
    <x v="0"/>
    <n v="4.9000000000000004"/>
    <n v="7.7368421052631584"/>
    <x v="5"/>
    <x v="5"/>
  </r>
  <r>
    <x v="125"/>
    <x v="134"/>
    <s v="12/18/2016 17:25"/>
    <x v="125"/>
    <d v="1899-12-30T17:25:00"/>
    <x v="0"/>
    <d v="1899-12-30T00:47:00"/>
    <n v="0.78333333333333333"/>
    <x v="0"/>
    <x v="0"/>
    <n v="10.199999999999999"/>
    <n v="13.021276595744681"/>
    <x v="5"/>
    <x v="5"/>
  </r>
  <r>
    <x v="77"/>
    <x v="204"/>
    <s v="12/19/2016 9:36"/>
    <x v="77"/>
    <d v="1899-12-30T09:36:00"/>
    <x v="0"/>
    <d v="1899-12-30T00:28:00"/>
    <n v="0.46666666666666667"/>
    <x v="0"/>
    <x v="21"/>
    <n v="7.7"/>
    <n v="16.5"/>
    <x v="5"/>
    <x v="5"/>
  </r>
  <r>
    <x v="77"/>
    <x v="205"/>
    <s v="12/19/2016 13:08"/>
    <x v="77"/>
    <d v="1899-12-30T13:08:00"/>
    <x v="0"/>
    <d v="1899-12-30T00:04:00"/>
    <n v="6.6666666666666666E-2"/>
    <x v="45"/>
    <x v="0"/>
    <n v="0.7"/>
    <n v="10.5"/>
    <x v="5"/>
    <x v="5"/>
  </r>
  <r>
    <x v="78"/>
    <x v="206"/>
    <s v="12/20/2016 10:48"/>
    <x v="78"/>
    <d v="1899-12-30T10:48:00"/>
    <x v="0"/>
    <d v="1899-12-30T00:18:00"/>
    <n v="0.3"/>
    <x v="45"/>
    <x v="41"/>
    <n v="3.3"/>
    <n v="11"/>
    <x v="5"/>
    <x v="5"/>
  </r>
  <r>
    <x v="78"/>
    <x v="207"/>
    <s v="12/20/2016 13:20"/>
    <x v="78"/>
    <d v="1899-12-30T13:20:00"/>
    <x v="0"/>
    <d v="1899-12-30T00:06:00"/>
    <n v="0.1"/>
    <x v="0"/>
    <x v="0"/>
    <n v="1.7"/>
    <n v="17"/>
    <x v="5"/>
    <x v="5"/>
  </r>
  <r>
    <x v="78"/>
    <x v="208"/>
    <s v="12/20/2016 16:24"/>
    <x v="78"/>
    <d v="1899-12-30T16:24:00"/>
    <x v="0"/>
    <d v="1899-12-30T00:10:00"/>
    <n v="0.16666666666666666"/>
    <x v="46"/>
    <x v="21"/>
    <n v="1.8"/>
    <n v="10.8"/>
    <x v="5"/>
    <x v="5"/>
  </r>
  <r>
    <x v="78"/>
    <x v="209"/>
    <s v="12/20/2016 17:07"/>
    <x v="78"/>
    <d v="1899-12-30T17:07:00"/>
    <x v="0"/>
    <d v="1899-12-30T00:11:00"/>
    <n v="0.18333333333333332"/>
    <x v="46"/>
    <x v="21"/>
    <n v="1.4"/>
    <n v="7.6363636363636367"/>
    <x v="5"/>
    <x v="5"/>
  </r>
  <r>
    <x v="79"/>
    <x v="210"/>
    <s v="12/21/2016 10:30"/>
    <x v="79"/>
    <d v="1899-12-30T10:30:00"/>
    <x v="0"/>
    <d v="1899-12-30T00:16:00"/>
    <n v="0.26666666666666666"/>
    <x v="0"/>
    <x v="21"/>
    <n v="4.9000000000000004"/>
    <n v="18.375"/>
    <x v="5"/>
    <x v="5"/>
  </r>
  <r>
    <x v="79"/>
    <x v="1"/>
    <s v="12/21/2016 15:49"/>
    <x v="79"/>
    <d v="1899-12-30T15:49:00"/>
    <x v="0"/>
    <d v="1899-12-30T00:11:00"/>
    <n v="0.18333333333333332"/>
    <x v="0"/>
    <x v="0"/>
    <n v="2"/>
    <n v="10.90909090909091"/>
    <x v="5"/>
    <x v="5"/>
  </r>
  <r>
    <x v="79"/>
    <x v="211"/>
    <s v="12/21/2016 16:05"/>
    <x v="79"/>
    <d v="1899-12-30T16:05:00"/>
    <x v="0"/>
    <d v="1899-12-30T00:10:00"/>
    <n v="0.16666666666666666"/>
    <x v="0"/>
    <x v="21"/>
    <n v="2.1"/>
    <n v="12.600000000000001"/>
    <x v="5"/>
    <x v="5"/>
  </r>
  <r>
    <x v="80"/>
    <x v="127"/>
    <s v="12/22/2016 18:37"/>
    <x v="80"/>
    <d v="1899-12-30T18:37:00"/>
    <x v="0"/>
    <d v="1899-12-30T00:06:00"/>
    <n v="0.1"/>
    <x v="0"/>
    <x v="0"/>
    <n v="3.2"/>
    <n v="32"/>
    <x v="5"/>
    <x v="5"/>
  </r>
  <r>
    <x v="126"/>
    <x v="212"/>
    <s v="12/23/2016 16:34"/>
    <x v="126"/>
    <d v="1899-12-30T16:34:00"/>
    <x v="0"/>
    <d v="1899-12-30T00:11:00"/>
    <n v="0.18333333333333332"/>
    <x v="0"/>
    <x v="0"/>
    <n v="1.3"/>
    <n v="7.0909090909090917"/>
    <x v="5"/>
    <x v="5"/>
  </r>
  <r>
    <x v="127"/>
    <x v="213"/>
    <s v="12/24/2016 12:53"/>
    <x v="127"/>
    <d v="1899-12-30T12:53:00"/>
    <x v="0"/>
    <d v="1899-12-30T00:02:00"/>
    <n v="3.3333333333333333E-2"/>
    <x v="47"/>
    <x v="42"/>
    <n v="1.6"/>
    <n v="48"/>
    <x v="5"/>
    <x v="5"/>
  </r>
  <r>
    <x v="127"/>
    <x v="214"/>
    <s v="12/24/2016 13:29"/>
    <x v="127"/>
    <d v="1899-12-30T13:29:00"/>
    <x v="0"/>
    <d v="1899-12-30T00:21:00"/>
    <n v="0.35"/>
    <x v="47"/>
    <x v="42"/>
    <n v="3.6"/>
    <n v="10.285714285714286"/>
    <x v="5"/>
    <x v="5"/>
  </r>
  <r>
    <x v="127"/>
    <x v="215"/>
    <s v="12/24/2016 17:27"/>
    <x v="127"/>
    <d v="1899-12-30T17:27:00"/>
    <x v="0"/>
    <d v="1899-12-30T00:15:00"/>
    <n v="0.25"/>
    <x v="47"/>
    <x v="42"/>
    <n v="1.7"/>
    <n v="6.8"/>
    <x v="5"/>
    <x v="5"/>
  </r>
  <r>
    <x v="127"/>
    <x v="216"/>
    <s v="12/24/2016 22:09"/>
    <x v="127"/>
    <d v="1899-12-30T22:09:00"/>
    <x v="0"/>
    <d v="1899-12-30T00:05:00"/>
    <n v="8.3333333333333329E-2"/>
    <x v="47"/>
    <x v="42"/>
    <n v="0.6"/>
    <n v="7.2"/>
    <x v="5"/>
    <x v="5"/>
  </r>
  <r>
    <x v="128"/>
    <x v="217"/>
    <s v="12/25/2016 0:14"/>
    <x v="128"/>
    <d v="1899-12-30T00:14:00"/>
    <x v="0"/>
    <d v="1899-12-30T00:04:00"/>
    <n v="6.6666666666666666E-2"/>
    <x v="47"/>
    <x v="42"/>
    <n v="0.6"/>
    <n v="9"/>
    <x v="5"/>
    <x v="5"/>
  </r>
  <r>
    <x v="129"/>
    <x v="218"/>
    <s v="12/28/2016 12:12"/>
    <x v="129"/>
    <d v="1899-12-30T12:12:00"/>
    <x v="0"/>
    <d v="1899-12-30T00:30:00"/>
    <n v="0.5"/>
    <x v="0"/>
    <x v="1"/>
    <n v="10.4"/>
    <n v="20.8"/>
    <x v="5"/>
    <x v="5"/>
  </r>
  <r>
    <x v="129"/>
    <x v="219"/>
    <s v="12/28/2016 14:01"/>
    <x v="129"/>
    <d v="1899-12-30T14:01:00"/>
    <x v="0"/>
    <d v="1899-12-30T00:08:00"/>
    <n v="0.13333333333333333"/>
    <x v="1"/>
    <x v="1"/>
    <n v="2"/>
    <n v="15"/>
    <x v="5"/>
    <x v="5"/>
  </r>
  <r>
    <x v="129"/>
    <x v="79"/>
    <s v="12/28/2016 17:16"/>
    <x v="129"/>
    <d v="1899-12-30T17:16:00"/>
    <x v="0"/>
    <d v="1899-12-30T00:14:00"/>
    <n v="0.23333333333333334"/>
    <x v="0"/>
    <x v="1"/>
    <n v="4.4000000000000004"/>
    <n v="18.857142857142858"/>
    <x v="5"/>
    <x v="5"/>
  </r>
  <r>
    <x v="129"/>
    <x v="220"/>
    <s v="12/28/2016 18:56"/>
    <x v="129"/>
    <d v="1899-12-30T18:56:00"/>
    <x v="0"/>
    <d v="1899-12-30T00:23:00"/>
    <n v="0.38333333333333336"/>
    <x v="1"/>
    <x v="1"/>
    <n v="3.8"/>
    <n v="9.9130434782608692"/>
    <x v="5"/>
    <x v="5"/>
  </r>
  <r>
    <x v="129"/>
    <x v="221"/>
    <s v="12/28/2016 23:18"/>
    <x v="129"/>
    <d v="1899-12-30T23:18:00"/>
    <x v="0"/>
    <d v="1899-12-30T00:34:00"/>
    <n v="0.56666666666666665"/>
    <x v="1"/>
    <x v="1"/>
    <n v="5.0999999999999996"/>
    <n v="9"/>
    <x v="5"/>
    <x v="5"/>
  </r>
  <r>
    <x v="2"/>
    <x v="222"/>
    <s v="12/29/2016 1:06"/>
    <x v="2"/>
    <d v="1899-12-30T01:06:00"/>
    <x v="0"/>
    <d v="1899-12-30T00:17:00"/>
    <n v="0.28333333333333333"/>
    <x v="1"/>
    <x v="1"/>
    <n v="3.8"/>
    <n v="13.411764705882353"/>
    <x v="5"/>
    <x v="5"/>
  </r>
  <r>
    <x v="2"/>
    <x v="223"/>
    <s v="12/29/2016 12:33"/>
    <x v="2"/>
    <d v="1899-12-30T12:33:00"/>
    <x v="0"/>
    <d v="1899-12-30T00:08:00"/>
    <n v="0.13333333333333333"/>
    <x v="1"/>
    <x v="1"/>
    <n v="1.4"/>
    <n v="10.5"/>
    <x v="5"/>
    <x v="5"/>
  </r>
  <r>
    <x v="2"/>
    <x v="224"/>
    <s v="12/29/2016 13:24"/>
    <x v="2"/>
    <d v="1899-12-30T13:24:00"/>
    <x v="0"/>
    <d v="1899-12-30T00:07:00"/>
    <n v="0.11666666666666667"/>
    <x v="1"/>
    <x v="1"/>
    <n v="1.1000000000000001"/>
    <n v="9.4285714285714288"/>
    <x v="5"/>
    <x v="5"/>
  </r>
  <r>
    <x v="2"/>
    <x v="225"/>
    <s v="12/29/2016 15:16"/>
    <x v="2"/>
    <d v="1899-12-30T15:16:00"/>
    <x v="0"/>
    <d v="1899-12-30T00:11:00"/>
    <n v="0.18333333333333332"/>
    <x v="1"/>
    <x v="1"/>
    <n v="1.3"/>
    <n v="7.0909090909090917"/>
    <x v="5"/>
    <x v="5"/>
  </r>
  <r>
    <x v="83"/>
    <x v="111"/>
    <s v="12/30/2016 10:33"/>
    <x v="83"/>
    <d v="1899-12-30T10:33:00"/>
    <x v="0"/>
    <d v="1899-12-30T00:18:00"/>
    <n v="0.3"/>
    <x v="1"/>
    <x v="1"/>
    <n v="2.8"/>
    <n v="9.3333333333333339"/>
    <x v="5"/>
    <x v="5"/>
  </r>
  <r>
    <x v="83"/>
    <x v="226"/>
    <s v="12/30/2016 11:56"/>
    <x v="83"/>
    <d v="1899-12-30T11:56:00"/>
    <x v="0"/>
    <d v="1899-12-30T00:25:00"/>
    <n v="0.41666666666666669"/>
    <x v="1"/>
    <x v="1"/>
    <n v="2.9"/>
    <n v="6.9599999999999991"/>
    <x v="5"/>
    <x v="5"/>
  </r>
  <r>
    <x v="83"/>
    <x v="227"/>
    <s v="12/30/2016 16:03"/>
    <x v="83"/>
    <d v="1899-12-30T16:03:00"/>
    <x v="0"/>
    <d v="1899-12-30T00:22:00"/>
    <n v="0.36666666666666664"/>
    <x v="1"/>
    <x v="1"/>
    <n v="4.5999999999999996"/>
    <n v="12.545454545454545"/>
    <x v="5"/>
    <x v="5"/>
  </r>
  <r>
    <x v="130"/>
    <x v="228"/>
    <d v="2016-01-01T21:17:00"/>
    <x v="130"/>
    <d v="1899-12-30T21:17:00"/>
    <x v="0"/>
    <d v="1899-12-30T00:06:00"/>
    <n v="0.1"/>
    <x v="15"/>
    <x v="43"/>
    <n v="5.0999999999999996"/>
    <n v="50.999999999999993"/>
    <x v="6"/>
    <x v="6"/>
  </r>
  <r>
    <x v="18"/>
    <x v="229"/>
    <d v="2016-06-01T17:19:00"/>
    <x v="18"/>
    <d v="1899-12-30T17:19:00"/>
    <x v="0"/>
    <d v="1899-12-30T00:04:00"/>
    <n v="6.6666666666666666E-2"/>
    <x v="77"/>
    <x v="15"/>
    <n v="4.3"/>
    <n v="64.5"/>
    <x v="6"/>
    <x v="6"/>
  </r>
  <r>
    <x v="85"/>
    <x v="230"/>
    <d v="2016-11-01T13:46:00"/>
    <x v="85"/>
    <d v="1899-12-30T13:46:00"/>
    <x v="0"/>
    <d v="1899-12-30T00:14:00"/>
    <n v="0.23333333333333334"/>
    <x v="78"/>
    <x v="73"/>
    <n v="1.7"/>
    <n v="7.2857142857142856"/>
    <x v="6"/>
    <x v="6"/>
  </r>
  <r>
    <x v="85"/>
    <x v="231"/>
    <d v="2016-11-01T14:43:00"/>
    <x v="85"/>
    <d v="1899-12-30T14:43:00"/>
    <x v="0"/>
    <d v="1899-12-30T00:13:00"/>
    <n v="0.21666666666666667"/>
    <x v="79"/>
    <x v="23"/>
    <n v="1.9"/>
    <n v="8.7692307692307683"/>
    <x v="6"/>
    <x v="6"/>
  </r>
  <r>
    <x v="20"/>
    <x v="123"/>
    <d v="2016-12-01T12:49:00"/>
    <x v="20"/>
    <d v="1899-12-30T12:49:00"/>
    <x v="0"/>
    <d v="1899-12-30T00:16:00"/>
    <n v="0.26666666666666666"/>
    <x v="78"/>
    <x v="44"/>
    <n v="1.9"/>
    <n v="7.125"/>
    <x v="6"/>
    <x v="6"/>
  </r>
  <r>
    <x v="20"/>
    <x v="232"/>
    <d v="2016-12-01T13:09:00"/>
    <x v="20"/>
    <d v="1899-12-30T13:09:00"/>
    <x v="0"/>
    <d v="1899-12-30T00:16:00"/>
    <n v="0.26666666666666666"/>
    <x v="17"/>
    <x v="74"/>
    <n v="4"/>
    <n v="15"/>
    <x v="6"/>
    <x v="6"/>
  </r>
  <r>
    <x v="86"/>
    <x v="233"/>
    <m/>
    <x v="86"/>
    <d v="1899-12-30T12:03:00"/>
    <x v="0"/>
    <d v="1899-12-30T00:20:00"/>
    <n v="0.33333333333333331"/>
    <x v="2"/>
    <x v="31"/>
    <n v="10.4"/>
    <n v="31.200000000000003"/>
    <x v="6"/>
    <x v="6"/>
  </r>
  <r>
    <x v="86"/>
    <x v="234"/>
    <m/>
    <x v="86"/>
    <d v="1899-12-30T13:44:00"/>
    <x v="0"/>
    <d v="1899-12-30T00:18:00"/>
    <n v="0.3"/>
    <x v="24"/>
    <x v="3"/>
    <n v="10.4"/>
    <n v="34.666666666666671"/>
    <x v="6"/>
    <x v="6"/>
  </r>
  <r>
    <x v="131"/>
    <x v="235"/>
    <m/>
    <x v="131"/>
    <d v="1899-12-30T15:06:00"/>
    <x v="0"/>
    <d v="1899-12-30T00:11:00"/>
    <n v="0.18333333333333332"/>
    <x v="2"/>
    <x v="3"/>
    <n v="4.8"/>
    <n v="26.181818181818183"/>
    <x v="6"/>
    <x v="6"/>
  </r>
  <r>
    <x v="131"/>
    <x v="236"/>
    <m/>
    <x v="131"/>
    <d v="1899-12-30T16:24:00"/>
    <x v="0"/>
    <d v="1899-12-30T00:11:00"/>
    <n v="0.18333333333333332"/>
    <x v="80"/>
    <x v="6"/>
    <n v="4.7"/>
    <n v="25.63636363636364"/>
    <x v="6"/>
    <x v="6"/>
  </r>
  <r>
    <x v="87"/>
    <x v="237"/>
    <m/>
    <x v="87"/>
    <d v="1899-12-30T14:51:00"/>
    <x v="0"/>
    <d v="1899-12-30T00:08:00"/>
    <n v="0.13333333333333333"/>
    <x v="2"/>
    <x v="3"/>
    <n v="2.4"/>
    <n v="18"/>
    <x v="6"/>
    <x v="6"/>
  </r>
  <r>
    <x v="87"/>
    <x v="238"/>
    <m/>
    <x v="87"/>
    <d v="1899-12-30T16:06:00"/>
    <x v="0"/>
    <d v="1899-12-30T00:05:00"/>
    <n v="8.3333333333333329E-2"/>
    <x v="2"/>
    <x v="3"/>
    <n v="1"/>
    <n v="12"/>
    <x v="6"/>
    <x v="6"/>
  </r>
  <r>
    <x v="88"/>
    <x v="239"/>
    <m/>
    <x v="88"/>
    <d v="1899-12-30T10:50:00"/>
    <x v="0"/>
    <d v="1899-12-30T00:09:00"/>
    <n v="0.15"/>
    <x v="4"/>
    <x v="63"/>
    <n v="2"/>
    <n v="13.333333333333334"/>
    <x v="6"/>
    <x v="6"/>
  </r>
  <r>
    <x v="24"/>
    <x v="240"/>
    <m/>
    <x v="24"/>
    <d v="1899-12-30T21:40:00"/>
    <x v="0"/>
    <d v="1899-12-30T00:19:00"/>
    <n v="0.31666666666666665"/>
    <x v="20"/>
    <x v="3"/>
    <n v="5.5"/>
    <n v="17.368421052631579"/>
    <x v="6"/>
    <x v="6"/>
  </r>
  <r>
    <x v="26"/>
    <x v="241"/>
    <d v="2016-01-02T13:07:00"/>
    <x v="26"/>
    <d v="1899-12-30T13:07:00"/>
    <x v="0"/>
    <d v="1899-12-30T00:11:00"/>
    <n v="0.18333333333333332"/>
    <x v="81"/>
    <x v="6"/>
    <n v="3.9"/>
    <n v="21.272727272727273"/>
    <x v="6"/>
    <x v="6"/>
  </r>
  <r>
    <x v="90"/>
    <x v="242"/>
    <d v="2016-04-02T10:09:00"/>
    <x v="90"/>
    <d v="1899-12-30T10:09:00"/>
    <x v="0"/>
    <d v="1899-12-30T00:32:00"/>
    <n v="0.53333333333333333"/>
    <x v="5"/>
    <x v="3"/>
    <n v="9.6999999999999993"/>
    <n v="18.1875"/>
    <x v="6"/>
    <x v="6"/>
  </r>
  <r>
    <x v="90"/>
    <x v="243"/>
    <d v="2016-04-02T10:32:00"/>
    <x v="90"/>
    <d v="1899-12-30T10:32:00"/>
    <x v="0"/>
    <d v="1899-12-30T00:06:00"/>
    <n v="0.1"/>
    <x v="2"/>
    <x v="3"/>
    <n v="1.6"/>
    <n v="16"/>
    <x v="6"/>
    <x v="6"/>
  </r>
  <r>
    <x v="90"/>
    <x v="244"/>
    <d v="2016-04-02T16:03:00"/>
    <x v="90"/>
    <d v="1899-12-30T16:03:00"/>
    <x v="0"/>
    <d v="1899-12-30T00:04:00"/>
    <n v="6.6666666666666666E-2"/>
    <x v="2"/>
    <x v="3"/>
    <n v="1.1000000000000001"/>
    <n v="16.5"/>
    <x v="6"/>
    <x v="6"/>
  </r>
  <r>
    <x v="90"/>
    <x v="245"/>
    <d v="2016-04-02T16:39:00"/>
    <x v="90"/>
    <d v="1899-12-30T16:39:00"/>
    <x v="0"/>
    <d v="1899-12-30T00:04:00"/>
    <n v="6.6666666666666666E-2"/>
    <x v="2"/>
    <x v="3"/>
    <n v="1.6"/>
    <n v="24"/>
    <x v="6"/>
    <x v="6"/>
  </r>
  <r>
    <x v="3"/>
    <x v="136"/>
    <d v="2016-06-02T19:37:00"/>
    <x v="3"/>
    <d v="1899-12-30T19:37:00"/>
    <x v="0"/>
    <d v="1899-12-30T00:09:00"/>
    <n v="0.15"/>
    <x v="42"/>
    <x v="6"/>
    <n v="3.2"/>
    <n v="21.333333333333336"/>
    <x v="6"/>
    <x v="6"/>
  </r>
  <r>
    <x v="132"/>
    <x v="246"/>
    <d v="2016-08-02T13:08:00"/>
    <x v="132"/>
    <d v="1899-12-30T13:08:00"/>
    <x v="0"/>
    <d v="1899-12-30T00:11:00"/>
    <n v="0.18333333333333332"/>
    <x v="4"/>
    <x v="51"/>
    <n v="4.3"/>
    <n v="23.454545454545457"/>
    <x v="6"/>
    <x v="6"/>
  </r>
  <r>
    <x v="132"/>
    <x v="247"/>
    <d v="2016-08-02T14:10:00"/>
    <x v="132"/>
    <d v="1899-12-30T14:10:00"/>
    <x v="0"/>
    <d v="1899-12-30T00:10:00"/>
    <n v="0.16666666666666666"/>
    <x v="42"/>
    <x v="6"/>
    <n v="2.7"/>
    <n v="16.200000000000003"/>
    <x v="6"/>
    <x v="6"/>
  </r>
  <r>
    <x v="133"/>
    <x v="103"/>
    <d v="2016-09-02T20:40:00"/>
    <x v="133"/>
    <d v="1899-12-30T20:40:00"/>
    <x v="0"/>
    <d v="1899-12-30T00:16:00"/>
    <n v="0.26666666666666666"/>
    <x v="5"/>
    <x v="3"/>
    <n v="6.1"/>
    <n v="22.875"/>
    <x v="6"/>
    <x v="6"/>
  </r>
  <r>
    <x v="134"/>
    <x v="248"/>
    <d v="2016-11-02T17:10:00"/>
    <x v="134"/>
    <d v="1899-12-30T17:10:00"/>
    <x v="0"/>
    <d v="1899-12-30T00:42:00"/>
    <n v="0.7"/>
    <x v="2"/>
    <x v="2"/>
    <n v="17.3"/>
    <n v="24.714285714285715"/>
    <x v="6"/>
    <x v="6"/>
  </r>
  <r>
    <x v="134"/>
    <x v="249"/>
    <d v="2016-11-02T18:10:00"/>
    <x v="134"/>
    <d v="1899-12-30T18:10:00"/>
    <x v="0"/>
    <d v="1899-12-30T00:21:00"/>
    <n v="0.35"/>
    <x v="82"/>
    <x v="75"/>
    <n v="5.7"/>
    <n v="16.285714285714288"/>
    <x v="6"/>
    <x v="6"/>
  </r>
  <r>
    <x v="29"/>
    <x v="125"/>
    <s v="2/16/2016 17:26"/>
    <x v="29"/>
    <d v="1899-12-30T17:26:00"/>
    <x v="0"/>
    <d v="1899-12-30T00:09:00"/>
    <n v="0.15"/>
    <x v="83"/>
    <x v="76"/>
    <n v="1.1000000000000001"/>
    <n v="7.3333333333333339"/>
    <x v="6"/>
    <x v="6"/>
  </r>
  <r>
    <x v="91"/>
    <x v="250"/>
    <s v="2/17/2016 15:22"/>
    <x v="91"/>
    <d v="1899-12-30T15:22:00"/>
    <x v="0"/>
    <d v="1899-12-30T00:05:00"/>
    <n v="8.3333333333333329E-2"/>
    <x v="83"/>
    <x v="77"/>
    <n v="1.7"/>
    <n v="20.400000000000002"/>
    <x v="6"/>
    <x v="6"/>
  </r>
  <r>
    <x v="93"/>
    <x v="251"/>
    <s v="2/21/2016 12:35"/>
    <x v="93"/>
    <d v="1899-12-30T12:35:00"/>
    <x v="0"/>
    <d v="1899-12-30T00:22:00"/>
    <n v="0.36666666666666664"/>
    <x v="46"/>
    <x v="0"/>
    <n v="8.8000000000000007"/>
    <n v="24.000000000000004"/>
    <x v="6"/>
    <x v="6"/>
  </r>
  <r>
    <x v="93"/>
    <x v="166"/>
    <s v="2/21/2016 15:41"/>
    <x v="93"/>
    <d v="1899-12-30T15:41:00"/>
    <x v="0"/>
    <d v="1899-12-30T00:05:00"/>
    <n v="8.3333333333333329E-2"/>
    <x v="84"/>
    <x v="0"/>
    <n v="2.2000000000000002"/>
    <n v="26.400000000000002"/>
    <x v="6"/>
    <x v="6"/>
  </r>
  <r>
    <x v="95"/>
    <x v="169"/>
    <s v="2/25/2016 17:36"/>
    <x v="95"/>
    <d v="1899-12-30T17:36:00"/>
    <x v="0"/>
    <d v="1899-12-30T00:20:00"/>
    <n v="0.33333333333333331"/>
    <x v="4"/>
    <x v="7"/>
    <n v="6"/>
    <n v="18"/>
    <x v="6"/>
    <x v="6"/>
  </r>
  <r>
    <x v="95"/>
    <x v="252"/>
    <s v="2/25/2016 18:39"/>
    <x v="95"/>
    <d v="1899-12-30T18:39:00"/>
    <x v="0"/>
    <d v="1899-12-30T00:17:00"/>
    <n v="0.28333333333333333"/>
    <x v="85"/>
    <x v="6"/>
    <n v="5.8"/>
    <n v="20.470588235294116"/>
    <x v="6"/>
    <x v="6"/>
  </r>
  <r>
    <x v="135"/>
    <x v="106"/>
    <d v="2016-01-03T19:10:00"/>
    <x v="135"/>
    <d v="1899-12-30T19:10:00"/>
    <x v="0"/>
    <d v="1899-12-30T00:23:00"/>
    <n v="0.38333333333333336"/>
    <x v="4"/>
    <x v="78"/>
    <n v="8"/>
    <n v="20.869565217391305"/>
    <x v="6"/>
    <x v="6"/>
  </r>
  <r>
    <x v="33"/>
    <x v="253"/>
    <d v="2016-03-03T14:58:00"/>
    <x v="33"/>
    <d v="1899-12-30T14:58:00"/>
    <x v="0"/>
    <d v="1899-12-30T00:14:00"/>
    <n v="0.23333333333333334"/>
    <x v="4"/>
    <x v="79"/>
    <n v="5.2"/>
    <n v="22.285714285714285"/>
    <x v="6"/>
    <x v="6"/>
  </r>
  <r>
    <x v="34"/>
    <x v="254"/>
    <d v="2016-04-03T16:08:00"/>
    <x v="34"/>
    <d v="1899-12-30T16:08:00"/>
    <x v="0"/>
    <d v="1899-12-30T00:12:00"/>
    <n v="0.2"/>
    <x v="3"/>
    <x v="2"/>
    <n v="4.9000000000000004"/>
    <n v="24.5"/>
    <x v="6"/>
    <x v="6"/>
  </r>
  <r>
    <x v="34"/>
    <x v="255"/>
    <d v="2016-04-03T19:25:00"/>
    <x v="34"/>
    <d v="1899-12-30T19:25:00"/>
    <x v="0"/>
    <d v="1899-12-30T00:09:00"/>
    <n v="0.15"/>
    <x v="5"/>
    <x v="3"/>
    <n v="2"/>
    <n v="13.333333333333334"/>
    <x v="6"/>
    <x v="6"/>
  </r>
  <r>
    <x v="136"/>
    <x v="256"/>
    <d v="2016-05-03T11:59:00"/>
    <x v="136"/>
    <d v="1899-12-30T11:59:00"/>
    <x v="0"/>
    <d v="1899-12-30T00:15:00"/>
    <n v="0.25"/>
    <x v="2"/>
    <x v="32"/>
    <n v="6.5"/>
    <n v="26"/>
    <x v="6"/>
    <x v="6"/>
  </r>
  <r>
    <x v="136"/>
    <x v="10"/>
    <d v="2016-05-03T15:01:00"/>
    <x v="136"/>
    <d v="1899-12-30T15:01:00"/>
    <x v="0"/>
    <d v="1899-12-30T00:22:00"/>
    <n v="0.36666666666666664"/>
    <x v="4"/>
    <x v="78"/>
    <n v="7.8"/>
    <n v="21.272727272727273"/>
    <x v="6"/>
    <x v="6"/>
  </r>
  <r>
    <x v="136"/>
    <x v="53"/>
    <d v="2016-05-03T17:13:00"/>
    <x v="136"/>
    <d v="1899-12-30T17:13:00"/>
    <x v="0"/>
    <d v="1899-12-30T00:21:00"/>
    <n v="0.35"/>
    <x v="2"/>
    <x v="32"/>
    <n v="7.8"/>
    <n v="22.285714285714288"/>
    <x v="6"/>
    <x v="6"/>
  </r>
  <r>
    <x v="136"/>
    <x v="257"/>
    <d v="2016-05-03T17:34:00"/>
    <x v="136"/>
    <d v="1899-12-30T17:34:00"/>
    <x v="0"/>
    <d v="1899-12-30T00:11:00"/>
    <n v="0.18333333333333332"/>
    <x v="5"/>
    <x v="3"/>
    <n v="3.9"/>
    <n v="21.272727272727273"/>
    <x v="6"/>
    <x v="6"/>
  </r>
  <r>
    <x v="5"/>
    <x v="258"/>
    <d v="2016-08-03T16:00:00"/>
    <x v="5"/>
    <d v="1899-12-30T16:00:00"/>
    <x v="0"/>
    <d v="1899-12-30T00:25:00"/>
    <n v="0.41666666666666669"/>
    <x v="86"/>
    <x v="6"/>
    <n v="7.6"/>
    <n v="18.239999999999998"/>
    <x v="6"/>
    <x v="6"/>
  </r>
  <r>
    <x v="137"/>
    <x v="259"/>
    <d v="2016-11-03T09:59:00"/>
    <x v="137"/>
    <d v="1899-12-30T09:59:00"/>
    <x v="0"/>
    <d v="1899-12-30T00:12:00"/>
    <n v="0.2"/>
    <x v="56"/>
    <x v="80"/>
    <n v="2"/>
    <n v="10"/>
    <x v="6"/>
    <x v="6"/>
  </r>
  <r>
    <x v="138"/>
    <x v="260"/>
    <s v="3/13/2016 9:37"/>
    <x v="138"/>
    <d v="1899-12-30T09:37:00"/>
    <x v="0"/>
    <d v="1899-12-30T00:30:00"/>
    <n v="0.5"/>
    <x v="56"/>
    <x v="81"/>
    <n v="5.7"/>
    <n v="11.4"/>
    <x v="6"/>
    <x v="6"/>
  </r>
  <r>
    <x v="138"/>
    <x v="261"/>
    <s v="3/13/2016 18:43"/>
    <x v="138"/>
    <d v="1899-12-30T18:43:00"/>
    <x v="0"/>
    <d v="1899-12-30T00:20:00"/>
    <n v="0.33333333333333331"/>
    <x v="87"/>
    <x v="82"/>
    <n v="8.4"/>
    <n v="25.200000000000003"/>
    <x v="6"/>
    <x v="6"/>
  </r>
  <r>
    <x v="138"/>
    <x v="262"/>
    <s v="3/13/2016 20:28"/>
    <x v="138"/>
    <d v="1899-12-30T20:28:00"/>
    <x v="0"/>
    <d v="1899-12-30T00:21:00"/>
    <n v="0.35"/>
    <x v="88"/>
    <x v="83"/>
    <n v="6.2"/>
    <n v="17.714285714285715"/>
    <x v="6"/>
    <x v="6"/>
  </r>
  <r>
    <x v="138"/>
    <x v="263"/>
    <s v="3/13/2016 20:58"/>
    <x v="138"/>
    <d v="1899-12-30T20:58:00"/>
    <x v="0"/>
    <d v="1899-12-30T00:19:00"/>
    <n v="0.31666666666666665"/>
    <x v="56"/>
    <x v="82"/>
    <n v="10.5"/>
    <n v="33.15789473684211"/>
    <x v="6"/>
    <x v="6"/>
  </r>
  <r>
    <x v="138"/>
    <x v="228"/>
    <s v="3/13/2016 21:23"/>
    <x v="138"/>
    <d v="1899-12-30T21:23:00"/>
    <x v="0"/>
    <d v="1899-12-30T00:12:00"/>
    <n v="0.2"/>
    <x v="89"/>
    <x v="84"/>
    <n v="7.2"/>
    <n v="36"/>
    <x v="6"/>
    <x v="6"/>
  </r>
  <r>
    <x v="139"/>
    <x v="264"/>
    <s v="3/15/2016 8:57"/>
    <x v="139"/>
    <d v="1899-12-30T08:57:00"/>
    <x v="0"/>
    <d v="1899-12-30T00:12:00"/>
    <n v="0.2"/>
    <x v="56"/>
    <x v="81"/>
    <n v="2"/>
    <n v="10"/>
    <x v="6"/>
    <x v="6"/>
  </r>
  <r>
    <x v="139"/>
    <x v="102"/>
    <s v="3/15/2016 21:01"/>
    <x v="139"/>
    <d v="1899-12-30T21:01:00"/>
    <x v="0"/>
    <d v="1899-12-30T00:13:00"/>
    <n v="0.21666666666666667"/>
    <x v="72"/>
    <x v="83"/>
    <n v="2.8"/>
    <n v="12.923076923076922"/>
    <x v="6"/>
    <x v="6"/>
  </r>
  <r>
    <x v="140"/>
    <x v="265"/>
    <s v="3/16/2016 11:45"/>
    <x v="140"/>
    <d v="1899-12-30T11:45:00"/>
    <x v="0"/>
    <d v="1899-12-30T00:11:00"/>
    <n v="0.18333333333333332"/>
    <x v="56"/>
    <x v="80"/>
    <n v="1.7"/>
    <n v="9.2727272727272734"/>
    <x v="6"/>
    <x v="6"/>
  </r>
  <r>
    <x v="140"/>
    <x v="192"/>
    <s v="3/16/2016 18:56"/>
    <x v="140"/>
    <d v="1899-12-30T18:56:00"/>
    <x v="0"/>
    <d v="1899-12-30T00:13:00"/>
    <n v="0.21666666666666667"/>
    <x v="90"/>
    <x v="80"/>
    <n v="2.1"/>
    <n v="9.6923076923076916"/>
    <x v="6"/>
    <x v="6"/>
  </r>
  <r>
    <x v="35"/>
    <x v="266"/>
    <s v="3/17/2016 18:02"/>
    <x v="35"/>
    <d v="1899-12-30T18:02:00"/>
    <x v="0"/>
    <d v="1899-12-30T00:42:00"/>
    <n v="0.7"/>
    <x v="78"/>
    <x v="85"/>
    <n v="15.5"/>
    <n v="22.142857142857146"/>
    <x v="6"/>
    <x v="6"/>
  </r>
  <r>
    <x v="36"/>
    <x v="267"/>
    <s v="3/18/2016 7:21"/>
    <x v="36"/>
    <d v="1899-12-30T07:21:00"/>
    <x v="0"/>
    <d v="1899-12-30T00:06:00"/>
    <n v="0.1"/>
    <x v="78"/>
    <x v="23"/>
    <n v="1.1000000000000001"/>
    <n v="11"/>
    <x v="6"/>
    <x v="6"/>
  </r>
  <r>
    <x v="36"/>
    <x v="268"/>
    <s v="3/18/2016 8:43"/>
    <x v="36"/>
    <d v="1899-12-30T08:43:00"/>
    <x v="0"/>
    <d v="1899-12-30T00:08:00"/>
    <n v="0.13333333333333333"/>
    <x v="78"/>
    <x v="23"/>
    <n v="1.1000000000000001"/>
    <n v="8.25"/>
    <x v="6"/>
    <x v="6"/>
  </r>
  <r>
    <x v="37"/>
    <x v="142"/>
    <s v="3/19/2016 9:25"/>
    <x v="37"/>
    <d v="1899-12-30T09:25:00"/>
    <x v="0"/>
    <d v="1899-12-30T00:15:00"/>
    <n v="0.25"/>
    <x v="78"/>
    <x v="53"/>
    <n v="9.4"/>
    <n v="37.6"/>
    <x v="6"/>
    <x v="6"/>
  </r>
  <r>
    <x v="37"/>
    <x v="269"/>
    <s v="3/19/2016 16:38"/>
    <x v="37"/>
    <d v="1899-12-30T16:38:00"/>
    <x v="0"/>
    <d v="1899-12-30T01:04:00"/>
    <n v="1.0666666666666667"/>
    <x v="18"/>
    <x v="86"/>
    <n v="36.5"/>
    <n v="34.21875"/>
    <x v="6"/>
    <x v="6"/>
  </r>
  <r>
    <x v="37"/>
    <x v="125"/>
    <s v="3/19/2016 17:32"/>
    <x v="37"/>
    <d v="1899-12-30T17:32:00"/>
    <x v="0"/>
    <d v="1899-12-30T00:15:00"/>
    <n v="0.25"/>
    <x v="29"/>
    <x v="54"/>
    <n v="3.1"/>
    <n v="12.4"/>
    <x v="6"/>
    <x v="6"/>
  </r>
  <r>
    <x v="141"/>
    <x v="270"/>
    <s v="3/21/2016 16:13"/>
    <x v="141"/>
    <d v="1899-12-30T16:13:00"/>
    <x v="0"/>
    <d v="1899-12-30T00:08:00"/>
    <n v="0.13333333333333333"/>
    <x v="72"/>
    <x v="23"/>
    <n v="0.9"/>
    <n v="6.75"/>
    <x v="6"/>
    <x v="6"/>
  </r>
  <r>
    <x v="141"/>
    <x v="271"/>
    <s v="3/21/2016 20:55"/>
    <x v="141"/>
    <d v="1899-12-30T20:55:00"/>
    <x v="0"/>
    <d v="1899-12-30T00:37:00"/>
    <n v="0.6166666666666667"/>
    <x v="27"/>
    <x v="23"/>
    <n v="25.6"/>
    <n v="41.513513513513516"/>
    <x v="6"/>
    <x v="6"/>
  </r>
  <r>
    <x v="142"/>
    <x v="272"/>
    <s v="3/22/2016 6:43"/>
    <x v="142"/>
    <d v="1899-12-30T06:43:00"/>
    <x v="0"/>
    <d v="1899-12-30T00:26:00"/>
    <n v="0.43333333333333335"/>
    <x v="78"/>
    <x v="87"/>
    <n v="23"/>
    <n v="53.076923076923073"/>
    <x v="6"/>
    <x v="6"/>
  </r>
  <r>
    <x v="40"/>
    <x v="273"/>
    <s v="3/27/2016 1:23"/>
    <x v="40"/>
    <d v="1899-12-30T01:23:00"/>
    <x v="0"/>
    <d v="1899-12-30T00:12:00"/>
    <n v="0.2"/>
    <x v="91"/>
    <x v="88"/>
    <n v="6.6"/>
    <n v="32.999999999999993"/>
    <x v="6"/>
    <x v="6"/>
  </r>
  <r>
    <x v="143"/>
    <x v="274"/>
    <s v="3/30/2016 22:55"/>
    <x v="143"/>
    <d v="1899-12-30T22:55:00"/>
    <x v="0"/>
    <d v="1899-12-30T00:50:00"/>
    <n v="0.83333333333333337"/>
    <x v="91"/>
    <x v="88"/>
    <n v="28.8"/>
    <n v="34.56"/>
    <x v="6"/>
    <x v="6"/>
  </r>
  <r>
    <x v="144"/>
    <x v="275"/>
    <s v="3/31/2016 15:09"/>
    <x v="144"/>
    <d v="1899-12-30T15:09:00"/>
    <x v="0"/>
    <d v="1899-12-30T00:32:00"/>
    <n v="0.53333333333333333"/>
    <x v="91"/>
    <x v="88"/>
    <n v="16.399999999999999"/>
    <n v="30.749999999999996"/>
    <x v="6"/>
    <x v="6"/>
  </r>
  <r>
    <x v="145"/>
    <x v="120"/>
    <d v="2016-05-04T21:55:00"/>
    <x v="145"/>
    <d v="1899-12-30T21:55:00"/>
    <x v="0"/>
    <d v="1899-12-30T00:16:00"/>
    <n v="0.26666666666666666"/>
    <x v="4"/>
    <x v="78"/>
    <n v="7.9"/>
    <n v="29.625"/>
    <x v="6"/>
    <x v="6"/>
  </r>
  <r>
    <x v="146"/>
    <x v="276"/>
    <d v="2016-06-04T00:39:00"/>
    <x v="146"/>
    <d v="1899-12-30T00:39:00"/>
    <x v="0"/>
    <d v="1899-12-30T00:20:00"/>
    <n v="0.33333333333333331"/>
    <x v="92"/>
    <x v="6"/>
    <n v="8"/>
    <n v="24"/>
    <x v="6"/>
    <x v="6"/>
  </r>
  <r>
    <x v="97"/>
    <x v="277"/>
    <d v="2016-07-04T18:39:00"/>
    <x v="97"/>
    <d v="1899-12-30T18:39:00"/>
    <x v="0"/>
    <d v="1899-12-30T00:19:00"/>
    <n v="0.31666666666666665"/>
    <x v="2"/>
    <x v="32"/>
    <n v="6.1"/>
    <n v="19.263157894736842"/>
    <x v="6"/>
    <x v="6"/>
  </r>
  <r>
    <x v="98"/>
    <x v="278"/>
    <d v="2016-08-04T13:51:00"/>
    <x v="98"/>
    <d v="1899-12-30T13:51:00"/>
    <x v="0"/>
    <d v="1899-12-30T00:17:00"/>
    <n v="0.28333333333333333"/>
    <x v="24"/>
    <x v="3"/>
    <n v="8.6999999999999993"/>
    <n v="30.705882352941174"/>
    <x v="6"/>
    <x v="6"/>
  </r>
  <r>
    <x v="43"/>
    <x v="279"/>
    <d v="2016-12-04T14:01:00"/>
    <x v="43"/>
    <d v="1899-12-30T14:01:00"/>
    <x v="0"/>
    <d v="1899-12-30T00:19:00"/>
    <n v="0.31666666666666665"/>
    <x v="5"/>
    <x v="3"/>
    <n v="6.5"/>
    <n v="20.526315789473685"/>
    <x v="6"/>
    <x v="6"/>
  </r>
  <r>
    <x v="100"/>
    <x v="280"/>
    <s v="4/16/2016 15:26"/>
    <x v="100"/>
    <d v="1899-12-30T15:26:00"/>
    <x v="0"/>
    <d v="1899-12-30T00:16:00"/>
    <n v="0.26666666666666666"/>
    <x v="5"/>
    <x v="3"/>
    <n v="6.1"/>
    <n v="22.875"/>
    <x v="6"/>
    <x v="6"/>
  </r>
  <r>
    <x v="147"/>
    <x v="281"/>
    <s v="4/19/2016 18:08"/>
    <x v="147"/>
    <d v="1899-12-30T18:08:00"/>
    <x v="0"/>
    <d v="1899-12-30T00:24:00"/>
    <n v="0.4"/>
    <x v="4"/>
    <x v="78"/>
    <n v="8.1999999999999993"/>
    <n v="20.499999999999996"/>
    <x v="6"/>
    <x v="6"/>
  </r>
  <r>
    <x v="147"/>
    <x v="282"/>
    <s v="4/19/2016 20:19"/>
    <x v="147"/>
    <d v="1899-12-30T20:19:00"/>
    <x v="0"/>
    <d v="1899-12-30T00:22:00"/>
    <n v="0.36666666666666664"/>
    <x v="92"/>
    <x v="6"/>
    <n v="8"/>
    <n v="21.81818181818182"/>
    <x v="6"/>
    <x v="6"/>
  </r>
  <r>
    <x v="148"/>
    <x v="283"/>
    <s v="4/23/2016 17:16"/>
    <x v="148"/>
    <d v="1899-12-30T17:16:00"/>
    <x v="0"/>
    <d v="1899-12-30T00:13:00"/>
    <n v="0.21666666666666667"/>
    <x v="4"/>
    <x v="7"/>
    <n v="6"/>
    <n v="27.69230769230769"/>
    <x v="6"/>
    <x v="6"/>
  </r>
  <r>
    <x v="148"/>
    <x v="284"/>
    <s v="4/23/2016 19:05"/>
    <x v="148"/>
    <d v="1899-12-30T19:05:00"/>
    <x v="0"/>
    <d v="1899-12-30T00:16:00"/>
    <n v="0.26666666666666666"/>
    <x v="85"/>
    <x v="6"/>
    <n v="6.5"/>
    <n v="24.375"/>
    <x v="6"/>
    <x v="6"/>
  </r>
  <r>
    <x v="149"/>
    <x v="285"/>
    <s v="4/30/2016 18:57"/>
    <x v="149"/>
    <d v="1899-12-30T18:57:00"/>
    <x v="0"/>
    <d v="1899-12-30T00:15:00"/>
    <n v="0.25"/>
    <x v="4"/>
    <x v="4"/>
    <n v="7.7"/>
    <n v="30.8"/>
    <x v="6"/>
    <x v="6"/>
  </r>
  <r>
    <x v="8"/>
    <x v="286"/>
    <d v="2016-01-05T13:53:00"/>
    <x v="8"/>
    <d v="1899-12-30T13:53:00"/>
    <x v="0"/>
    <d v="1899-12-30T00:08:00"/>
    <n v="0.13333333333333333"/>
    <x v="4"/>
    <x v="46"/>
    <n v="2.1"/>
    <n v="15.75"/>
    <x v="6"/>
    <x v="6"/>
  </r>
  <r>
    <x v="101"/>
    <x v="287"/>
    <d v="2016-02-05T15:48:00"/>
    <x v="101"/>
    <d v="1899-12-30T15:48:00"/>
    <x v="0"/>
    <d v="1899-12-30T00:11:00"/>
    <n v="0.18333333333333332"/>
    <x v="55"/>
    <x v="6"/>
    <n v="3.9"/>
    <n v="21.272727272727273"/>
    <x v="6"/>
    <x v="6"/>
  </r>
  <r>
    <x v="150"/>
    <x v="288"/>
    <d v="2016-03-05T22:28:00"/>
    <x v="150"/>
    <d v="1899-12-30T22:28:00"/>
    <x v="0"/>
    <d v="1899-12-30T00:08:00"/>
    <n v="0.13333333333333333"/>
    <x v="5"/>
    <x v="3"/>
    <n v="2.5"/>
    <n v="18.75"/>
    <x v="6"/>
    <x v="6"/>
  </r>
  <r>
    <x v="102"/>
    <x v="289"/>
    <d v="2016-04-05T15:37:00"/>
    <x v="102"/>
    <d v="1899-12-30T15:37:00"/>
    <x v="0"/>
    <d v="1899-12-30T00:21:00"/>
    <n v="0.35"/>
    <x v="2"/>
    <x v="32"/>
    <n v="8.6999999999999993"/>
    <n v="24.857142857142858"/>
    <x v="6"/>
    <x v="6"/>
  </r>
  <r>
    <x v="102"/>
    <x v="290"/>
    <d v="2016-04-05T21:36:00"/>
    <x v="102"/>
    <d v="1899-12-30T21:36:00"/>
    <x v="0"/>
    <d v="1899-12-30T00:06:00"/>
    <n v="0.1"/>
    <x v="93"/>
    <x v="89"/>
    <n v="4.5"/>
    <n v="45"/>
    <x v="6"/>
    <x v="6"/>
  </r>
  <r>
    <x v="102"/>
    <x v="291"/>
    <d v="2016-04-05T22:27:00"/>
    <x v="102"/>
    <d v="1899-12-30T22:27:00"/>
    <x v="0"/>
    <d v="1899-12-30T00:08:00"/>
    <n v="0.13333333333333333"/>
    <x v="94"/>
    <x v="58"/>
    <n v="5"/>
    <n v="37.5"/>
    <x v="6"/>
    <x v="6"/>
  </r>
  <r>
    <x v="103"/>
    <x v="292"/>
    <d v="2016-05-05T21:36:00"/>
    <x v="103"/>
    <d v="1899-12-30T21:36:00"/>
    <x v="0"/>
    <d v="1899-12-30T00:12:00"/>
    <n v="0.2"/>
    <x v="95"/>
    <x v="90"/>
    <n v="14.2"/>
    <n v="70.999999999999986"/>
    <x v="6"/>
    <x v="6"/>
  </r>
  <r>
    <x v="151"/>
    <x v="195"/>
    <s v="5/14/2016 18:39"/>
    <x v="151"/>
    <d v="1899-12-30T18:39:00"/>
    <x v="0"/>
    <d v="1899-12-30T00:04:00"/>
    <n v="6.6666666666666666E-2"/>
    <x v="2"/>
    <x v="32"/>
    <n v="3.1"/>
    <n v="46.5"/>
    <x v="6"/>
    <x v="6"/>
  </r>
  <r>
    <x v="151"/>
    <x v="293"/>
    <s v="5/14/2016 23:05"/>
    <x v="151"/>
    <d v="1899-12-30T23:05:00"/>
    <x v="0"/>
    <d v="1899-12-30T00:04:00"/>
    <n v="6.6666666666666666E-2"/>
    <x v="5"/>
    <x v="3"/>
    <n v="3.1"/>
    <n v="46.5"/>
    <x v="6"/>
    <x v="6"/>
  </r>
  <r>
    <x v="152"/>
    <x v="275"/>
    <s v="5/19/2016 15:01"/>
    <x v="152"/>
    <d v="1899-12-30T15:01:00"/>
    <x v="0"/>
    <d v="1899-12-30T00:24:00"/>
    <n v="0.4"/>
    <x v="96"/>
    <x v="91"/>
    <n v="2.9"/>
    <n v="7.2499999999999991"/>
    <x v="6"/>
    <x v="6"/>
  </r>
  <r>
    <x v="153"/>
    <x v="294"/>
    <s v="5/20/2016 16:12"/>
    <x v="153"/>
    <d v="1899-12-30T16:12:00"/>
    <x v="0"/>
    <d v="1899-12-30T00:29:00"/>
    <n v="0.48333333333333334"/>
    <x v="5"/>
    <x v="3"/>
    <n v="8.1999999999999993"/>
    <n v="16.96551724137931"/>
    <x v="6"/>
    <x v="6"/>
  </r>
  <r>
    <x v="154"/>
    <x v="295"/>
    <s v="5/22/2016 15:46"/>
    <x v="154"/>
    <d v="1899-12-30T15:46:00"/>
    <x v="0"/>
    <d v="1899-12-30T00:07:00"/>
    <n v="0.11666666666666667"/>
    <x v="2"/>
    <x v="32"/>
    <n v="3"/>
    <n v="25.714285714285715"/>
    <x v="6"/>
    <x v="6"/>
  </r>
  <r>
    <x v="154"/>
    <x v="62"/>
    <s v="5/22/2016 18:53"/>
    <x v="154"/>
    <d v="1899-12-30T18:53:00"/>
    <x v="0"/>
    <d v="1899-12-30T00:07:00"/>
    <n v="0.11666666666666667"/>
    <x v="5"/>
    <x v="3"/>
    <n v="2.5"/>
    <n v="21.428571428571427"/>
    <x v="6"/>
    <x v="6"/>
  </r>
  <r>
    <x v="105"/>
    <x v="188"/>
    <s v="5/23/2016 20:27"/>
    <x v="105"/>
    <d v="1899-12-30T20:27:00"/>
    <x v="0"/>
    <d v="1899-12-30T00:08:00"/>
    <n v="0.13333333333333333"/>
    <x v="4"/>
    <x v="36"/>
    <n v="3.6"/>
    <n v="27"/>
    <x v="6"/>
    <x v="6"/>
  </r>
  <r>
    <x v="49"/>
    <x v="46"/>
    <s v="5/28/2016 13:06"/>
    <x v="49"/>
    <d v="1899-12-30T13:06:00"/>
    <x v="0"/>
    <d v="1899-12-30T00:14:00"/>
    <n v="0.23333333333333334"/>
    <x v="2"/>
    <x v="32"/>
    <n v="6.1"/>
    <n v="26.142857142857142"/>
    <x v="6"/>
    <x v="6"/>
  </r>
  <r>
    <x v="10"/>
    <x v="54"/>
    <d v="2016-03-06T15:54:00"/>
    <x v="10"/>
    <d v="1899-12-30T15:54:00"/>
    <x v="0"/>
    <d v="1899-12-30T00:23:00"/>
    <n v="0.38333333333333336"/>
    <x v="2"/>
    <x v="32"/>
    <n v="6"/>
    <n v="15.652173913043477"/>
    <x v="6"/>
    <x v="6"/>
  </r>
  <r>
    <x v="51"/>
    <x v="296"/>
    <d v="2016-05-06T16:08:00"/>
    <x v="51"/>
    <d v="1899-12-30T16:08:00"/>
    <x v="0"/>
    <d v="1899-12-30T00:11:00"/>
    <n v="0.18333333333333332"/>
    <x v="97"/>
    <x v="62"/>
    <n v="3.8"/>
    <n v="20.727272727272727"/>
    <x v="6"/>
    <x v="6"/>
  </r>
  <r>
    <x v="51"/>
    <x v="297"/>
    <d v="2016-05-06T18:14:00"/>
    <x v="51"/>
    <d v="1899-12-30T18:14:00"/>
    <x v="0"/>
    <d v="1899-12-30T00:09:00"/>
    <n v="0.15"/>
    <x v="5"/>
    <x v="3"/>
    <n v="2.5"/>
    <n v="16.666666666666668"/>
    <x v="6"/>
    <x v="6"/>
  </r>
  <r>
    <x v="107"/>
    <x v="298"/>
    <d v="2016-06-06T20:20:00"/>
    <x v="107"/>
    <d v="1899-12-30T20:20:00"/>
    <x v="0"/>
    <d v="1899-12-30T00:14:00"/>
    <n v="0.23333333333333334"/>
    <x v="2"/>
    <x v="47"/>
    <n v="5.7"/>
    <n v="24.428571428571431"/>
    <x v="6"/>
    <x v="6"/>
  </r>
  <r>
    <x v="107"/>
    <x v="299"/>
    <d v="2016-06-06T21:37:00"/>
    <x v="107"/>
    <d v="1899-12-30T21:37:00"/>
    <x v="0"/>
    <d v="1899-12-30T00:29:00"/>
    <n v="0.48333333333333334"/>
    <x v="20"/>
    <x v="3"/>
    <n v="7.2"/>
    <n v="14.896551724137931"/>
    <x v="6"/>
    <x v="6"/>
  </r>
  <r>
    <x v="108"/>
    <x v="300"/>
    <d v="2016-08-06T08:53:00"/>
    <x v="108"/>
    <d v="1899-12-30T08:53:00"/>
    <x v="0"/>
    <d v="1899-12-30T00:30:00"/>
    <n v="0.5"/>
    <x v="2"/>
    <x v="32"/>
    <n v="8.6999999999999993"/>
    <n v="17.399999999999999"/>
    <x v="6"/>
    <x v="6"/>
  </r>
  <r>
    <x v="108"/>
    <x v="301"/>
    <d v="2016-08-06T13:29:00"/>
    <x v="108"/>
    <d v="1899-12-30T13:29:00"/>
    <x v="0"/>
    <d v="1899-12-30T00:17:00"/>
    <n v="0.28333333333333333"/>
    <x v="98"/>
    <x v="92"/>
    <n v="3.3"/>
    <n v="11.647058823529411"/>
    <x v="6"/>
    <x v="6"/>
  </r>
  <r>
    <x v="108"/>
    <x v="302"/>
    <d v="2016-08-06T17:11:00"/>
    <x v="108"/>
    <d v="1899-12-30T17:11:00"/>
    <x v="0"/>
    <d v="1899-12-30T00:16:00"/>
    <n v="0.26666666666666666"/>
    <x v="99"/>
    <x v="93"/>
    <n v="2.5"/>
    <n v="9.375"/>
    <x v="6"/>
    <x v="6"/>
  </r>
  <r>
    <x v="109"/>
    <x v="303"/>
    <d v="2016-11-06T17:39:00"/>
    <x v="109"/>
    <d v="1899-12-30T17:39:00"/>
    <x v="0"/>
    <d v="1899-12-30T00:05:00"/>
    <n v="8.3333333333333329E-2"/>
    <x v="5"/>
    <x v="3"/>
    <n v="4.5999999999999996"/>
    <n v="55.199999999999996"/>
    <x v="6"/>
    <x v="6"/>
  </r>
  <r>
    <x v="110"/>
    <x v="98"/>
    <d v="2016-12-06T19:56:00"/>
    <x v="110"/>
    <d v="1899-12-30T19:56:00"/>
    <x v="0"/>
    <d v="1899-12-30T00:03:00"/>
    <n v="0.05"/>
    <x v="2"/>
    <x v="32"/>
    <n v="2.5"/>
    <n v="50"/>
    <x v="6"/>
    <x v="6"/>
  </r>
  <r>
    <x v="52"/>
    <x v="304"/>
    <s v="6/13/2016 5:42"/>
    <x v="52"/>
    <d v="1899-12-30T05:42:00"/>
    <x v="0"/>
    <d v="1899-12-30T00:19:00"/>
    <n v="0.31666666666666665"/>
    <x v="2"/>
    <x v="32"/>
    <n v="8.4"/>
    <n v="26.526315789473685"/>
    <x v="6"/>
    <x v="6"/>
  </r>
  <r>
    <x v="52"/>
    <x v="305"/>
    <s v="6/13/2016 18:47"/>
    <x v="52"/>
    <d v="1899-12-30T18:47:00"/>
    <x v="0"/>
    <d v="1899-12-30T00:39:00"/>
    <n v="0.65"/>
    <x v="75"/>
    <x v="13"/>
    <n v="3.9"/>
    <n v="6"/>
    <x v="6"/>
    <x v="6"/>
  </r>
  <r>
    <x v="52"/>
    <x v="306"/>
    <s v="6/13/2016 19:23"/>
    <x v="52"/>
    <d v="1899-12-30T19:23:00"/>
    <x v="0"/>
    <d v="1899-12-30T00:29:00"/>
    <n v="0.48333333333333334"/>
    <x v="11"/>
    <x v="39"/>
    <n v="5.0999999999999996"/>
    <n v="10.551724137931034"/>
    <x v="6"/>
    <x v="6"/>
  </r>
  <r>
    <x v="11"/>
    <x v="307"/>
    <s v="6/15/2016 19:58"/>
    <x v="11"/>
    <d v="1899-12-30T19:58:00"/>
    <x v="0"/>
    <d v="1899-12-30T00:06:00"/>
    <n v="0.1"/>
    <x v="100"/>
    <x v="94"/>
    <n v="1.5"/>
    <n v="15"/>
    <x v="6"/>
    <x v="6"/>
  </r>
  <r>
    <x v="155"/>
    <x v="308"/>
    <s v="6/21/2016 18:02"/>
    <x v="155"/>
    <d v="1899-12-30T18:02:00"/>
    <x v="0"/>
    <d v="1899-12-30T00:51:00"/>
    <n v="0.85"/>
    <x v="3"/>
    <x v="3"/>
    <n v="16.600000000000001"/>
    <n v="19.529411764705884"/>
    <x v="6"/>
    <x v="6"/>
  </r>
  <r>
    <x v="112"/>
    <x v="239"/>
    <s v="6/24/2016 10:57"/>
    <x v="112"/>
    <d v="1899-12-30T10:57:00"/>
    <x v="0"/>
    <d v="1899-12-30T00:16:00"/>
    <n v="0.26666666666666666"/>
    <x v="4"/>
    <x v="4"/>
    <n v="7.1"/>
    <n v="26.625"/>
    <x v="6"/>
    <x v="6"/>
  </r>
  <r>
    <x v="112"/>
    <x v="309"/>
    <s v="6/24/2016 12:01"/>
    <x v="112"/>
    <d v="1899-12-30T12:01:00"/>
    <x v="0"/>
    <d v="1899-12-30T00:07:00"/>
    <n v="0.11666666666666667"/>
    <x v="86"/>
    <x v="95"/>
    <n v="2.1"/>
    <n v="18"/>
    <x v="6"/>
    <x v="6"/>
  </r>
  <r>
    <x v="12"/>
    <x v="310"/>
    <s v="6/25/2016 11:18"/>
    <x v="12"/>
    <d v="1899-12-30T11:18:00"/>
    <x v="0"/>
    <d v="1899-12-30T00:28:00"/>
    <n v="0.46666666666666667"/>
    <x v="101"/>
    <x v="96"/>
    <n v="17"/>
    <n v="36.428571428571431"/>
    <x v="6"/>
    <x v="6"/>
  </r>
  <r>
    <x v="54"/>
    <x v="311"/>
    <d v="2016-06-07T00:53:00"/>
    <x v="54"/>
    <d v="1899-12-30T00:53:00"/>
    <x v="0"/>
    <d v="1899-12-30T00:20:00"/>
    <n v="0.33333333333333331"/>
    <x v="5"/>
    <x v="3"/>
    <n v="6.3"/>
    <n v="18.900000000000002"/>
    <x v="6"/>
    <x v="6"/>
  </r>
  <r>
    <x v="54"/>
    <x v="312"/>
    <d v="2016-06-07T20:14:00"/>
    <x v="54"/>
    <d v="1899-12-30T20:14:00"/>
    <x v="0"/>
    <d v="1899-12-30T00:10:00"/>
    <n v="0.16666666666666666"/>
    <x v="2"/>
    <x v="32"/>
    <n v="3.3"/>
    <n v="19.8"/>
    <x v="6"/>
    <x v="6"/>
  </r>
  <r>
    <x v="117"/>
    <x v="313"/>
    <s v="7/18/2016 18:47"/>
    <x v="117"/>
    <d v="1899-12-30T18:47:00"/>
    <x v="0"/>
    <d v="1899-12-30T00:15:00"/>
    <n v="0.25"/>
    <x v="20"/>
    <x v="3"/>
    <n v="5.5"/>
    <n v="22"/>
    <x v="6"/>
    <x v="6"/>
  </r>
  <r>
    <x v="117"/>
    <x v="151"/>
    <s v="7/18/2016 19:14"/>
    <x v="117"/>
    <d v="1899-12-30T19:14:00"/>
    <x v="0"/>
    <d v="1899-12-30T00:07:00"/>
    <n v="0.11666666666666667"/>
    <x v="2"/>
    <x v="32"/>
    <n v="3.3"/>
    <n v="28.285714285714285"/>
    <x v="6"/>
    <x v="6"/>
  </r>
  <r>
    <x v="117"/>
    <x v="228"/>
    <s v="7/18/2016 21:19"/>
    <x v="117"/>
    <d v="1899-12-30T21:19:00"/>
    <x v="0"/>
    <d v="1899-12-30T00:08:00"/>
    <n v="0.13333333333333333"/>
    <x v="5"/>
    <x v="3"/>
    <n v="3.8"/>
    <n v="28.5"/>
    <x v="6"/>
    <x v="6"/>
  </r>
  <r>
    <x v="55"/>
    <x v="314"/>
    <s v="7/19/2016 12:00"/>
    <x v="55"/>
    <d v="1899-12-30T12:00:00"/>
    <x v="0"/>
    <d v="1899-12-30T00:30:00"/>
    <n v="0.5"/>
    <x v="102"/>
    <x v="6"/>
    <n v="8.6999999999999993"/>
    <n v="17.399999999999999"/>
    <x v="6"/>
    <x v="6"/>
  </r>
  <r>
    <x v="156"/>
    <x v="315"/>
    <s v="7/22/2016 14:43"/>
    <x v="156"/>
    <d v="1899-12-30T14:43:00"/>
    <x v="0"/>
    <d v="1899-12-30T00:16:00"/>
    <n v="0.26666666666666666"/>
    <x v="2"/>
    <x v="32"/>
    <n v="6.1"/>
    <n v="22.875"/>
    <x v="6"/>
    <x v="6"/>
  </r>
  <r>
    <x v="157"/>
    <x v="316"/>
    <s v="7/26/2016 21:00"/>
    <x v="157"/>
    <d v="1899-12-30T21:00:00"/>
    <x v="0"/>
    <d v="1899-12-30T00:08:00"/>
    <n v="0.13333333333333333"/>
    <x v="2"/>
    <x v="32"/>
    <n v="2.5"/>
    <n v="18.75"/>
    <x v="6"/>
    <x v="6"/>
  </r>
  <r>
    <x v="157"/>
    <x v="317"/>
    <s v="7/26/2016 22:39"/>
    <x v="157"/>
    <d v="1899-12-30T22:39:00"/>
    <x v="0"/>
    <d v="1899-12-30T00:08:00"/>
    <n v="0.13333333333333333"/>
    <x v="5"/>
    <x v="3"/>
    <n v="2.5"/>
    <n v="18.75"/>
    <x v="6"/>
    <x v="6"/>
  </r>
  <r>
    <x v="158"/>
    <x v="126"/>
    <s v="7/29/2016 17:45"/>
    <x v="158"/>
    <d v="1899-12-30T17:45:00"/>
    <x v="0"/>
    <d v="1899-12-30T00:18:00"/>
    <n v="0.3"/>
    <x v="55"/>
    <x v="6"/>
    <n v="2.2000000000000002"/>
    <n v="7.3333333333333339"/>
    <x v="6"/>
    <x v="6"/>
  </r>
  <r>
    <x v="56"/>
    <x v="318"/>
    <d v="2016-07-08T20:23:00"/>
    <x v="56"/>
    <d v="1899-12-30T20:23:00"/>
    <x v="0"/>
    <d v="1899-12-30T00:08:00"/>
    <n v="0.13333333333333333"/>
    <x v="5"/>
    <x v="3"/>
    <n v="2.5"/>
    <n v="18.75"/>
    <x v="6"/>
    <x v="6"/>
  </r>
  <r>
    <x v="159"/>
    <x v="319"/>
    <s v="10/16/2016 21:41"/>
    <x v="159"/>
    <d v="1899-12-30T21:41:00"/>
    <x v="0"/>
    <d v="1899-12-30T00:07:00"/>
    <n v="0.11666666666666667"/>
    <x v="5"/>
    <x v="3"/>
    <n v="2.5"/>
    <n v="21.428571428571427"/>
    <x v="6"/>
    <x v="6"/>
  </r>
  <r>
    <x v="58"/>
    <x v="320"/>
    <s v="10/23/2016 19:14"/>
    <x v="58"/>
    <d v="1899-12-30T19:14:00"/>
    <x v="0"/>
    <d v="1899-12-30T00:10:00"/>
    <n v="0.16666666666666666"/>
    <x v="2"/>
    <x v="32"/>
    <n v="3.1"/>
    <n v="18.600000000000001"/>
    <x v="6"/>
    <x v="6"/>
  </r>
  <r>
    <x v="118"/>
    <x v="74"/>
    <s v="10/25/2016 20:11"/>
    <x v="118"/>
    <d v="1899-12-30T20:11:00"/>
    <x v="0"/>
    <d v="1899-12-30T00:11:00"/>
    <n v="0.18333333333333332"/>
    <x v="4"/>
    <x v="36"/>
    <n v="3.6"/>
    <n v="19.636363636363637"/>
    <x v="6"/>
    <x v="6"/>
  </r>
  <r>
    <x v="160"/>
    <x v="321"/>
    <d v="2016-01-11T20:55:00"/>
    <x v="160"/>
    <d v="1899-12-30T20:55:00"/>
    <x v="0"/>
    <d v="1899-12-30T00:14:00"/>
    <n v="0.23333333333333334"/>
    <x v="4"/>
    <x v="6"/>
    <n v="4.2"/>
    <n v="18"/>
    <x v="6"/>
    <x v="6"/>
  </r>
  <r>
    <x v="59"/>
    <x v="322"/>
    <d v="2016-03-11T19:08:00"/>
    <x v="59"/>
    <d v="1899-12-30T19:08:00"/>
    <x v="0"/>
    <d v="1899-12-30T00:17:00"/>
    <n v="0.28333333333333333"/>
    <x v="2"/>
    <x v="32"/>
    <n v="3.1"/>
    <n v="10.941176470588236"/>
    <x v="6"/>
    <x v="6"/>
  </r>
  <r>
    <x v="161"/>
    <x v="323"/>
    <s v="11/16/2016 23:02"/>
    <x v="161"/>
    <d v="1899-12-30T23:02:00"/>
    <x v="0"/>
    <d v="1899-12-30T00:10:00"/>
    <n v="0.16666666666666666"/>
    <x v="103"/>
    <x v="13"/>
    <n v="3.1"/>
    <n v="18.600000000000001"/>
    <x v="6"/>
    <x v="6"/>
  </r>
  <r>
    <x v="162"/>
    <x v="324"/>
    <s v="11/18/2016 20:19"/>
    <x v="162"/>
    <d v="1899-12-30T20:19:00"/>
    <x v="0"/>
    <d v="1899-12-30T00:10:00"/>
    <n v="0.16666666666666666"/>
    <x v="2"/>
    <x v="32"/>
    <n v="3.1"/>
    <n v="18.600000000000001"/>
    <x v="6"/>
    <x v="6"/>
  </r>
  <r>
    <x v="162"/>
    <x v="325"/>
    <s v="11/18/2016 21:34"/>
    <x v="162"/>
    <d v="1899-12-30T21:34:00"/>
    <x v="0"/>
    <d v="1899-12-30T00:11:00"/>
    <n v="0.18333333333333332"/>
    <x v="5"/>
    <x v="3"/>
    <n v="5.2"/>
    <n v="28.363636363636367"/>
    <x v="6"/>
    <x v="6"/>
  </r>
  <r>
    <x v="121"/>
    <x v="326"/>
    <s v="11/21/2016 13:49"/>
    <x v="121"/>
    <d v="1899-12-30T13:49:00"/>
    <x v="0"/>
    <d v="1899-12-30T00:12:00"/>
    <n v="0.2"/>
    <x v="2"/>
    <x v="3"/>
    <n v="2.5"/>
    <n v="12.5"/>
    <x v="6"/>
    <x v="6"/>
  </r>
  <r>
    <x v="121"/>
    <x v="158"/>
    <s v="11/21/2016 14:44"/>
    <x v="121"/>
    <d v="1899-12-30T14:44:00"/>
    <x v="0"/>
    <d v="1899-12-30T00:10:00"/>
    <n v="0.16666666666666666"/>
    <x v="2"/>
    <x v="3"/>
    <n v="2.1"/>
    <n v="12.600000000000001"/>
    <x v="6"/>
    <x v="6"/>
  </r>
  <r>
    <x v="121"/>
    <x v="327"/>
    <s v="11/21/2016 18:27"/>
    <x v="121"/>
    <d v="1899-12-30T18:27:00"/>
    <x v="0"/>
    <d v="1899-12-30T00:09:00"/>
    <n v="0.15"/>
    <x v="0"/>
    <x v="32"/>
    <n v="3.5"/>
    <n v="23.333333333333336"/>
    <x v="6"/>
    <x v="6"/>
  </r>
  <r>
    <x v="66"/>
    <x v="327"/>
    <s v="11/22/2016 18:28"/>
    <x v="66"/>
    <d v="1899-12-30T18:28:00"/>
    <x v="0"/>
    <d v="1899-12-30T00:10:00"/>
    <n v="0.16666666666666666"/>
    <x v="2"/>
    <x v="32"/>
    <n v="3"/>
    <n v="18"/>
    <x v="6"/>
    <x v="6"/>
  </r>
  <r>
    <x v="163"/>
    <x v="269"/>
    <s v="11/23/2016 15:50"/>
    <x v="163"/>
    <d v="1899-12-30T15:50:00"/>
    <x v="0"/>
    <d v="1899-12-30T00:16:00"/>
    <n v="0.26666666666666666"/>
    <x v="2"/>
    <x v="3"/>
    <n v="5.9"/>
    <n v="22.125"/>
    <x v="6"/>
    <x v="6"/>
  </r>
  <r>
    <x v="164"/>
    <x v="244"/>
    <s v="11/27/2016 16:06"/>
    <x v="164"/>
    <d v="1899-12-30T16:06:00"/>
    <x v="0"/>
    <d v="1899-12-30T00:07:00"/>
    <n v="0.11666666666666667"/>
    <x v="2"/>
    <x v="32"/>
    <n v="3.3"/>
    <n v="28.285714285714285"/>
    <x v="6"/>
    <x v="6"/>
  </r>
  <r>
    <x v="68"/>
    <x v="135"/>
    <d v="2016-01-12T18:12:00"/>
    <x v="68"/>
    <d v="1899-12-30T18:12:00"/>
    <x v="0"/>
    <d v="1899-12-30T00:12:00"/>
    <n v="0.2"/>
    <x v="2"/>
    <x v="32"/>
    <n v="2.9"/>
    <n v="14.499999999999998"/>
    <x v="6"/>
    <x v="6"/>
  </r>
  <r>
    <x v="69"/>
    <x v="328"/>
    <d v="2016-02-12T12:23:00"/>
    <x v="69"/>
    <d v="1899-12-30T12:23:00"/>
    <x v="0"/>
    <d v="1899-12-30T00:11:00"/>
    <n v="0.18333333333333332"/>
    <x v="2"/>
    <x v="47"/>
    <n v="5.0999999999999996"/>
    <n v="27.818181818181817"/>
    <x v="6"/>
    <x v="6"/>
  </r>
  <r>
    <x v="69"/>
    <x v="321"/>
    <d v="2016-02-12T20:48:00"/>
    <x v="69"/>
    <d v="1899-12-30T20:48:00"/>
    <x v="0"/>
    <d v="1899-12-30T00:07:00"/>
    <n v="0.11666666666666667"/>
    <x v="2"/>
    <x v="32"/>
    <n v="3.3"/>
    <n v="28.285714285714285"/>
    <x v="6"/>
    <x v="6"/>
  </r>
  <r>
    <x v="71"/>
    <x v="329"/>
    <d v="2016-04-12T19:03:00"/>
    <x v="71"/>
    <d v="1899-12-30T19:03:00"/>
    <x v="0"/>
    <d v="1899-12-30T00:07:00"/>
    <n v="0.11666666666666667"/>
    <x v="2"/>
    <x v="32"/>
    <n v="2.9"/>
    <n v="24.857142857142858"/>
    <x v="6"/>
    <x v="6"/>
  </r>
  <r>
    <x v="165"/>
    <x v="330"/>
    <d v="2016-05-12T19:37:00"/>
    <x v="165"/>
    <d v="1899-12-30T19:37:00"/>
    <x v="0"/>
    <d v="1899-12-30T00:15:00"/>
    <n v="0.25"/>
    <x v="2"/>
    <x v="3"/>
    <n v="3.8"/>
    <n v="15.2"/>
    <x v="6"/>
    <x v="6"/>
  </r>
  <r>
    <x v="72"/>
    <x v="331"/>
    <d v="2016-07-12T21:50:00"/>
    <x v="72"/>
    <d v="1899-12-30T21:50:00"/>
    <x v="0"/>
    <d v="1899-12-30T00:37:00"/>
    <n v="0.6166666666666667"/>
    <x v="2"/>
    <x v="3"/>
    <n v="6.9"/>
    <n v="11.189189189189189"/>
    <x v="6"/>
    <x v="6"/>
  </r>
  <r>
    <x v="74"/>
    <x v="332"/>
    <d v="2016-10-12T18:27:00"/>
    <x v="74"/>
    <d v="1899-12-30T18:27:00"/>
    <x v="0"/>
    <d v="1899-12-30T00:10:00"/>
    <n v="0.16666666666666666"/>
    <x v="2"/>
    <x v="32"/>
    <n v="3"/>
    <n v="18"/>
    <x v="6"/>
    <x v="6"/>
  </r>
  <r>
    <x v="123"/>
    <x v="333"/>
    <d v="2016-11-12T16:16:00"/>
    <x v="123"/>
    <d v="1899-12-30T16:16:00"/>
    <x v="0"/>
    <d v="1899-12-30T00:10:00"/>
    <n v="0.16666666666666666"/>
    <x v="2"/>
    <x v="32"/>
    <n v="3"/>
    <n v="18"/>
    <x v="6"/>
    <x v="6"/>
  </r>
  <r>
    <x v="75"/>
    <x v="334"/>
    <d v="2016-12-12T13:51:00"/>
    <x v="75"/>
    <d v="1899-12-30T13:51:00"/>
    <x v="0"/>
    <d v="1899-12-30T00:15:00"/>
    <n v="0.25"/>
    <x v="2"/>
    <x v="47"/>
    <n v="4.4000000000000004"/>
    <n v="17.600000000000001"/>
    <x v="6"/>
    <x v="6"/>
  </r>
  <r>
    <x v="75"/>
    <x v="335"/>
    <d v="2016-12-12T18:01:00"/>
    <x v="75"/>
    <d v="1899-12-30T18:01:00"/>
    <x v="0"/>
    <d v="1899-12-30T00:10:00"/>
    <n v="0.16666666666666666"/>
    <x v="2"/>
    <x v="32"/>
    <n v="3"/>
    <n v="18"/>
    <x v="6"/>
    <x v="6"/>
  </r>
  <r>
    <x v="124"/>
    <x v="336"/>
    <s v="12/13/2016 20:29"/>
    <x v="124"/>
    <d v="1899-12-30T20:29:00"/>
    <x v="0"/>
    <d v="1899-12-30T00:09:00"/>
    <n v="0.15"/>
    <x v="2"/>
    <x v="3"/>
    <n v="4.0999999999999996"/>
    <n v="27.333333333333332"/>
    <x v="6"/>
    <x v="6"/>
  </r>
  <r>
    <x v="76"/>
    <x v="191"/>
    <s v="12/14/2016 18:00"/>
    <x v="76"/>
    <d v="1899-12-30T18:00:00"/>
    <x v="0"/>
    <d v="1899-12-30T00:10:00"/>
    <n v="0.16666666666666666"/>
    <x v="2"/>
    <x v="32"/>
    <n v="3"/>
    <n v="18"/>
    <x v="6"/>
    <x v="6"/>
  </r>
  <r>
    <x v="79"/>
    <x v="337"/>
    <s v="12/21/2016 11:49"/>
    <x v="79"/>
    <d v="1899-12-30T11:49:00"/>
    <x v="0"/>
    <d v="1899-12-30T00:14:00"/>
    <n v="0.23333333333333334"/>
    <x v="46"/>
    <x v="0"/>
    <n v="3.5"/>
    <n v="15"/>
    <x v="6"/>
    <x v="6"/>
  </r>
  <r>
    <x v="80"/>
    <x v="6"/>
    <s v="12/22/2016 21:53"/>
    <x v="80"/>
    <d v="1899-12-30T21:53:00"/>
    <x v="0"/>
    <d v="1899-12-30T00:12:00"/>
    <n v="0.2"/>
    <x v="47"/>
    <x v="42"/>
    <n v="2.1"/>
    <n v="10.5"/>
    <x v="6"/>
    <x v="6"/>
  </r>
  <r>
    <x v="126"/>
    <x v="303"/>
    <s v="12/23/2016 18:27"/>
    <x v="126"/>
    <d v="1899-12-30T18:27:00"/>
    <x v="0"/>
    <d v="1899-12-30T00:53:00"/>
    <n v="0.8833333333333333"/>
    <x v="0"/>
    <x v="42"/>
    <n v="7.1"/>
    <n v="8.0377358490566042"/>
    <x v="6"/>
    <x v="6"/>
  </r>
  <r>
    <x v="127"/>
    <x v="338"/>
    <s v="12/24/2016 8:04"/>
    <x v="127"/>
    <d v="1899-12-30T08:04:00"/>
    <x v="0"/>
    <d v="1899-12-30T00:21:00"/>
    <n v="0.35"/>
    <x v="47"/>
    <x v="0"/>
    <n v="6.3"/>
    <n v="18"/>
    <x v="6"/>
    <x v="6"/>
  </r>
  <r>
    <x v="127"/>
    <x v="339"/>
    <s v="12/24/2016 9:55"/>
    <x v="127"/>
    <d v="1899-12-30T09:55:00"/>
    <x v="0"/>
    <d v="1899-12-30T00:36:00"/>
    <n v="0.6"/>
    <x v="0"/>
    <x v="42"/>
    <n v="10.7"/>
    <n v="17.833333333333332"/>
    <x v="6"/>
    <x v="6"/>
  </r>
  <r>
    <x v="127"/>
    <x v="340"/>
    <s v="12/24/2016 10:53"/>
    <x v="127"/>
    <d v="1899-12-30T10:53:00"/>
    <x v="0"/>
    <d v="1899-12-30T00:19:00"/>
    <n v="0.31666666666666665"/>
    <x v="47"/>
    <x v="42"/>
    <n v="5.3"/>
    <n v="16.736842105263158"/>
    <x v="6"/>
    <x v="6"/>
  </r>
  <r>
    <x v="127"/>
    <x v="341"/>
    <s v="12/24/2016 19:27"/>
    <x v="127"/>
    <d v="1899-12-30T19:27:00"/>
    <x v="0"/>
    <d v="1899-12-30T00:15:00"/>
    <n v="0.25"/>
    <x v="47"/>
    <x v="42"/>
    <n v="2.9"/>
    <n v="11.6"/>
    <x v="6"/>
    <x v="6"/>
  </r>
  <r>
    <x v="128"/>
    <x v="342"/>
    <s v="12/25/2016 19:26"/>
    <x v="128"/>
    <d v="1899-12-30T19:26:00"/>
    <x v="0"/>
    <d v="1899-12-30T00:11:00"/>
    <n v="0.18333333333333332"/>
    <x v="47"/>
    <x v="42"/>
    <n v="2.2999999999999998"/>
    <n v="12.545454545454545"/>
    <x v="6"/>
    <x v="6"/>
  </r>
  <r>
    <x v="128"/>
    <x v="173"/>
    <s v="12/25/2016 22:04"/>
    <x v="128"/>
    <d v="1899-12-30T22:04:00"/>
    <x v="0"/>
    <d v="1899-12-30T00:06:00"/>
    <n v="0.1"/>
    <x v="47"/>
    <x v="42"/>
    <n v="2.2999999999999998"/>
    <n v="22.999999999999996"/>
    <x v="6"/>
    <x v="6"/>
  </r>
  <r>
    <x v="81"/>
    <x v="343"/>
    <s v="12/26/2016 8:41"/>
    <x v="81"/>
    <d v="1899-12-30T08:41:00"/>
    <x v="0"/>
    <d v="1899-12-30T00:11:00"/>
    <n v="0.18333333333333332"/>
    <x v="47"/>
    <x v="42"/>
    <n v="3.2"/>
    <n v="17.454545454545457"/>
    <x v="6"/>
    <x v="6"/>
  </r>
  <r>
    <x v="82"/>
    <x v="194"/>
    <s v="12/27/2016 8:59"/>
    <x v="82"/>
    <d v="1899-12-30T08:59:00"/>
    <x v="0"/>
    <d v="1899-12-30T00:22:00"/>
    <n v="0.36666666666666664"/>
    <x v="1"/>
    <x v="1"/>
    <n v="5"/>
    <n v="13.636363636363637"/>
    <x v="6"/>
    <x v="6"/>
  </r>
  <r>
    <x v="82"/>
    <x v="232"/>
    <s v="12/27/2016 12:57"/>
    <x v="82"/>
    <d v="1899-12-30T12:57:00"/>
    <x v="0"/>
    <d v="1899-12-30T00:04:00"/>
    <n v="6.6666666666666666E-2"/>
    <x v="1"/>
    <x v="1"/>
    <n v="0.6"/>
    <n v="9"/>
    <x v="6"/>
    <x v="6"/>
  </r>
  <r>
    <x v="129"/>
    <x v="143"/>
    <s v="12/28/2016 9:06"/>
    <x v="129"/>
    <d v="1899-12-30T09:06:00"/>
    <x v="0"/>
    <d v="1899-12-30T00:32:00"/>
    <n v="0.53333333333333333"/>
    <x v="1"/>
    <x v="0"/>
    <n v="10.3"/>
    <n v="19.3125"/>
    <x v="6"/>
    <x v="6"/>
  </r>
  <r>
    <x v="129"/>
    <x v="344"/>
    <s v="12/28/2016 15:39"/>
    <x v="129"/>
    <d v="1899-12-30T15:39:00"/>
    <x v="0"/>
    <d v="1899-12-30T00:35:00"/>
    <n v="0.58333333333333337"/>
    <x v="1"/>
    <x v="0"/>
    <n v="8.5"/>
    <n v="14.571428571428571"/>
    <x v="6"/>
    <x v="6"/>
  </r>
  <r>
    <x v="2"/>
    <x v="345"/>
    <s v="12/29/2016 10:07"/>
    <x v="2"/>
    <d v="1899-12-30T10:07:00"/>
    <x v="0"/>
    <d v="1899-12-30T00:23:00"/>
    <n v="0.38333333333333336"/>
    <x v="1"/>
    <x v="0"/>
    <n v="11.6"/>
    <n v="30.260869565217387"/>
    <x v="6"/>
    <x v="6"/>
  </r>
  <r>
    <x v="2"/>
    <x v="346"/>
    <s v="12/29/2016 12:00"/>
    <x v="2"/>
    <d v="1899-12-30T12:00:00"/>
    <x v="0"/>
    <d v="1899-12-30T00:32:00"/>
    <n v="0.53333333333333333"/>
    <x v="0"/>
    <x v="1"/>
    <n v="11.9"/>
    <n v="22.3125"/>
    <x v="6"/>
    <x v="6"/>
  </r>
  <r>
    <x v="2"/>
    <x v="347"/>
    <s v="12/29/2016 19:14"/>
    <x v="2"/>
    <d v="1899-12-30T19:14:00"/>
    <x v="0"/>
    <d v="1899-12-30T00:15:00"/>
    <n v="0.25"/>
    <x v="1"/>
    <x v="0"/>
    <n v="3"/>
    <n v="12"/>
    <x v="6"/>
    <x v="6"/>
  </r>
  <r>
    <x v="166"/>
    <x v="348"/>
    <d v="2016-05-01T17:45:00"/>
    <x v="166"/>
    <d v="1899-12-30T17:45:00"/>
    <x v="0"/>
    <d v="1899-12-30T00:14:00"/>
    <n v="0.23333333333333334"/>
    <x v="15"/>
    <x v="43"/>
    <n v="4.7"/>
    <n v="20.142857142857142"/>
    <x v="7"/>
    <x v="7"/>
  </r>
  <r>
    <x v="18"/>
    <x v="349"/>
    <d v="2016-06-01T17:35:00"/>
    <x v="18"/>
    <d v="1899-12-30T17:35:00"/>
    <x v="0"/>
    <d v="1899-12-30T00:05:00"/>
    <n v="8.3333333333333329E-2"/>
    <x v="77"/>
    <x v="97"/>
    <n v="7.1"/>
    <n v="85.2"/>
    <x v="7"/>
    <x v="7"/>
  </r>
  <r>
    <x v="167"/>
    <x v="350"/>
    <d v="2016-07-01T13:33:00"/>
    <x v="167"/>
    <d v="1899-12-30T13:33:00"/>
    <x v="0"/>
    <d v="1899-12-30T00:06:00"/>
    <n v="0.1"/>
    <x v="2"/>
    <x v="3"/>
    <n v="0.8"/>
    <n v="8"/>
    <x v="7"/>
    <x v="7"/>
  </r>
  <r>
    <x v="19"/>
    <x v="351"/>
    <d v="2016-10-01T08:25:00"/>
    <x v="19"/>
    <d v="1899-12-30T08:25:00"/>
    <x v="0"/>
    <d v="1899-12-30T00:20:00"/>
    <n v="0.33333333333333331"/>
    <x v="2"/>
    <x v="32"/>
    <n v="8.3000000000000007"/>
    <n v="24.900000000000002"/>
    <x v="7"/>
    <x v="7"/>
  </r>
  <r>
    <x v="19"/>
    <x v="352"/>
    <d v="2016-10-01T15:51:00"/>
    <x v="19"/>
    <d v="1899-12-30T15:51:00"/>
    <x v="0"/>
    <d v="1899-12-30T00:43:00"/>
    <n v="0.71666666666666667"/>
    <x v="104"/>
    <x v="98"/>
    <n v="10.8"/>
    <n v="15.069767441860465"/>
    <x v="7"/>
    <x v="7"/>
  </r>
  <r>
    <x v="19"/>
    <x v="327"/>
    <d v="2016-10-01T18:53:00"/>
    <x v="19"/>
    <d v="1899-12-30T18:53:00"/>
    <x v="0"/>
    <d v="1899-12-30T00:35:00"/>
    <n v="0.58333333333333337"/>
    <x v="105"/>
    <x v="16"/>
    <n v="7.5"/>
    <n v="12.857142857142856"/>
    <x v="7"/>
    <x v="7"/>
  </r>
  <r>
    <x v="19"/>
    <x v="341"/>
    <d v="2016-10-01T19:32:00"/>
    <x v="19"/>
    <d v="1899-12-30T19:32:00"/>
    <x v="0"/>
    <d v="1899-12-30T00:20:00"/>
    <n v="0.33333333333333331"/>
    <x v="78"/>
    <x v="99"/>
    <n v="6.2"/>
    <n v="18.600000000000001"/>
    <x v="7"/>
    <x v="7"/>
  </r>
  <r>
    <x v="20"/>
    <x v="353"/>
    <d v="2016-12-01T17:00:00"/>
    <x v="20"/>
    <d v="1899-12-30T17:00:00"/>
    <x v="0"/>
    <d v="1899-12-30T00:58:00"/>
    <n v="0.96666666666666667"/>
    <x v="104"/>
    <x v="100"/>
    <n v="15.1"/>
    <n v="15.620689655172413"/>
    <x v="7"/>
    <x v="7"/>
  </r>
  <r>
    <x v="168"/>
    <x v="354"/>
    <m/>
    <x v="168"/>
    <d v="1899-12-30T14:07:00"/>
    <x v="0"/>
    <d v="1899-12-30T00:13:00"/>
    <n v="0.21666666666666667"/>
    <x v="72"/>
    <x v="101"/>
    <n v="11.2"/>
    <n v="51.692307692307686"/>
    <x v="7"/>
    <x v="7"/>
  </r>
  <r>
    <x v="168"/>
    <x v="355"/>
    <m/>
    <x v="168"/>
    <d v="1899-12-30T15:28:00"/>
    <x v="0"/>
    <d v="1899-12-30T00:28:00"/>
    <n v="0.46666666666666667"/>
    <x v="106"/>
    <x v="102"/>
    <n v="11.8"/>
    <n v="25.285714285714288"/>
    <x v="7"/>
    <x v="7"/>
  </r>
  <r>
    <x v="22"/>
    <x v="356"/>
    <m/>
    <x v="22"/>
    <d v="1899-12-30T11:11:00"/>
    <x v="0"/>
    <d v="1899-12-30T00:35:00"/>
    <n v="0.58333333333333337"/>
    <x v="2"/>
    <x v="2"/>
    <n v="17.100000000000001"/>
    <n v="29.314285714285713"/>
    <x v="7"/>
    <x v="7"/>
  </r>
  <r>
    <x v="22"/>
    <x v="357"/>
    <m/>
    <x v="22"/>
    <d v="1899-12-30T12:19:00"/>
    <x v="0"/>
    <d v="1899-12-30T00:31:00"/>
    <n v="0.51666666666666672"/>
    <x v="25"/>
    <x v="103"/>
    <n v="15.1"/>
    <n v="29.2258064516129"/>
    <x v="7"/>
    <x v="7"/>
  </r>
  <r>
    <x v="23"/>
    <x v="358"/>
    <m/>
    <x v="23"/>
    <d v="1899-12-30T09:31:00"/>
    <x v="0"/>
    <d v="1899-12-30T00:07:00"/>
    <n v="0.11666666666666667"/>
    <x v="2"/>
    <x v="3"/>
    <n v="1.8"/>
    <n v="15.428571428571429"/>
    <x v="7"/>
    <x v="7"/>
  </r>
  <r>
    <x v="169"/>
    <x v="359"/>
    <m/>
    <x v="169"/>
    <d v="1899-12-30T15:31:00"/>
    <x v="0"/>
    <d v="1899-12-30T00:20:00"/>
    <n v="0.33333333333333331"/>
    <x v="59"/>
    <x v="104"/>
    <n v="14.7"/>
    <n v="44.1"/>
    <x v="7"/>
    <x v="7"/>
  </r>
  <r>
    <x v="169"/>
    <x v="128"/>
    <m/>
    <x v="169"/>
    <d v="1899-12-30T16:51:00"/>
    <x v="0"/>
    <d v="1899-12-30T00:30:00"/>
    <n v="0.5"/>
    <x v="3"/>
    <x v="3"/>
    <n v="15.7"/>
    <n v="31.4"/>
    <x v="7"/>
    <x v="7"/>
  </r>
  <r>
    <x v="24"/>
    <x v="360"/>
    <m/>
    <x v="24"/>
    <d v="1899-12-30T11:07:00"/>
    <x v="0"/>
    <d v="1899-12-30T00:11:00"/>
    <n v="0.18333333333333332"/>
    <x v="2"/>
    <x v="3"/>
    <n v="5.2"/>
    <n v="28.363636363636367"/>
    <x v="7"/>
    <x v="7"/>
  </r>
  <r>
    <x v="24"/>
    <x v="233"/>
    <m/>
    <x v="24"/>
    <d v="1899-12-30T12:03:00"/>
    <x v="0"/>
    <d v="1899-12-30T00:20:00"/>
    <n v="0.33333333333333331"/>
    <x v="2"/>
    <x v="31"/>
    <n v="10.4"/>
    <n v="31.200000000000003"/>
    <x v="7"/>
    <x v="7"/>
  </r>
  <r>
    <x v="24"/>
    <x v="52"/>
    <m/>
    <x v="24"/>
    <d v="1899-12-30T13:47:00"/>
    <x v="0"/>
    <d v="1899-12-30T00:23:00"/>
    <n v="0.38333333333333336"/>
    <x v="24"/>
    <x v="3"/>
    <n v="10.1"/>
    <n v="26.34782608695652"/>
    <x v="7"/>
    <x v="7"/>
  </r>
  <r>
    <x v="89"/>
    <x v="205"/>
    <d v="2016-02-02T13:23:00"/>
    <x v="89"/>
    <d v="1899-12-30T13:23:00"/>
    <x v="0"/>
    <d v="1899-12-30T00:19:00"/>
    <n v="0.31666666666666665"/>
    <x v="4"/>
    <x v="105"/>
    <n v="8.3000000000000007"/>
    <n v="26.210526315789476"/>
    <x v="7"/>
    <x v="7"/>
  </r>
  <r>
    <x v="90"/>
    <x v="361"/>
    <d v="2016-04-02T18:31:00"/>
    <x v="90"/>
    <d v="1899-12-30T18:31:00"/>
    <x v="0"/>
    <d v="1899-12-30T00:27:00"/>
    <n v="0.45"/>
    <x v="4"/>
    <x v="95"/>
    <n v="9"/>
    <n v="20"/>
    <x v="7"/>
    <x v="7"/>
  </r>
  <r>
    <x v="90"/>
    <x v="93"/>
    <d v="2016-04-02T20:55:00"/>
    <x v="90"/>
    <d v="1899-12-30T20:55:00"/>
    <x v="0"/>
    <d v="1899-12-30T00:19:00"/>
    <n v="0.31666666666666665"/>
    <x v="2"/>
    <x v="3"/>
    <n v="7.7"/>
    <n v="24.315789473684212"/>
    <x v="7"/>
    <x v="7"/>
  </r>
  <r>
    <x v="170"/>
    <x v="138"/>
    <d v="2016-05-02T12:07:00"/>
    <x v="170"/>
    <d v="1899-12-30T12:07:00"/>
    <x v="0"/>
    <d v="1899-12-30T00:20:00"/>
    <n v="0.33333333333333331"/>
    <x v="2"/>
    <x v="31"/>
    <n v="10.4"/>
    <n v="31.200000000000003"/>
    <x v="7"/>
    <x v="7"/>
  </r>
  <r>
    <x v="170"/>
    <x v="201"/>
    <d v="2016-05-02T13:41:00"/>
    <x v="170"/>
    <d v="1899-12-30T13:41:00"/>
    <x v="0"/>
    <d v="1899-12-30T00:19:00"/>
    <n v="0.31666666666666665"/>
    <x v="24"/>
    <x v="3"/>
    <n v="10.4"/>
    <n v="32.842105263157897"/>
    <x v="7"/>
    <x v="7"/>
  </r>
  <r>
    <x v="27"/>
    <x v="362"/>
    <d v="2016-07-02T20:40:00"/>
    <x v="27"/>
    <d v="1899-12-30T20:40:00"/>
    <x v="0"/>
    <d v="1899-12-30T00:18:00"/>
    <n v="0.3"/>
    <x v="5"/>
    <x v="3"/>
    <n v="6.1"/>
    <n v="20.333333333333332"/>
    <x v="7"/>
    <x v="7"/>
  </r>
  <r>
    <x v="28"/>
    <x v="363"/>
    <d v="2016-12-02T13:36:00"/>
    <x v="28"/>
    <d v="1899-12-30T13:36:00"/>
    <x v="0"/>
    <d v="1899-12-30T00:34:00"/>
    <n v="0.56666666666666665"/>
    <x v="3"/>
    <x v="3"/>
    <n v="18"/>
    <n v="31.764705882352942"/>
    <x v="7"/>
    <x v="7"/>
  </r>
  <r>
    <x v="28"/>
    <x v="113"/>
    <d v="2016-12-02T15:06:00"/>
    <x v="28"/>
    <d v="1899-12-30T15:06:00"/>
    <x v="0"/>
    <d v="1899-12-30T00:17:00"/>
    <n v="0.28333333333333333"/>
    <x v="2"/>
    <x v="32"/>
    <n v="8.4"/>
    <n v="29.647058823529413"/>
    <x v="7"/>
    <x v="7"/>
  </r>
  <r>
    <x v="171"/>
    <x v="364"/>
    <s v="2/13/2016 14:41"/>
    <x v="171"/>
    <d v="1899-12-30T14:41:00"/>
    <x v="0"/>
    <d v="1899-12-30T00:20:00"/>
    <n v="0.33333333333333331"/>
    <x v="2"/>
    <x v="32"/>
    <n v="8.9"/>
    <n v="26.700000000000003"/>
    <x v="7"/>
    <x v="7"/>
  </r>
  <r>
    <x v="172"/>
    <x v="365"/>
    <s v="2/14/2016 14:40"/>
    <x v="172"/>
    <d v="1899-12-30T14:40:00"/>
    <x v="0"/>
    <d v="1899-12-30T00:33:00"/>
    <n v="0.55000000000000004"/>
    <x v="107"/>
    <x v="16"/>
    <n v="8.1"/>
    <n v="14.727272727272725"/>
    <x v="7"/>
    <x v="7"/>
  </r>
  <r>
    <x v="172"/>
    <x v="30"/>
    <s v="2/14/2016 15:03"/>
    <x v="172"/>
    <d v="1899-12-30T15:03:00"/>
    <x v="0"/>
    <d v="1899-12-30T00:17:00"/>
    <n v="0.28333333333333333"/>
    <x v="78"/>
    <x v="106"/>
    <n v="2"/>
    <n v="7.0588235294117645"/>
    <x v="7"/>
    <x v="7"/>
  </r>
  <r>
    <x v="172"/>
    <x v="245"/>
    <s v="2/14/2016 17:02"/>
    <x v="172"/>
    <d v="1899-12-30T17:02:00"/>
    <x v="0"/>
    <d v="1899-12-30T00:27:00"/>
    <n v="0.45"/>
    <x v="104"/>
    <x v="107"/>
    <n v="13"/>
    <n v="28.888888888888889"/>
    <x v="7"/>
    <x v="7"/>
  </r>
  <r>
    <x v="172"/>
    <x v="366"/>
    <s v="2/14/2016 17:29"/>
    <x v="172"/>
    <d v="1899-12-30T17:29:00"/>
    <x v="0"/>
    <d v="1899-12-30T00:23:00"/>
    <n v="0.38333333333333336"/>
    <x v="108"/>
    <x v="108"/>
    <n v="13.9"/>
    <n v="36.260869565217391"/>
    <x v="7"/>
    <x v="7"/>
  </r>
  <r>
    <x v="30"/>
    <x v="367"/>
    <s v="2/18/2016 20:08"/>
    <x v="30"/>
    <d v="1899-12-30T20:08:00"/>
    <x v="0"/>
    <d v="1899-12-30T00:41:00"/>
    <n v="0.68333333333333335"/>
    <x v="46"/>
    <x v="0"/>
    <n v="10"/>
    <n v="14.634146341463415"/>
    <x v="7"/>
    <x v="7"/>
  </r>
  <r>
    <x v="173"/>
    <x v="368"/>
    <s v="2/19/2016 9:14"/>
    <x v="173"/>
    <d v="1899-12-30T09:14:00"/>
    <x v="0"/>
    <d v="1899-12-30T00:12:00"/>
    <n v="0.2"/>
    <x v="0"/>
    <x v="0"/>
    <n v="18.3"/>
    <n v="91.5"/>
    <x v="7"/>
    <x v="7"/>
  </r>
  <r>
    <x v="173"/>
    <x v="369"/>
    <s v="2/19/2016 9:51"/>
    <x v="173"/>
    <d v="1899-12-30T09:51:00"/>
    <x v="0"/>
    <d v="1899-12-30T00:30:00"/>
    <n v="0.5"/>
    <x v="0"/>
    <x v="0"/>
    <n v="11.2"/>
    <n v="22.4"/>
    <x v="7"/>
    <x v="7"/>
  </r>
  <r>
    <x v="173"/>
    <x v="370"/>
    <s v="2/19/2016 10:48"/>
    <x v="173"/>
    <d v="1899-12-30T10:48:00"/>
    <x v="0"/>
    <d v="1899-12-30T00:27:00"/>
    <n v="0.45"/>
    <x v="0"/>
    <x v="21"/>
    <n v="7.6"/>
    <n v="16.888888888888889"/>
    <x v="7"/>
    <x v="7"/>
  </r>
  <r>
    <x v="92"/>
    <x v="371"/>
    <s v="2/20/2016 15:54"/>
    <x v="92"/>
    <d v="1899-12-30T15:54:00"/>
    <x v="0"/>
    <d v="1899-12-30T01:04:00"/>
    <n v="1.0666666666666667"/>
    <x v="109"/>
    <x v="109"/>
    <n v="23.1"/>
    <n v="21.65625"/>
    <x v="7"/>
    <x v="7"/>
  </r>
  <r>
    <x v="93"/>
    <x v="372"/>
    <s v="2/21/2016 23:52"/>
    <x v="93"/>
    <d v="1899-12-30T23:52:00"/>
    <x v="0"/>
    <d v="1899-12-30T00:37:00"/>
    <n v="0.6166666666666667"/>
    <x v="0"/>
    <x v="109"/>
    <n v="20"/>
    <n v="32.432432432432428"/>
    <x v="7"/>
    <x v="7"/>
  </r>
  <r>
    <x v="174"/>
    <x v="337"/>
    <s v="2/26/2016 11:59"/>
    <x v="174"/>
    <d v="1899-12-30T11:59:00"/>
    <x v="0"/>
    <d v="1899-12-30T00:24:00"/>
    <n v="0.4"/>
    <x v="2"/>
    <x v="31"/>
    <n v="10.6"/>
    <n v="26.499999999999996"/>
    <x v="7"/>
    <x v="7"/>
  </r>
  <r>
    <x v="174"/>
    <x v="373"/>
    <s v="2/26/2016 13:24"/>
    <x v="174"/>
    <d v="1899-12-30T13:24:00"/>
    <x v="0"/>
    <d v="1899-12-30T00:23:00"/>
    <n v="0.38333333333333336"/>
    <x v="24"/>
    <x v="3"/>
    <n v="9.9"/>
    <n v="25.826086956521738"/>
    <x v="7"/>
    <x v="7"/>
  </r>
  <r>
    <x v="175"/>
    <x v="374"/>
    <s v="2/28/2016 5:38"/>
    <x v="175"/>
    <d v="1899-12-30T05:38:00"/>
    <x v="0"/>
    <d v="1899-12-30T00:16:00"/>
    <n v="0.26666666666666666"/>
    <x v="4"/>
    <x v="4"/>
    <n v="7.7"/>
    <n v="28.875"/>
    <x v="7"/>
    <x v="7"/>
  </r>
  <r>
    <x v="175"/>
    <x v="375"/>
    <s v="2/28/2016 9:42"/>
    <x v="175"/>
    <d v="1899-12-30T09:42:00"/>
    <x v="0"/>
    <d v="1899-12-30T00:16:00"/>
    <n v="0.26666666666666666"/>
    <x v="86"/>
    <x v="6"/>
    <n v="6.8"/>
    <n v="25.5"/>
    <x v="7"/>
    <x v="7"/>
  </r>
  <r>
    <x v="32"/>
    <x v="314"/>
    <s v="2/29/2016 11:40"/>
    <x v="32"/>
    <d v="1899-12-30T11:40:00"/>
    <x v="0"/>
    <d v="1899-12-30T00:10:00"/>
    <n v="0.16666666666666666"/>
    <x v="2"/>
    <x v="47"/>
    <n v="3.8"/>
    <n v="22.8"/>
    <x v="7"/>
    <x v="7"/>
  </r>
  <r>
    <x v="32"/>
    <x v="376"/>
    <s v="2/29/2016 12:48"/>
    <x v="32"/>
    <d v="1899-12-30T12:48:00"/>
    <x v="0"/>
    <d v="1899-12-30T00:12:00"/>
    <n v="0.2"/>
    <x v="20"/>
    <x v="3"/>
    <n v="5.6"/>
    <n v="27.999999999999996"/>
    <x v="7"/>
    <x v="7"/>
  </r>
  <r>
    <x v="135"/>
    <x v="377"/>
    <d v="2016-01-03T21:45:00"/>
    <x v="135"/>
    <d v="1899-12-30T21:45:00"/>
    <x v="0"/>
    <d v="1899-12-30T00:18:00"/>
    <n v="0.3"/>
    <x v="92"/>
    <x v="6"/>
    <n v="8"/>
    <n v="26.666666666666668"/>
    <x v="7"/>
    <x v="7"/>
  </r>
  <r>
    <x v="33"/>
    <x v="353"/>
    <d v="2016-03-03T16:42:00"/>
    <x v="33"/>
    <d v="1899-12-30T16:42:00"/>
    <x v="0"/>
    <d v="1899-12-30T00:40:00"/>
    <n v="0.66666666666666663"/>
    <x v="3"/>
    <x v="3"/>
    <n v="17.3"/>
    <n v="25.950000000000003"/>
    <x v="7"/>
    <x v="7"/>
  </r>
  <r>
    <x v="34"/>
    <x v="378"/>
    <d v="2016-04-03T08:06:00"/>
    <x v="34"/>
    <d v="1899-12-30T08:06:00"/>
    <x v="0"/>
    <d v="1899-12-30T00:19:00"/>
    <n v="0.31666666666666665"/>
    <x v="2"/>
    <x v="31"/>
    <n v="9.9"/>
    <n v="31.263157894736846"/>
    <x v="7"/>
    <x v="7"/>
  </r>
  <r>
    <x v="34"/>
    <x v="379"/>
    <d v="2016-04-03T12:06:00"/>
    <x v="34"/>
    <d v="1899-12-30T12:06:00"/>
    <x v="0"/>
    <d v="1899-12-30T00:20:00"/>
    <n v="0.33333333333333331"/>
    <x v="2"/>
    <x v="31"/>
    <n v="10.4"/>
    <n v="31.200000000000003"/>
    <x v="7"/>
    <x v="7"/>
  </r>
  <r>
    <x v="34"/>
    <x v="203"/>
    <d v="2016-04-03T13:25:00"/>
    <x v="34"/>
    <d v="1899-12-30T13:25:00"/>
    <x v="0"/>
    <d v="1899-12-30T00:22:00"/>
    <n v="0.36666666666666664"/>
    <x v="24"/>
    <x v="3"/>
    <n v="10.9"/>
    <n v="29.72727272727273"/>
    <x v="7"/>
    <x v="7"/>
  </r>
  <r>
    <x v="34"/>
    <x v="380"/>
    <d v="2016-04-03T17:12:00"/>
    <x v="34"/>
    <d v="1899-12-30T17:12:00"/>
    <x v="0"/>
    <d v="1899-12-30T00:29:00"/>
    <n v="0.48333333333333334"/>
    <x v="3"/>
    <x v="3"/>
    <n v="13.5"/>
    <n v="27.931034482758619"/>
    <x v="7"/>
    <x v="7"/>
  </r>
  <r>
    <x v="4"/>
    <x v="381"/>
    <d v="2016-07-03T14:18:00"/>
    <x v="4"/>
    <d v="1899-12-30T14:18:00"/>
    <x v="0"/>
    <d v="1899-12-30T00:21:00"/>
    <n v="0.35"/>
    <x v="59"/>
    <x v="104"/>
    <n v="9.4"/>
    <n v="26.857142857142861"/>
    <x v="7"/>
    <x v="7"/>
  </r>
  <r>
    <x v="176"/>
    <x v="382"/>
    <d v="2016-10-03T03:53:00"/>
    <x v="176"/>
    <d v="1899-12-30T03:53:00"/>
    <x v="0"/>
    <d v="1899-12-30T00:17:00"/>
    <n v="0.28333333333333333"/>
    <x v="2"/>
    <x v="32"/>
    <n v="8.4"/>
    <n v="29.647058823529413"/>
    <x v="7"/>
    <x v="7"/>
  </r>
  <r>
    <x v="176"/>
    <x v="383"/>
    <d v="2016-10-03T10:37:00"/>
    <x v="176"/>
    <d v="1899-12-30T10:37:00"/>
    <x v="0"/>
    <d v="1899-12-30T00:29:00"/>
    <n v="0.48333333333333334"/>
    <x v="110"/>
    <x v="110"/>
    <n v="12.8"/>
    <n v="26.482758620689655"/>
    <x v="7"/>
    <x v="7"/>
  </r>
  <r>
    <x v="35"/>
    <x v="289"/>
    <s v="3/17/2016 15:58"/>
    <x v="35"/>
    <d v="1899-12-30T15:58:00"/>
    <x v="0"/>
    <d v="1899-12-30T00:42:00"/>
    <n v="0.7"/>
    <x v="111"/>
    <x v="18"/>
    <n v="30.2"/>
    <n v="43.142857142857146"/>
    <x v="7"/>
    <x v="7"/>
  </r>
  <r>
    <x v="36"/>
    <x v="384"/>
    <s v="3/18/2016 19:08"/>
    <x v="36"/>
    <d v="1899-12-30T19:08:00"/>
    <x v="0"/>
    <d v="1899-12-30T00:44:00"/>
    <n v="0.73333333333333328"/>
    <x v="78"/>
    <x v="53"/>
    <n v="13.2"/>
    <n v="18"/>
    <x v="7"/>
    <x v="7"/>
  </r>
  <r>
    <x v="37"/>
    <x v="385"/>
    <s v="3/19/2016 19:29"/>
    <x v="37"/>
    <d v="1899-12-30T19:29:00"/>
    <x v="0"/>
    <d v="1899-12-30T00:36:00"/>
    <n v="0.6"/>
    <x v="57"/>
    <x v="86"/>
    <n v="7.5"/>
    <n v="12.5"/>
    <x v="7"/>
    <x v="7"/>
  </r>
  <r>
    <x v="38"/>
    <x v="386"/>
    <s v="3/20/2016 7:48"/>
    <x v="38"/>
    <d v="1899-12-30T07:48:00"/>
    <x v="0"/>
    <d v="1899-12-30T00:11:00"/>
    <n v="0.18333333333333332"/>
    <x v="78"/>
    <x v="111"/>
    <n v="5.9"/>
    <n v="32.181818181818187"/>
    <x v="7"/>
    <x v="7"/>
  </r>
  <r>
    <x v="38"/>
    <x v="218"/>
    <s v="3/20/2016 11:56"/>
    <x v="38"/>
    <d v="1899-12-30T11:56:00"/>
    <x v="0"/>
    <d v="1899-12-30T00:14:00"/>
    <n v="0.23333333333333334"/>
    <x v="112"/>
    <x v="23"/>
    <n v="6.2"/>
    <n v="26.571428571428573"/>
    <x v="7"/>
    <x v="7"/>
  </r>
  <r>
    <x v="39"/>
    <x v="387"/>
    <s v="3/26/2016 1:39"/>
    <x v="177"/>
    <d v="1899-12-30T01:39:00"/>
    <x v="0"/>
    <d v="1899-12-30T02:45:00"/>
    <n v="2.75"/>
    <x v="34"/>
    <x v="88"/>
    <n v="201"/>
    <n v="73.090909090909093"/>
    <x v="7"/>
    <x v="7"/>
  </r>
  <r>
    <x v="41"/>
    <x v="388"/>
    <d v="2016-01-04T14:01:00"/>
    <x v="41"/>
    <d v="1899-12-30T14:01:00"/>
    <x v="0"/>
    <d v="1899-12-30T00:18:00"/>
    <n v="0.3"/>
    <x v="32"/>
    <x v="88"/>
    <n v="11"/>
    <n v="36.666666666666671"/>
    <x v="7"/>
    <x v="7"/>
  </r>
  <r>
    <x v="41"/>
    <x v="238"/>
    <d v="2016-01-04T16:49:00"/>
    <x v="41"/>
    <d v="1899-12-30T16:49:00"/>
    <x v="0"/>
    <d v="1899-12-30T00:48:00"/>
    <n v="0.8"/>
    <x v="91"/>
    <x v="88"/>
    <n v="20.3"/>
    <n v="25.375"/>
    <x v="7"/>
    <x v="7"/>
  </r>
  <r>
    <x v="42"/>
    <x v="389"/>
    <d v="2016-03-04T01:34:00"/>
    <x v="178"/>
    <d v="1899-12-30T01:34:00"/>
    <x v="0"/>
    <d v="1899-12-30T02:23:00"/>
    <n v="2.3833333333333333"/>
    <x v="113"/>
    <x v="112"/>
    <n v="144"/>
    <n v="60.41958041958042"/>
    <x v="7"/>
    <x v="7"/>
  </r>
  <r>
    <x v="177"/>
    <x v="390"/>
    <d v="2016-03-04T04:16:00"/>
    <x v="178"/>
    <d v="1899-12-30T04:16:00"/>
    <x v="0"/>
    <d v="1899-12-30T02:16:00"/>
    <n v="2.2666666666666666"/>
    <x v="114"/>
    <x v="3"/>
    <n v="159.30000000000001"/>
    <n v="70.279411764705884"/>
    <x v="7"/>
    <x v="7"/>
  </r>
  <r>
    <x v="98"/>
    <x v="391"/>
    <d v="2016-08-04T12:48:00"/>
    <x v="98"/>
    <d v="1899-12-30T12:48:00"/>
    <x v="0"/>
    <d v="1899-12-30T00:18:00"/>
    <n v="0.3"/>
    <x v="2"/>
    <x v="31"/>
    <n v="10.5"/>
    <n v="35"/>
    <x v="7"/>
    <x v="7"/>
  </r>
  <r>
    <x v="98"/>
    <x v="237"/>
    <d v="2016-08-04T15:20:00"/>
    <x v="98"/>
    <d v="1899-12-30T15:20:00"/>
    <x v="0"/>
    <d v="1899-12-30T00:37:00"/>
    <n v="0.6166666666666667"/>
    <x v="2"/>
    <x v="2"/>
    <n v="19.100000000000001"/>
    <n v="30.972972972972975"/>
    <x v="7"/>
    <x v="7"/>
  </r>
  <r>
    <x v="98"/>
    <x v="270"/>
    <d v="2016-08-04T16:47:00"/>
    <x v="98"/>
    <d v="1899-12-30T16:47:00"/>
    <x v="0"/>
    <d v="1899-12-30T00:42:00"/>
    <n v="0.7"/>
    <x v="3"/>
    <x v="3"/>
    <n v="18.600000000000001"/>
    <n v="26.571428571428577"/>
    <x v="7"/>
    <x v="7"/>
  </r>
  <r>
    <x v="43"/>
    <x v="392"/>
    <d v="2016-12-04T09:53:00"/>
    <x v="43"/>
    <d v="1899-12-30T09:53:00"/>
    <x v="0"/>
    <d v="1899-12-30T00:19:00"/>
    <n v="0.31666666666666665"/>
    <x v="2"/>
    <x v="2"/>
    <n v="8.9"/>
    <n v="28.10526315789474"/>
    <x v="7"/>
    <x v="7"/>
  </r>
  <r>
    <x v="43"/>
    <x v="393"/>
    <d v="2016-12-04T12:44:00"/>
    <x v="43"/>
    <d v="1899-12-30T12:44:00"/>
    <x v="0"/>
    <d v="1899-12-30T00:22:00"/>
    <n v="0.36666666666666664"/>
    <x v="3"/>
    <x v="32"/>
    <n v="15.9"/>
    <n v="43.363636363636367"/>
    <x v="7"/>
    <x v="7"/>
  </r>
  <r>
    <x v="99"/>
    <x v="168"/>
    <s v="4/15/2016 15:01"/>
    <x v="99"/>
    <d v="1899-12-30T15:01:00"/>
    <x v="0"/>
    <d v="1899-12-30T00:30:00"/>
    <n v="0.5"/>
    <x v="3"/>
    <x v="3"/>
    <n v="15.2"/>
    <n v="30.4"/>
    <x v="7"/>
    <x v="7"/>
  </r>
  <r>
    <x v="178"/>
    <x v="394"/>
    <s v="4/22/2016 9:04"/>
    <x v="179"/>
    <d v="1899-12-30T09:04:00"/>
    <x v="0"/>
    <d v="1899-12-30T00:39:00"/>
    <n v="0.65"/>
    <x v="2"/>
    <x v="2"/>
    <n v="13.6"/>
    <n v="20.923076923076923"/>
    <x v="7"/>
    <x v="7"/>
  </r>
  <r>
    <x v="178"/>
    <x v="395"/>
    <s v="4/22/2016 10:40"/>
    <x v="179"/>
    <d v="1899-12-30T10:40:00"/>
    <x v="0"/>
    <d v="1899-12-30T00:30:00"/>
    <n v="0.5"/>
    <x v="3"/>
    <x v="3"/>
    <n v="22.5"/>
    <n v="45"/>
    <x v="7"/>
    <x v="7"/>
  </r>
  <r>
    <x v="178"/>
    <x v="396"/>
    <s v="4/22/2016 12:28"/>
    <x v="179"/>
    <d v="1899-12-30T12:28:00"/>
    <x v="0"/>
    <d v="1899-12-30T00:20:00"/>
    <n v="0.33333333333333331"/>
    <x v="2"/>
    <x v="31"/>
    <n v="10.4"/>
    <n v="31.200000000000003"/>
    <x v="7"/>
    <x v="7"/>
  </r>
  <r>
    <x v="178"/>
    <x v="363"/>
    <s v="4/22/2016 13:26"/>
    <x v="179"/>
    <d v="1899-12-30T13:26:00"/>
    <x v="0"/>
    <d v="1899-12-30T00:24:00"/>
    <n v="0.4"/>
    <x v="24"/>
    <x v="3"/>
    <n v="10"/>
    <n v="25"/>
    <x v="7"/>
    <x v="7"/>
  </r>
  <r>
    <x v="45"/>
    <x v="256"/>
    <s v="4/29/2016 12:01"/>
    <x v="45"/>
    <d v="1899-12-30T12:01:00"/>
    <x v="0"/>
    <d v="1899-12-30T00:17:00"/>
    <n v="0.28333333333333333"/>
    <x v="2"/>
    <x v="31"/>
    <n v="9.9"/>
    <n v="34.941176470588239"/>
    <x v="7"/>
    <x v="7"/>
  </r>
  <r>
    <x v="45"/>
    <x v="397"/>
    <s v="4/29/2016 13:34"/>
    <x v="45"/>
    <d v="1899-12-30T13:34:00"/>
    <x v="0"/>
    <d v="1899-12-30T00:21:00"/>
    <n v="0.35"/>
    <x v="24"/>
    <x v="3"/>
    <n v="10"/>
    <n v="28.571428571428573"/>
    <x v="7"/>
    <x v="7"/>
  </r>
  <r>
    <x v="45"/>
    <x v="221"/>
    <s v="4/29/2016 23:19"/>
    <x v="45"/>
    <d v="1899-12-30T23:19:00"/>
    <x v="0"/>
    <d v="1899-12-30T00:35:00"/>
    <n v="0.58333333333333337"/>
    <x v="24"/>
    <x v="3"/>
    <n v="18.2"/>
    <n v="31.199999999999996"/>
    <x v="7"/>
    <x v="7"/>
  </r>
  <r>
    <x v="8"/>
    <x v="398"/>
    <d v="2016-01-05T18:10:00"/>
    <x v="8"/>
    <d v="1899-12-30T18:10:00"/>
    <x v="0"/>
    <d v="1899-12-30T00:16:00"/>
    <n v="0.26666666666666666"/>
    <x v="85"/>
    <x v="113"/>
    <n v="7.5"/>
    <n v="28.125"/>
    <x v="7"/>
    <x v="7"/>
  </r>
  <r>
    <x v="103"/>
    <x v="399"/>
    <d v="2016-06-05T00:08:00"/>
    <x v="46"/>
    <d v="1899-12-30T00:08:00"/>
    <x v="0"/>
    <d v="1899-12-30T00:13:00"/>
    <n v="0.21666666666666667"/>
    <x v="115"/>
    <x v="114"/>
    <n v="12.9"/>
    <n v="59.53846153846154"/>
    <x v="7"/>
    <x v="7"/>
  </r>
  <r>
    <x v="46"/>
    <x v="400"/>
    <d v="2016-06-05T06:02:00"/>
    <x v="46"/>
    <d v="1899-12-30T06:02:00"/>
    <x v="0"/>
    <d v="1899-12-30T00:15:00"/>
    <n v="0.25"/>
    <x v="93"/>
    <x v="115"/>
    <n v="14.4"/>
    <n v="57.6"/>
    <x v="7"/>
    <x v="7"/>
  </r>
  <r>
    <x v="46"/>
    <x v="401"/>
    <d v="2016-06-05T16:59:00"/>
    <x v="46"/>
    <d v="1899-12-30T16:59:00"/>
    <x v="0"/>
    <d v="1899-12-30T00:14:00"/>
    <n v="0.23333333333333334"/>
    <x v="21"/>
    <x v="32"/>
    <n v="17"/>
    <n v="72.857142857142861"/>
    <x v="7"/>
    <x v="7"/>
  </r>
  <r>
    <x v="179"/>
    <x v="268"/>
    <d v="2016-11-05T09:12:00"/>
    <x v="180"/>
    <d v="1899-12-30T09:12:00"/>
    <x v="0"/>
    <d v="1899-12-30T00:37:00"/>
    <n v="0.6166666666666667"/>
    <x v="38"/>
    <x v="12"/>
    <n v="25.6"/>
    <n v="41.513513513513516"/>
    <x v="7"/>
    <x v="7"/>
  </r>
  <r>
    <x v="179"/>
    <x v="402"/>
    <d v="2016-11-05T22:04:00"/>
    <x v="180"/>
    <d v="1899-12-30T22:04:00"/>
    <x v="0"/>
    <d v="1899-12-30T00:17:00"/>
    <n v="0.28333333333333333"/>
    <x v="5"/>
    <x v="3"/>
    <n v="8.1"/>
    <n v="28.588235294117645"/>
    <x v="7"/>
    <x v="7"/>
  </r>
  <r>
    <x v="153"/>
    <x v="360"/>
    <s v="5/20/2016 11:07"/>
    <x v="153"/>
    <d v="1899-12-30T11:07:00"/>
    <x v="0"/>
    <d v="1899-12-30T00:11:00"/>
    <n v="0.18333333333333332"/>
    <x v="96"/>
    <x v="116"/>
    <n v="11.2"/>
    <n v="61.090909090909093"/>
    <x v="7"/>
    <x v="7"/>
  </r>
  <r>
    <x v="180"/>
    <x v="354"/>
    <s v="5/31/2016 14:41"/>
    <x v="181"/>
    <d v="1899-12-30T14:41:00"/>
    <x v="0"/>
    <d v="1899-12-30T00:47:00"/>
    <n v="0.78333333333333333"/>
    <x v="2"/>
    <x v="2"/>
    <n v="14.9"/>
    <n v="19.021276595744681"/>
    <x v="7"/>
    <x v="7"/>
  </r>
  <r>
    <x v="180"/>
    <x v="353"/>
    <s v="5/31/2016 16:39"/>
    <x v="181"/>
    <d v="1899-12-30T16:39:00"/>
    <x v="0"/>
    <d v="1899-12-30T00:37:00"/>
    <n v="0.6166666666666667"/>
    <x v="3"/>
    <x v="3"/>
    <n v="14"/>
    <n v="22.702702702702702"/>
    <x v="7"/>
    <x v="7"/>
  </r>
  <r>
    <x v="50"/>
    <x v="403"/>
    <d v="2016-01-06T13:39:00"/>
    <x v="50"/>
    <d v="1899-12-30T13:39:00"/>
    <x v="0"/>
    <d v="1899-12-30T00:29:00"/>
    <n v="0.48333333333333334"/>
    <x v="5"/>
    <x v="3"/>
    <n v="9.6"/>
    <n v="19.862068965517242"/>
    <x v="7"/>
    <x v="7"/>
  </r>
  <r>
    <x v="10"/>
    <x v="112"/>
    <d v="2016-03-06T11:49:00"/>
    <x v="10"/>
    <d v="1899-12-30T11:49:00"/>
    <x v="0"/>
    <d v="1899-12-30T00:20:00"/>
    <n v="0.33333333333333331"/>
    <x v="2"/>
    <x v="31"/>
    <n v="10.4"/>
    <n v="31.200000000000003"/>
    <x v="7"/>
    <x v="7"/>
  </r>
  <r>
    <x v="10"/>
    <x v="214"/>
    <d v="2016-03-06T13:38:00"/>
    <x v="10"/>
    <d v="1899-12-30T13:38:00"/>
    <x v="0"/>
    <d v="1899-12-30T00:30:00"/>
    <n v="0.5"/>
    <x v="24"/>
    <x v="3"/>
    <n v="9.9"/>
    <n v="19.8"/>
    <x v="7"/>
    <x v="7"/>
  </r>
  <r>
    <x v="51"/>
    <x v="404"/>
    <d v="2016-05-06T22:05:00"/>
    <x v="51"/>
    <d v="1899-12-30T22:05:00"/>
    <x v="0"/>
    <d v="1899-12-30T00:12:00"/>
    <n v="0.2"/>
    <x v="2"/>
    <x v="31"/>
    <n v="9.9"/>
    <n v="49.5"/>
    <x v="7"/>
    <x v="7"/>
  </r>
  <r>
    <x v="51"/>
    <x v="405"/>
    <d v="2016-06-06T00:08:00"/>
    <x v="107"/>
    <d v="1899-12-30T00:08:00"/>
    <x v="0"/>
    <d v="1899-12-30T00:16:00"/>
    <n v="0.26666666666666666"/>
    <x v="24"/>
    <x v="3"/>
    <n v="9.9"/>
    <n v="37.125"/>
    <x v="7"/>
    <x v="7"/>
  </r>
  <r>
    <x v="107"/>
    <x v="6"/>
    <d v="2016-06-06T22:00:00"/>
    <x v="107"/>
    <d v="1899-12-30T22:00:00"/>
    <x v="0"/>
    <d v="1899-12-30T00:19:00"/>
    <n v="0.31666666666666665"/>
    <x v="2"/>
    <x v="31"/>
    <n v="10.4"/>
    <n v="32.842105263157897"/>
    <x v="7"/>
    <x v="7"/>
  </r>
  <r>
    <x v="107"/>
    <x v="406"/>
    <d v="2016-06-06T23:48:00"/>
    <x v="107"/>
    <d v="1899-12-30T23:48:00"/>
    <x v="0"/>
    <d v="1899-12-30T00:14:00"/>
    <n v="0.23333333333333334"/>
    <x v="24"/>
    <x v="3"/>
    <n v="9.9"/>
    <n v="42.428571428571431"/>
    <x v="7"/>
    <x v="7"/>
  </r>
  <r>
    <x v="181"/>
    <x v="407"/>
    <d v="2016-07-06T22:00:00"/>
    <x v="182"/>
    <d v="1899-12-30T22:00:00"/>
    <x v="0"/>
    <d v="1899-12-30T00:18:00"/>
    <n v="0.3"/>
    <x v="2"/>
    <x v="31"/>
    <n v="10.4"/>
    <n v="34.666666666666671"/>
    <x v="7"/>
    <x v="7"/>
  </r>
  <r>
    <x v="181"/>
    <x v="408"/>
    <d v="2016-08-06T00:04:00"/>
    <x v="108"/>
    <d v="1899-12-30T00:04:00"/>
    <x v="0"/>
    <d v="1899-12-30T00:23:00"/>
    <n v="0.38333333333333336"/>
    <x v="24"/>
    <x v="3"/>
    <n v="9.9"/>
    <n v="25.826086956521738"/>
    <x v="7"/>
    <x v="7"/>
  </r>
  <r>
    <x v="182"/>
    <x v="4"/>
    <d v="2016-10-06T16:28:00"/>
    <x v="183"/>
    <d v="1899-12-30T16:28:00"/>
    <x v="0"/>
    <d v="1899-12-30T01:09:00"/>
    <n v="1.1499999999999999"/>
    <x v="104"/>
    <x v="108"/>
    <n v="16.3"/>
    <n v="14.173913043478263"/>
    <x v="7"/>
    <x v="7"/>
  </r>
  <r>
    <x v="182"/>
    <x v="402"/>
    <d v="2016-10-06T22:04:00"/>
    <x v="183"/>
    <d v="1899-12-30T22:04:00"/>
    <x v="0"/>
    <d v="1899-12-30T00:17:00"/>
    <n v="0.28333333333333333"/>
    <x v="2"/>
    <x v="31"/>
    <n v="10.4"/>
    <n v="36.705882352941181"/>
    <x v="7"/>
    <x v="7"/>
  </r>
  <r>
    <x v="182"/>
    <x v="409"/>
    <d v="2016-11-06T00:01:00"/>
    <x v="109"/>
    <d v="1899-12-30T00:01:00"/>
    <x v="0"/>
    <d v="1899-12-30T00:08:00"/>
    <n v="0.13333333333333333"/>
    <x v="24"/>
    <x v="3"/>
    <n v="9.9"/>
    <n v="74.25"/>
    <x v="7"/>
    <x v="7"/>
  </r>
  <r>
    <x v="109"/>
    <x v="186"/>
    <d v="2016-11-06T22:04:00"/>
    <x v="109"/>
    <d v="1899-12-30T22:04:00"/>
    <x v="0"/>
    <d v="1899-12-30T00:19:00"/>
    <n v="0.31666666666666665"/>
    <x v="2"/>
    <x v="31"/>
    <n v="10.4"/>
    <n v="32.842105263157897"/>
    <x v="7"/>
    <x v="7"/>
  </r>
  <r>
    <x v="109"/>
    <x v="410"/>
    <d v="2016-12-06T00:05:00"/>
    <x v="110"/>
    <d v="1899-12-30T00:05:00"/>
    <x v="0"/>
    <d v="1899-12-30T00:26:00"/>
    <n v="0.43333333333333335"/>
    <x v="24"/>
    <x v="3"/>
    <n v="9.9"/>
    <n v="22.846153846153847"/>
    <x v="7"/>
    <x v="7"/>
  </r>
  <r>
    <x v="52"/>
    <x v="411"/>
    <s v="6/13/2016 14:46"/>
    <x v="52"/>
    <d v="1899-12-30T14:46:00"/>
    <x v="0"/>
    <d v="1899-12-30T00:29:00"/>
    <n v="0.48333333333333334"/>
    <x v="40"/>
    <x v="117"/>
    <n v="13.2"/>
    <n v="27.310344827586206"/>
    <x v="7"/>
    <x v="7"/>
  </r>
  <r>
    <x v="111"/>
    <x v="412"/>
    <s v="6/14/2016 16:39"/>
    <x v="111"/>
    <d v="1899-12-30T16:39:00"/>
    <x v="0"/>
    <d v="1899-12-30T00:30:00"/>
    <n v="0.5"/>
    <x v="7"/>
    <x v="117"/>
    <n v="11.6"/>
    <n v="23.2"/>
    <x v="7"/>
    <x v="7"/>
  </r>
  <r>
    <x v="111"/>
    <x v="229"/>
    <s v="6/14/2016 17:24"/>
    <x v="111"/>
    <d v="1899-12-30T17:24:00"/>
    <x v="0"/>
    <d v="1899-12-30T00:09:00"/>
    <n v="0.15"/>
    <x v="75"/>
    <x v="39"/>
    <n v="5.0999999999999996"/>
    <n v="34"/>
    <x v="7"/>
    <x v="7"/>
  </r>
  <r>
    <x v="12"/>
    <x v="413"/>
    <s v="6/25/2016 11:34"/>
    <x v="12"/>
    <d v="1899-12-30T11:34:00"/>
    <x v="0"/>
    <d v="1899-12-30T00:09:00"/>
    <n v="0.15"/>
    <x v="116"/>
    <x v="118"/>
    <n v="1.7"/>
    <n v="11.333333333333334"/>
    <x v="7"/>
    <x v="7"/>
  </r>
  <r>
    <x v="12"/>
    <x v="414"/>
    <s v="6/25/2016 13:21"/>
    <x v="12"/>
    <d v="1899-12-30T13:21:00"/>
    <x v="0"/>
    <d v="1899-12-30T01:28:00"/>
    <n v="1.4666666666666666"/>
    <x v="117"/>
    <x v="9"/>
    <n v="15.5"/>
    <n v="10.568181818181818"/>
    <x v="7"/>
    <x v="7"/>
  </r>
  <r>
    <x v="183"/>
    <x v="415"/>
    <s v="6/26/2016 18:18"/>
    <x v="184"/>
    <d v="1899-12-30T18:18:00"/>
    <x v="0"/>
    <d v="1899-12-30T00:35:00"/>
    <n v="0.58333333333333337"/>
    <x v="10"/>
    <x v="119"/>
    <n v="12.6"/>
    <n v="21.599999999999998"/>
    <x v="7"/>
    <x v="7"/>
  </r>
  <r>
    <x v="53"/>
    <x v="416"/>
    <s v="6/28/2016 20:33"/>
    <x v="53"/>
    <d v="1899-12-30T20:33:00"/>
    <x v="0"/>
    <d v="1899-12-30T00:20:00"/>
    <n v="0.33333333333333331"/>
    <x v="2"/>
    <x v="31"/>
    <n v="10.4"/>
    <n v="31.200000000000003"/>
    <x v="7"/>
    <x v="7"/>
  </r>
  <r>
    <x v="53"/>
    <x v="406"/>
    <s v="6/28/2016 23:59"/>
    <x v="53"/>
    <d v="1899-12-30T23:59:00"/>
    <x v="0"/>
    <d v="1899-12-30T00:25:00"/>
    <n v="0.41666666666666669"/>
    <x v="24"/>
    <x v="3"/>
    <n v="9.9"/>
    <n v="23.76"/>
    <x v="7"/>
    <x v="7"/>
  </r>
  <r>
    <x v="53"/>
    <x v="406"/>
    <s v="6/28/2016 23:59"/>
    <x v="53"/>
    <d v="1899-12-30T23:59:00"/>
    <x v="0"/>
    <d v="1899-12-30T00:25:00"/>
    <n v="0.41666666666666669"/>
    <x v="24"/>
    <x v="3"/>
    <n v="9.9"/>
    <n v="23.76"/>
    <x v="7"/>
    <x v="7"/>
  </r>
  <r>
    <x v="184"/>
    <x v="170"/>
    <s v="6/29/2016 20:29"/>
    <x v="185"/>
    <d v="1899-12-30T20:29:00"/>
    <x v="0"/>
    <d v="1899-12-30T00:18:00"/>
    <n v="0.3"/>
    <x v="2"/>
    <x v="31"/>
    <n v="10.4"/>
    <n v="34.666666666666671"/>
    <x v="7"/>
    <x v="7"/>
  </r>
  <r>
    <x v="184"/>
    <x v="417"/>
    <s v="6/30/2016 0:00"/>
    <x v="186"/>
    <d v="1899-12-30T00:00:00"/>
    <x v="0"/>
    <d v="1899-12-30T00:22:00"/>
    <n v="0.36666666666666664"/>
    <x v="24"/>
    <x v="3"/>
    <n v="9.9"/>
    <n v="27.000000000000004"/>
    <x v="7"/>
    <x v="7"/>
  </r>
  <r>
    <x v="185"/>
    <x v="324"/>
    <s v="6/30/2016 20:26"/>
    <x v="186"/>
    <d v="1899-12-30T20:26:00"/>
    <x v="0"/>
    <d v="1899-12-30T00:17:00"/>
    <n v="0.28333333333333333"/>
    <x v="2"/>
    <x v="31"/>
    <n v="9.9"/>
    <n v="34.941176470588239"/>
    <x v="7"/>
    <x v="7"/>
  </r>
  <r>
    <x v="186"/>
    <x v="179"/>
    <d v="2016-01-07T00:25:00"/>
    <x v="187"/>
    <d v="1899-12-30T00:25:00"/>
    <x v="0"/>
    <d v="1899-12-30T00:25:00"/>
    <n v="0.41666666666666669"/>
    <x v="24"/>
    <x v="3"/>
    <n v="9.9"/>
    <n v="23.76"/>
    <x v="7"/>
    <x v="7"/>
  </r>
  <r>
    <x v="186"/>
    <x v="392"/>
    <d v="2016-01-07T09:57:00"/>
    <x v="187"/>
    <d v="1899-12-30T09:57:00"/>
    <x v="0"/>
    <d v="1899-12-30T00:23:00"/>
    <n v="0.38333333333333336"/>
    <x v="2"/>
    <x v="2"/>
    <n v="13.3"/>
    <n v="34.695652173913039"/>
    <x v="7"/>
    <x v="7"/>
  </r>
  <r>
    <x v="186"/>
    <x v="376"/>
    <d v="2016-01-07T13:00:00"/>
    <x v="187"/>
    <d v="1899-12-30T13:00:00"/>
    <x v="0"/>
    <d v="1899-12-30T00:24:00"/>
    <n v="0.4"/>
    <x v="3"/>
    <x v="3"/>
    <n v="11.3"/>
    <n v="28.25"/>
    <x v="7"/>
    <x v="7"/>
  </r>
  <r>
    <x v="186"/>
    <x v="298"/>
    <d v="2016-01-07T20:24:00"/>
    <x v="187"/>
    <d v="1899-12-30T20:24:00"/>
    <x v="0"/>
    <d v="1899-12-30T00:18:00"/>
    <n v="0.3"/>
    <x v="2"/>
    <x v="31"/>
    <n v="10.5"/>
    <n v="35"/>
    <x v="7"/>
    <x v="7"/>
  </r>
  <r>
    <x v="186"/>
    <x v="418"/>
    <d v="2016-02-07T00:09:00"/>
    <x v="188"/>
    <d v="1899-12-30T00:09:00"/>
    <x v="0"/>
    <d v="1899-12-30T00:21:00"/>
    <n v="0.35"/>
    <x v="24"/>
    <x v="3"/>
    <n v="9.9"/>
    <n v="28.285714285714288"/>
    <x v="7"/>
    <x v="7"/>
  </r>
  <r>
    <x v="187"/>
    <x v="271"/>
    <d v="2016-02-07T20:36:00"/>
    <x v="188"/>
    <d v="1899-12-30T20:36:00"/>
    <x v="0"/>
    <d v="1899-12-30T00:18:00"/>
    <n v="0.3"/>
    <x v="2"/>
    <x v="31"/>
    <n v="10.1"/>
    <n v="33.666666666666664"/>
    <x v="7"/>
    <x v="7"/>
  </r>
  <r>
    <x v="187"/>
    <x v="418"/>
    <d v="2016-03-07T00:12:00"/>
    <x v="113"/>
    <d v="1899-12-30T00:12:00"/>
    <x v="0"/>
    <d v="1899-12-30T00:24:00"/>
    <n v="0.4"/>
    <x v="24"/>
    <x v="3"/>
    <n v="9.9"/>
    <n v="24.75"/>
    <x v="7"/>
    <x v="7"/>
  </r>
  <r>
    <x v="113"/>
    <x v="74"/>
    <d v="2016-03-07T20:18:00"/>
    <x v="113"/>
    <d v="1899-12-30T20:18:00"/>
    <x v="0"/>
    <d v="1899-12-30T00:18:00"/>
    <n v="0.3"/>
    <x v="2"/>
    <x v="31"/>
    <n v="9.9"/>
    <n v="33"/>
    <x v="7"/>
    <x v="7"/>
  </r>
  <r>
    <x v="188"/>
    <x v="419"/>
    <d v="2016-04-07T00:47:00"/>
    <x v="189"/>
    <d v="1899-12-30T00:47:00"/>
    <x v="0"/>
    <d v="1899-12-30T00:15:00"/>
    <n v="0.25"/>
    <x v="24"/>
    <x v="3"/>
    <n v="9.9"/>
    <n v="39.6"/>
    <x v="7"/>
    <x v="7"/>
  </r>
  <r>
    <x v="188"/>
    <x v="348"/>
    <d v="2016-04-07T17:49:00"/>
    <x v="189"/>
    <d v="1899-12-30T17:49:00"/>
    <x v="0"/>
    <d v="1899-12-30T00:18:00"/>
    <n v="0.3"/>
    <x v="4"/>
    <x v="120"/>
    <n v="8.8000000000000007"/>
    <n v="29.333333333333336"/>
    <x v="7"/>
    <x v="7"/>
  </r>
  <r>
    <x v="188"/>
    <x v="74"/>
    <d v="2016-04-07T20:17:00"/>
    <x v="189"/>
    <d v="1899-12-30T20:17:00"/>
    <x v="0"/>
    <d v="1899-12-30T00:17:00"/>
    <n v="0.28333333333333333"/>
    <x v="2"/>
    <x v="31"/>
    <n v="11.8"/>
    <n v="41.647058823529413"/>
    <x v="7"/>
    <x v="7"/>
  </r>
  <r>
    <x v="114"/>
    <x v="420"/>
    <d v="2016-05-07T00:28:00"/>
    <x v="114"/>
    <d v="1899-12-30T00:28:00"/>
    <x v="0"/>
    <d v="1899-12-30T00:20:00"/>
    <n v="0.33333333333333331"/>
    <x v="24"/>
    <x v="3"/>
    <n v="9.9"/>
    <n v="29.700000000000003"/>
    <x v="7"/>
    <x v="7"/>
  </r>
  <r>
    <x v="54"/>
    <x v="421"/>
    <d v="2016-06-07T09:25:00"/>
    <x v="54"/>
    <d v="1899-12-30T09:25:00"/>
    <x v="0"/>
    <d v="1899-12-30T00:19:00"/>
    <n v="0.31666666666666665"/>
    <x v="2"/>
    <x v="31"/>
    <n v="9.9"/>
    <n v="31.263157894736846"/>
    <x v="7"/>
    <x v="7"/>
  </r>
  <r>
    <x v="117"/>
    <x v="215"/>
    <s v="7/18/2016 17:33"/>
    <x v="117"/>
    <d v="1899-12-30T17:33:00"/>
    <x v="0"/>
    <d v="1899-12-30T00:21:00"/>
    <n v="0.35"/>
    <x v="2"/>
    <x v="47"/>
    <n v="7.2"/>
    <n v="20.571428571428573"/>
    <x v="7"/>
    <x v="7"/>
  </r>
  <r>
    <x v="55"/>
    <x v="360"/>
    <s v="7/19/2016 11:11"/>
    <x v="55"/>
    <d v="1899-12-30T11:11:00"/>
    <x v="0"/>
    <d v="1899-12-30T00:15:00"/>
    <n v="0.25"/>
    <x v="118"/>
    <x v="121"/>
    <n v="3"/>
    <n v="12"/>
    <x v="7"/>
    <x v="7"/>
  </r>
  <r>
    <x v="156"/>
    <x v="422"/>
    <s v="7/22/2016 13:42"/>
    <x v="156"/>
    <d v="1899-12-30T13:42:00"/>
    <x v="0"/>
    <d v="1899-12-30T00:21:00"/>
    <n v="0.35"/>
    <x v="24"/>
    <x v="3"/>
    <n v="9.9"/>
    <n v="28.285714285714288"/>
    <x v="7"/>
    <x v="7"/>
  </r>
  <r>
    <x v="189"/>
    <x v="423"/>
    <s v="7/23/2016 20:33"/>
    <x v="190"/>
    <d v="1899-12-30T20:33:00"/>
    <x v="0"/>
    <d v="1899-12-30T00:16:00"/>
    <n v="0.26666666666666666"/>
    <x v="2"/>
    <x v="31"/>
    <n v="10.4"/>
    <n v="39"/>
    <x v="7"/>
    <x v="7"/>
  </r>
  <r>
    <x v="189"/>
    <x v="424"/>
    <s v="7/23/2016 23:43"/>
    <x v="190"/>
    <d v="1899-12-30T23:43:00"/>
    <x v="0"/>
    <d v="1899-12-30T00:25:00"/>
    <n v="0.41666666666666669"/>
    <x v="24"/>
    <x v="3"/>
    <n v="9.9"/>
    <n v="23.76"/>
    <x v="7"/>
    <x v="7"/>
  </r>
  <r>
    <x v="190"/>
    <x v="425"/>
    <d v="2016-02-08T08:32:00"/>
    <x v="191"/>
    <d v="1899-12-30T08:32:00"/>
    <x v="0"/>
    <d v="1899-12-30T00:21:00"/>
    <n v="0.35"/>
    <x v="2"/>
    <x v="32"/>
    <n v="8.4"/>
    <n v="24.000000000000004"/>
    <x v="7"/>
    <x v="7"/>
  </r>
  <r>
    <x v="191"/>
    <x v="258"/>
    <s v="8/13/2016 15:58"/>
    <x v="192"/>
    <d v="1899-12-30T15:58:00"/>
    <x v="0"/>
    <d v="1899-12-30T00:23:00"/>
    <n v="0.38333333333333336"/>
    <x v="2"/>
    <x v="32"/>
    <n v="8.4"/>
    <n v="21.913043478260867"/>
    <x v="7"/>
    <x v="7"/>
  </r>
  <r>
    <x v="192"/>
    <x v="426"/>
    <d v="2016-11-10T02:08:00"/>
    <x v="193"/>
    <d v="1899-12-30T02:08:00"/>
    <x v="0"/>
    <d v="1899-12-30T00:41:00"/>
    <n v="0.68333333333333335"/>
    <x v="0"/>
    <x v="109"/>
    <n v="17.100000000000001"/>
    <n v="25.024390243902442"/>
    <x v="7"/>
    <x v="7"/>
  </r>
  <r>
    <x v="193"/>
    <x v="427"/>
    <s v="10/15/2016 2:06"/>
    <x v="194"/>
    <d v="1899-12-30T02:06:00"/>
    <x v="0"/>
    <d v="1899-12-30T02:12:00"/>
    <n v="2.2000000000000002"/>
    <x v="0"/>
    <x v="109"/>
    <n v="17"/>
    <n v="7.7272727272727266"/>
    <x v="7"/>
    <x v="7"/>
  </r>
  <r>
    <x v="159"/>
    <x v="46"/>
    <s v="10/16/2016 13:11"/>
    <x v="159"/>
    <d v="1899-12-30T13:11:00"/>
    <x v="0"/>
    <d v="1899-12-30T00:19:00"/>
    <n v="0.31666666666666665"/>
    <x v="2"/>
    <x v="31"/>
    <n v="10.5"/>
    <n v="33.15789473684211"/>
    <x v="7"/>
    <x v="7"/>
  </r>
  <r>
    <x v="159"/>
    <x v="367"/>
    <s v="10/16/2016 19:33"/>
    <x v="159"/>
    <d v="1899-12-30T19:33:00"/>
    <x v="0"/>
    <d v="1899-12-30T00:06:00"/>
    <n v="0.1"/>
    <x v="4"/>
    <x v="113"/>
    <n v="2.1"/>
    <n v="21"/>
    <x v="7"/>
    <x v="7"/>
  </r>
  <r>
    <x v="194"/>
    <x v="428"/>
    <s v="10/26/2016 19:31"/>
    <x v="195"/>
    <d v="1899-12-30T19:31:00"/>
    <x v="0"/>
    <d v="1899-12-30T00:06:00"/>
    <n v="0.1"/>
    <x v="4"/>
    <x v="113"/>
    <n v="2.1"/>
    <n v="21"/>
    <x v="7"/>
    <x v="7"/>
  </r>
  <r>
    <x v="195"/>
    <x v="322"/>
    <s v="10/27/2016 19:16"/>
    <x v="196"/>
    <d v="1899-12-30T19:16:00"/>
    <x v="0"/>
    <d v="1899-12-30T00:25:00"/>
    <n v="0.41666666666666669"/>
    <x v="2"/>
    <x v="32"/>
    <n v="8.4"/>
    <n v="20.16"/>
    <x v="7"/>
    <x v="7"/>
  </r>
  <r>
    <x v="196"/>
    <x v="265"/>
    <s v="10/28/2016 11:52"/>
    <x v="197"/>
    <d v="1899-12-30T11:52:00"/>
    <x v="0"/>
    <d v="1899-12-30T00:18:00"/>
    <n v="0.3"/>
    <x v="2"/>
    <x v="31"/>
    <n v="10.4"/>
    <n v="34.666666666666671"/>
    <x v="7"/>
    <x v="7"/>
  </r>
  <r>
    <x v="196"/>
    <x v="429"/>
    <s v="10/28/2016 13:36"/>
    <x v="197"/>
    <d v="1899-12-30T13:36:00"/>
    <x v="0"/>
    <d v="1899-12-30T00:30:00"/>
    <n v="0.5"/>
    <x v="24"/>
    <x v="3"/>
    <n v="9.9"/>
    <n v="19.8"/>
    <x v="7"/>
    <x v="7"/>
  </r>
  <r>
    <x v="196"/>
    <x v="430"/>
    <s v="10/28/2016 17:59"/>
    <x v="197"/>
    <d v="1899-12-30T17:59:00"/>
    <x v="0"/>
    <d v="1899-12-30T02:06:00"/>
    <n v="2.1"/>
    <x v="2"/>
    <x v="122"/>
    <n v="107"/>
    <n v="50.952380952380949"/>
    <x v="7"/>
    <x v="7"/>
  </r>
  <r>
    <x v="196"/>
    <x v="431"/>
    <s v="10/28/2016 20:07"/>
    <x v="197"/>
    <d v="1899-12-30T20:07:00"/>
    <x v="0"/>
    <d v="1899-12-30T01:54:00"/>
    <n v="1.9"/>
    <x v="119"/>
    <x v="123"/>
    <n v="133.6"/>
    <n v="70.315789473684205"/>
    <x v="7"/>
    <x v="7"/>
  </r>
  <r>
    <x v="196"/>
    <x v="416"/>
    <s v="10/28/2016 22:00"/>
    <x v="197"/>
    <d v="1899-12-30T22:00:00"/>
    <x v="0"/>
    <d v="1899-12-30T01:47:00"/>
    <n v="1.7833333333333334"/>
    <x v="120"/>
    <x v="124"/>
    <n v="91.8"/>
    <n v="51.476635514018689"/>
    <x v="7"/>
    <x v="7"/>
  </r>
  <r>
    <x v="197"/>
    <x v="432"/>
    <s v="10/29/2016 17:05"/>
    <x v="198"/>
    <d v="1899-12-30T17:05:00"/>
    <x v="0"/>
    <d v="1899-12-30T01:43:00"/>
    <n v="1.7166666666666666"/>
    <x v="121"/>
    <x v="125"/>
    <n v="40.700000000000003"/>
    <n v="23.708737864077673"/>
    <x v="7"/>
    <x v="7"/>
  </r>
  <r>
    <x v="198"/>
    <x v="433"/>
    <d v="2016-02-11T17:11:00"/>
    <x v="199"/>
    <d v="1899-12-30T17:11:00"/>
    <x v="0"/>
    <d v="1899-12-30T00:25:00"/>
    <n v="0.41666666666666669"/>
    <x v="2"/>
    <x v="32"/>
    <n v="8.5"/>
    <n v="20.399999999999999"/>
    <x v="7"/>
    <x v="7"/>
  </r>
  <r>
    <x v="60"/>
    <x v="270"/>
    <d v="2016-06-11T16:22:00"/>
    <x v="60"/>
    <d v="1899-12-30T16:22:00"/>
    <x v="0"/>
    <d v="1899-12-30T00:17:00"/>
    <n v="0.28333333333333333"/>
    <x v="122"/>
    <x v="126"/>
    <n v="2.8"/>
    <n v="9.882352941176471"/>
    <x v="7"/>
    <x v="7"/>
  </r>
  <r>
    <x v="14"/>
    <x v="434"/>
    <d v="2016-08-11T12:49:00"/>
    <x v="14"/>
    <d v="1899-12-30T12:49:00"/>
    <x v="0"/>
    <d v="1899-12-30T00:33:00"/>
    <n v="0.55000000000000004"/>
    <x v="7"/>
    <x v="13"/>
    <n v="11.3"/>
    <n v="20.545454545454547"/>
    <x v="7"/>
    <x v="7"/>
  </r>
  <r>
    <x v="61"/>
    <x v="435"/>
    <d v="2016-09-11T18:35:00"/>
    <x v="61"/>
    <d v="1899-12-30T18:35:00"/>
    <x v="0"/>
    <d v="1899-12-30T00:14:00"/>
    <n v="0.23333333333333334"/>
    <x v="123"/>
    <x v="127"/>
    <n v="5.5"/>
    <n v="23.571428571428569"/>
    <x v="7"/>
    <x v="7"/>
  </r>
  <r>
    <x v="199"/>
    <x v="436"/>
    <d v="2016-10-11T15:53:00"/>
    <x v="200"/>
    <d v="1899-12-30T15:53:00"/>
    <x v="0"/>
    <d v="1899-12-30T00:23:00"/>
    <n v="0.38333333333333336"/>
    <x v="40"/>
    <x v="13"/>
    <n v="6"/>
    <n v="15.652173913043477"/>
    <x v="7"/>
    <x v="7"/>
  </r>
  <r>
    <x v="120"/>
    <x v="437"/>
    <d v="2016-12-11T14:53:00"/>
    <x v="120"/>
    <d v="1899-12-30T14:53:00"/>
    <x v="0"/>
    <d v="1899-12-30T00:31:00"/>
    <n v="0.51666666666666672"/>
    <x v="124"/>
    <x v="128"/>
    <n v="5.9"/>
    <n v="11.419354838709676"/>
    <x v="7"/>
    <x v="7"/>
  </r>
  <r>
    <x v="200"/>
    <x v="393"/>
    <s v="11/13/2016 12:51"/>
    <x v="201"/>
    <d v="1899-12-30T12:51:00"/>
    <x v="0"/>
    <d v="1899-12-30T00:29:00"/>
    <n v="0.48333333333333334"/>
    <x v="124"/>
    <x v="129"/>
    <n v="4"/>
    <n v="8.2758620689655178"/>
    <x v="7"/>
    <x v="7"/>
  </r>
  <r>
    <x v="162"/>
    <x v="438"/>
    <s v="11/18/2016 22:21"/>
    <x v="162"/>
    <d v="1899-12-30T22:21:00"/>
    <x v="0"/>
    <d v="1899-12-30T00:25:00"/>
    <n v="0.41666666666666669"/>
    <x v="125"/>
    <x v="6"/>
    <n v="6.1"/>
    <n v="14.639999999999999"/>
    <x v="7"/>
    <x v="7"/>
  </r>
  <r>
    <x v="65"/>
    <x v="129"/>
    <s v="11/19/2016 14:10"/>
    <x v="65"/>
    <d v="1899-12-30T14:10:00"/>
    <x v="0"/>
    <d v="1899-12-30T00:19:00"/>
    <n v="0.31666666666666665"/>
    <x v="2"/>
    <x v="31"/>
    <n v="10.3"/>
    <n v="32.526315789473685"/>
    <x v="7"/>
    <x v="7"/>
  </r>
  <r>
    <x v="65"/>
    <x v="231"/>
    <s v="11/19/2016 14:51"/>
    <x v="65"/>
    <d v="1899-12-30T14:51:00"/>
    <x v="0"/>
    <d v="1899-12-30T00:21:00"/>
    <n v="0.35"/>
    <x v="24"/>
    <x v="3"/>
    <n v="10.5"/>
    <n v="30.000000000000004"/>
    <x v="7"/>
    <x v="7"/>
  </r>
  <r>
    <x v="15"/>
    <x v="439"/>
    <s v="11/20/2016 15:07"/>
    <x v="15"/>
    <d v="1899-12-30T15:07:00"/>
    <x v="0"/>
    <d v="1899-12-30T00:09:00"/>
    <n v="0.15"/>
    <x v="2"/>
    <x v="3"/>
    <n v="2.7"/>
    <n v="18.000000000000004"/>
    <x v="7"/>
    <x v="7"/>
  </r>
  <r>
    <x v="66"/>
    <x v="440"/>
    <s v="11/22/2016 15:27"/>
    <x v="66"/>
    <d v="1899-12-30T15:27:00"/>
    <x v="0"/>
    <d v="1899-12-30T00:15:00"/>
    <n v="0.25"/>
    <x v="2"/>
    <x v="3"/>
    <n v="5.5"/>
    <n v="22"/>
    <x v="7"/>
    <x v="7"/>
  </r>
  <r>
    <x v="66"/>
    <x v="54"/>
    <s v="11/22/2016 15:44"/>
    <x v="66"/>
    <d v="1899-12-30T15:44:00"/>
    <x v="0"/>
    <d v="1899-12-30T00:13:00"/>
    <n v="0.21666666666666667"/>
    <x v="2"/>
    <x v="3"/>
    <n v="4.0999999999999996"/>
    <n v="18.92307692307692"/>
    <x v="7"/>
    <x v="7"/>
  </r>
  <r>
    <x v="201"/>
    <x v="138"/>
    <s v="11/25/2016 12:04"/>
    <x v="202"/>
    <d v="1899-12-30T12:04:00"/>
    <x v="0"/>
    <d v="1899-12-30T00:17:00"/>
    <n v="0.28333333333333333"/>
    <x v="2"/>
    <x v="31"/>
    <n v="10.3"/>
    <n v="36.352941176470594"/>
    <x v="7"/>
    <x v="7"/>
  </r>
  <r>
    <x v="201"/>
    <x v="397"/>
    <s v="11/25/2016 13:31"/>
    <x v="202"/>
    <d v="1899-12-30T13:31:00"/>
    <x v="0"/>
    <d v="1899-12-30T00:18:00"/>
    <n v="0.3"/>
    <x v="24"/>
    <x v="3"/>
    <n v="11.1"/>
    <n v="37"/>
    <x v="7"/>
    <x v="7"/>
  </r>
  <r>
    <x v="16"/>
    <x v="441"/>
    <s v="11/26/2016 17:12"/>
    <x v="16"/>
    <d v="1899-12-30T17:12:00"/>
    <x v="0"/>
    <d v="1899-12-30T00:12:00"/>
    <n v="0.2"/>
    <x v="2"/>
    <x v="47"/>
    <n v="5.0999999999999996"/>
    <n v="25.499999999999996"/>
    <x v="7"/>
    <x v="7"/>
  </r>
  <r>
    <x v="16"/>
    <x v="442"/>
    <s v="11/26/2016 17:56"/>
    <x v="16"/>
    <d v="1899-12-30T17:56:00"/>
    <x v="0"/>
    <d v="1899-12-30T00:20:00"/>
    <n v="0.33333333333333331"/>
    <x v="20"/>
    <x v="130"/>
    <n v="9"/>
    <n v="27"/>
    <x v="7"/>
    <x v="7"/>
  </r>
  <r>
    <x v="68"/>
    <x v="443"/>
    <d v="2016-01-12T07:59:00"/>
    <x v="68"/>
    <d v="1899-12-30T07:59:00"/>
    <x v="0"/>
    <d v="1899-12-30T00:15:00"/>
    <n v="0.25"/>
    <x v="2"/>
    <x v="3"/>
    <n v="5.5"/>
    <n v="22"/>
    <x v="7"/>
    <x v="7"/>
  </r>
  <r>
    <x v="72"/>
    <x v="444"/>
    <d v="2016-07-12T12:32:00"/>
    <x v="72"/>
    <d v="1899-12-30T12:32:00"/>
    <x v="0"/>
    <d v="1899-12-30T00:29:00"/>
    <n v="0.48333333333333334"/>
    <x v="2"/>
    <x v="3"/>
    <n v="6.6"/>
    <n v="13.655172413793103"/>
    <x v="7"/>
    <x v="7"/>
  </r>
  <r>
    <x v="72"/>
    <x v="445"/>
    <d v="2016-07-12T12:46:00"/>
    <x v="72"/>
    <d v="1899-12-30T12:46:00"/>
    <x v="0"/>
    <d v="1899-12-30T00:11:00"/>
    <n v="0.18333333333333332"/>
    <x v="2"/>
    <x v="3"/>
    <n v="4"/>
    <n v="21.81818181818182"/>
    <x v="7"/>
    <x v="7"/>
  </r>
  <r>
    <x v="122"/>
    <x v="330"/>
    <d v="2016-08-12T19:27:00"/>
    <x v="122"/>
    <d v="1899-12-30T19:27:00"/>
    <x v="0"/>
    <d v="1899-12-30T00:05:00"/>
    <n v="8.3333333333333329E-2"/>
    <x v="2"/>
    <x v="3"/>
    <n v="2"/>
    <n v="24"/>
    <x v="7"/>
    <x v="7"/>
  </r>
  <r>
    <x v="73"/>
    <x v="170"/>
    <d v="2016-09-12T20:34:00"/>
    <x v="73"/>
    <d v="1899-12-30T20:34:00"/>
    <x v="0"/>
    <d v="1899-12-30T00:23:00"/>
    <n v="0.38333333333333336"/>
    <x v="2"/>
    <x v="3"/>
    <n v="5.6"/>
    <n v="14.60869565217391"/>
    <x v="7"/>
    <x v="7"/>
  </r>
  <r>
    <x v="74"/>
    <x v="446"/>
    <d v="2016-10-12T13:16:00"/>
    <x v="74"/>
    <d v="1899-12-30T13:16:00"/>
    <x v="0"/>
    <d v="1899-12-30T00:33:00"/>
    <n v="0.55000000000000004"/>
    <x v="2"/>
    <x v="131"/>
    <n v="15.6"/>
    <n v="28.36363636363636"/>
    <x v="7"/>
    <x v="7"/>
  </r>
  <r>
    <x v="202"/>
    <x v="447"/>
    <s v="12/15/2016 14:54"/>
    <x v="203"/>
    <d v="1899-12-30T14:54:00"/>
    <x v="0"/>
    <d v="1899-12-30T00:34:00"/>
    <n v="0.56666666666666665"/>
    <x v="2"/>
    <x v="32"/>
    <n v="10.6"/>
    <n v="18.705882352941178"/>
    <x v="7"/>
    <x v="7"/>
  </r>
  <r>
    <x v="77"/>
    <x v="448"/>
    <s v="12/19/2016 20:30"/>
    <x v="77"/>
    <d v="1899-12-30T20:30:00"/>
    <x v="0"/>
    <d v="1899-12-30T00:35:00"/>
    <n v="0.58333333333333337"/>
    <x v="0"/>
    <x v="0"/>
    <n v="11"/>
    <n v="18.857142857142858"/>
    <x v="7"/>
    <x v="7"/>
  </r>
  <r>
    <x v="78"/>
    <x v="314"/>
    <s v="12/20/2016 12:17"/>
    <x v="78"/>
    <d v="1899-12-30T12:17:00"/>
    <x v="0"/>
    <d v="1899-12-30T00:47:00"/>
    <n v="0.78333333333333333"/>
    <x v="45"/>
    <x v="0"/>
    <n v="19.399999999999999"/>
    <n v="24.76595744680851"/>
    <x v="7"/>
    <x v="7"/>
  </r>
  <r>
    <x v="79"/>
    <x v="449"/>
    <s v="12/21/2016 8:10"/>
    <x v="79"/>
    <d v="1899-12-30T08:10:00"/>
    <x v="0"/>
    <d v="1899-12-30T00:28:00"/>
    <n v="0.46666666666666667"/>
    <x v="0"/>
    <x v="0"/>
    <n v="11.5"/>
    <n v="24.642857142857142"/>
    <x v="7"/>
    <x v="7"/>
  </r>
  <r>
    <x v="79"/>
    <x v="213"/>
    <s v="12/21/2016 13:33"/>
    <x v="79"/>
    <d v="1899-12-30T13:33:00"/>
    <x v="0"/>
    <d v="1899-12-30T00:42:00"/>
    <n v="0.7"/>
    <x v="0"/>
    <x v="0"/>
    <n v="16.2"/>
    <n v="23.142857142857142"/>
    <x v="7"/>
    <x v="7"/>
  </r>
  <r>
    <x v="79"/>
    <x v="190"/>
    <s v="12/21/2016 17:54"/>
    <x v="79"/>
    <d v="1899-12-30T17:54:00"/>
    <x v="0"/>
    <d v="1899-12-30T00:09:00"/>
    <n v="0.15"/>
    <x v="46"/>
    <x v="21"/>
    <n v="2.1"/>
    <n v="14.000000000000002"/>
    <x v="7"/>
    <x v="7"/>
  </r>
  <r>
    <x v="79"/>
    <x v="450"/>
    <s v="12/21/2016 20:35"/>
    <x v="79"/>
    <d v="1899-12-30T20:35:00"/>
    <x v="0"/>
    <d v="1899-12-30T00:46:00"/>
    <n v="0.76666666666666672"/>
    <x v="0"/>
    <x v="41"/>
    <n v="12"/>
    <n v="15.652173913043477"/>
    <x v="7"/>
    <x v="7"/>
  </r>
  <r>
    <x v="79"/>
    <x v="451"/>
    <s v="12/21/2016 23:42"/>
    <x v="79"/>
    <d v="1899-12-30T23:42:00"/>
    <x v="0"/>
    <d v="1899-12-30T02:46:00"/>
    <n v="2.7666666666666666"/>
    <x v="45"/>
    <x v="0"/>
    <n v="103"/>
    <n v="37.2289156626506"/>
    <x v="7"/>
    <x v="7"/>
  </r>
  <r>
    <x v="80"/>
    <x v="187"/>
    <s v="12/22/2016 16:38"/>
    <x v="80"/>
    <d v="1899-12-30T16:38:00"/>
    <x v="0"/>
    <d v="1899-12-30T00:58:00"/>
    <n v="0.96666666666666667"/>
    <x v="0"/>
    <x v="0"/>
    <n v="32.299999999999997"/>
    <n v="33.41379310344827"/>
    <x v="7"/>
    <x v="7"/>
  </r>
  <r>
    <x v="80"/>
    <x v="126"/>
    <s v="12/22/2016 17:53"/>
    <x v="80"/>
    <d v="1899-12-30T17:53:00"/>
    <x v="0"/>
    <d v="1899-12-30T00:26:00"/>
    <n v="0.43333333333333335"/>
    <x v="0"/>
    <x v="0"/>
    <n v="11.6"/>
    <n v="26.769230769230766"/>
    <x v="7"/>
    <x v="7"/>
  </r>
  <r>
    <x v="80"/>
    <x v="452"/>
    <s v="12/22/2016 18:29"/>
    <x v="80"/>
    <d v="1899-12-30T18:29:00"/>
    <x v="0"/>
    <d v="1899-12-30T00:33:00"/>
    <n v="0.55000000000000004"/>
    <x v="0"/>
    <x v="0"/>
    <n v="23.2"/>
    <n v="42.18181818181818"/>
    <x v="7"/>
    <x v="7"/>
  </r>
  <r>
    <x v="80"/>
    <x v="320"/>
    <s v="12/22/2016 19:50"/>
    <x v="80"/>
    <d v="1899-12-30T19:50:00"/>
    <x v="0"/>
    <d v="1899-12-30T00:46:00"/>
    <n v="0.76666666666666672"/>
    <x v="0"/>
    <x v="42"/>
    <n v="14"/>
    <n v="18.260869565217391"/>
    <x v="7"/>
    <x v="7"/>
  </r>
  <r>
    <x v="126"/>
    <x v="369"/>
    <s v="12/23/2016 9:41"/>
    <x v="126"/>
    <d v="1899-12-30T09:41:00"/>
    <x v="0"/>
    <d v="1899-12-30T00:20:00"/>
    <n v="0.33333333333333331"/>
    <x v="47"/>
    <x v="42"/>
    <n v="3"/>
    <n v="9"/>
    <x v="7"/>
    <x v="7"/>
  </r>
  <r>
    <x v="126"/>
    <x v="453"/>
    <s v="12/23/2016 11:58"/>
    <x v="126"/>
    <d v="1899-12-30T11:58:00"/>
    <x v="0"/>
    <d v="1899-12-30T00:25:00"/>
    <n v="0.41666666666666669"/>
    <x v="47"/>
    <x v="0"/>
    <n v="6.2"/>
    <n v="14.879999999999999"/>
    <x v="7"/>
    <x v="7"/>
  </r>
  <r>
    <x v="126"/>
    <x v="454"/>
    <s v="12/23/2016 15:25"/>
    <x v="126"/>
    <d v="1899-12-30T15:25:00"/>
    <x v="0"/>
    <d v="1899-12-30T01:10:00"/>
    <n v="1.1666666666666667"/>
    <x v="0"/>
    <x v="0"/>
    <n v="9.6"/>
    <n v="8.2285714285714278"/>
    <x v="7"/>
    <x v="7"/>
  </r>
  <r>
    <x v="81"/>
    <x v="455"/>
    <s v="12/26/2016 13:43"/>
    <x v="81"/>
    <d v="1899-12-30T13:43:00"/>
    <x v="0"/>
    <d v="1899-12-30T00:34:00"/>
    <n v="0.56666666666666665"/>
    <x v="47"/>
    <x v="0"/>
    <n v="7.9"/>
    <n v="13.941176470588236"/>
    <x v="7"/>
    <x v="7"/>
  </r>
  <r>
    <x v="82"/>
    <x v="456"/>
    <s v="12/27/2016 16:58"/>
    <x v="82"/>
    <d v="1899-12-30T16:58:00"/>
    <x v="0"/>
    <d v="1899-12-30T00:24:00"/>
    <n v="0.4"/>
    <x v="0"/>
    <x v="1"/>
    <n v="7.9"/>
    <n v="19.75"/>
    <x v="7"/>
    <x v="7"/>
  </r>
  <r>
    <x v="2"/>
    <x v="318"/>
    <s v="12/29/2016 20:45"/>
    <x v="2"/>
    <d v="1899-12-30T20:45:00"/>
    <x v="0"/>
    <d v="1899-12-30T00:30:00"/>
    <n v="0.5"/>
    <x v="1"/>
    <x v="1"/>
    <n v="7.2"/>
    <n v="14.4"/>
    <x v="7"/>
    <x v="7"/>
  </r>
  <r>
    <x v="2"/>
    <x v="457"/>
    <s v="12/29/2016 23:47"/>
    <x v="2"/>
    <d v="1899-12-30T23:47:00"/>
    <x v="0"/>
    <d v="1899-12-30T00:33:00"/>
    <n v="0.55000000000000004"/>
    <x v="0"/>
    <x v="1"/>
    <n v="12.9"/>
    <n v="23.454545454545453"/>
    <x v="7"/>
    <x v="7"/>
  </r>
  <r>
    <x v="83"/>
    <x v="401"/>
    <s v="12/30/2016 17:08"/>
    <x v="83"/>
    <d v="1899-12-30T17:08:00"/>
    <x v="0"/>
    <d v="1899-12-30T00:23:00"/>
    <n v="0.38333333333333336"/>
    <x v="1"/>
    <x v="1"/>
    <n v="4.5999999999999996"/>
    <n v="11.999999999999998"/>
    <x v="7"/>
    <x v="7"/>
  </r>
  <r>
    <x v="203"/>
    <x v="458"/>
    <s v="12/31/2016 1:14"/>
    <x v="204"/>
    <d v="1899-12-30T01:14:00"/>
    <x v="0"/>
    <d v="1899-12-30T00:07:00"/>
    <n v="0.11666666666666667"/>
    <x v="1"/>
    <x v="1"/>
    <n v="0.7"/>
    <n v="5.9999999999999991"/>
    <x v="7"/>
    <x v="7"/>
  </r>
  <r>
    <x v="203"/>
    <x v="459"/>
    <s v="12/31/2016 15:38"/>
    <x v="204"/>
    <d v="1899-12-30T15:38:00"/>
    <x v="0"/>
    <d v="1899-12-30T00:35:00"/>
    <n v="0.58333333333333337"/>
    <x v="0"/>
    <x v="0"/>
    <n v="16.2"/>
    <n v="27.771428571428569"/>
    <x v="7"/>
    <x v="7"/>
  </r>
  <r>
    <x v="117"/>
    <x v="460"/>
    <s v="7/18/2016 10:49"/>
    <x v="117"/>
    <d v="1899-12-30T10:49:00"/>
    <x v="1"/>
    <d v="1899-12-30T00:12:00"/>
    <n v="0.2"/>
    <x v="2"/>
    <x v="32"/>
    <n v="4.0999999999999996"/>
    <n v="20.499999999999996"/>
    <x v="8"/>
    <x v="8"/>
  </r>
  <r>
    <x v="117"/>
    <x v="461"/>
    <s v="7/18/2016 11:15"/>
    <x v="117"/>
    <d v="1899-12-30T11:15:00"/>
    <x v="1"/>
    <d v="1899-12-30T00:21:00"/>
    <n v="0.35"/>
    <x v="5"/>
    <x v="3"/>
    <n v="6.1"/>
    <n v="17.428571428571427"/>
    <x v="8"/>
    <x v="8"/>
  </r>
  <r>
    <x v="117"/>
    <x v="413"/>
    <s v="7/18/2016 11:36"/>
    <x v="117"/>
    <d v="1899-12-30T11:36:00"/>
    <x v="1"/>
    <d v="1899-12-30T00:11:00"/>
    <n v="0.18333333333333332"/>
    <x v="81"/>
    <x v="60"/>
    <n v="3.3"/>
    <n v="18"/>
    <x v="8"/>
    <x v="8"/>
  </r>
  <r>
    <x v="117"/>
    <x v="462"/>
    <s v="7/18/2016 11:56"/>
    <x v="117"/>
    <d v="1899-12-30T11:56:00"/>
    <x v="1"/>
    <d v="1899-12-30T00:16:00"/>
    <n v="0.26666666666666666"/>
    <x v="53"/>
    <x v="6"/>
    <n v="4.7"/>
    <n v="17.625"/>
    <x v="8"/>
    <x v="8"/>
  </r>
  <r>
    <x v="84"/>
    <x v="463"/>
    <d v="2016-02-01T01:37:00"/>
    <x v="84"/>
    <d v="1899-12-30T01:37:00"/>
    <x v="0"/>
    <d v="1899-12-30T00:12:00"/>
    <n v="0.2"/>
    <x v="15"/>
    <x v="43"/>
    <n v="5"/>
    <n v="25"/>
    <x v="9"/>
    <x v="9"/>
  </r>
  <r>
    <x v="204"/>
    <x v="464"/>
    <m/>
    <x v="205"/>
    <d v="1899-12-30T09:23:00"/>
    <x v="0"/>
    <d v="1899-12-30T00:14:00"/>
    <n v="0.23333333333333334"/>
    <x v="4"/>
    <x v="132"/>
    <n v="7.2"/>
    <n v="30.857142857142858"/>
    <x v="9"/>
    <x v="9"/>
  </r>
  <r>
    <x v="133"/>
    <x v="461"/>
    <d v="2016-09-02T11:07:00"/>
    <x v="133"/>
    <d v="1899-12-30T11:07:00"/>
    <x v="1"/>
    <d v="1899-12-30T00:13:00"/>
    <n v="0.21666666666666667"/>
    <x v="4"/>
    <x v="79"/>
    <n v="5.3"/>
    <n v="24.46153846153846"/>
    <x v="9"/>
    <x v="9"/>
  </r>
  <r>
    <x v="133"/>
    <x v="233"/>
    <d v="2016-09-02T11:50:00"/>
    <x v="133"/>
    <d v="1899-12-30T11:50:00"/>
    <x v="1"/>
    <d v="1899-12-30T00:07:00"/>
    <n v="0.11666666666666667"/>
    <x v="81"/>
    <x v="7"/>
    <n v="3"/>
    <n v="25.714285714285715"/>
    <x v="9"/>
    <x v="9"/>
  </r>
  <r>
    <x v="133"/>
    <x v="334"/>
    <d v="2016-09-02T13:52:00"/>
    <x v="133"/>
    <d v="1899-12-30T13:52:00"/>
    <x v="1"/>
    <d v="1899-12-30T00:16:00"/>
    <n v="0.26666666666666666"/>
    <x v="85"/>
    <x v="60"/>
    <n v="5.0999999999999996"/>
    <n v="19.125"/>
    <x v="9"/>
    <x v="9"/>
  </r>
  <r>
    <x v="133"/>
    <x v="465"/>
    <d v="2016-09-02T14:02:00"/>
    <x v="133"/>
    <d v="1899-12-30T14:02:00"/>
    <x v="1"/>
    <d v="1899-12-30T00:04:00"/>
    <n v="6.6666666666666666E-2"/>
    <x v="53"/>
    <x v="6"/>
    <n v="1.5"/>
    <n v="22.5"/>
    <x v="9"/>
    <x v="9"/>
  </r>
  <r>
    <x v="133"/>
    <x v="466"/>
    <d v="2016-09-02T19:11:00"/>
    <x v="133"/>
    <d v="1899-12-30T19:11:00"/>
    <x v="0"/>
    <d v="1899-12-30T00:16:00"/>
    <n v="0.26666666666666666"/>
    <x v="2"/>
    <x v="32"/>
    <n v="6.1"/>
    <n v="22.875"/>
    <x v="9"/>
    <x v="9"/>
  </r>
  <r>
    <x v="172"/>
    <x v="467"/>
    <s v="2/14/2016 1:00"/>
    <x v="172"/>
    <d v="1899-12-30T01:00:00"/>
    <x v="1"/>
    <d v="1899-12-30T00:10:00"/>
    <n v="0.16666666666666666"/>
    <x v="126"/>
    <x v="133"/>
    <n v="1.8"/>
    <n v="10.8"/>
    <x v="9"/>
    <x v="9"/>
  </r>
  <r>
    <x v="29"/>
    <x v="468"/>
    <s v="2/16/2016 9:34"/>
    <x v="29"/>
    <d v="1899-12-30T09:34:00"/>
    <x v="0"/>
    <d v="1899-12-30T01:05:00"/>
    <n v="1.0833333333333333"/>
    <x v="0"/>
    <x v="77"/>
    <n v="14.1"/>
    <n v="13.015384615384615"/>
    <x v="9"/>
    <x v="9"/>
  </r>
  <r>
    <x v="29"/>
    <x v="469"/>
    <s v="2/16/2016 12:02"/>
    <x v="29"/>
    <d v="1899-12-30T12:02:00"/>
    <x v="0"/>
    <d v="1899-12-30T00:30:00"/>
    <n v="0.5"/>
    <x v="83"/>
    <x v="77"/>
    <n v="4.5"/>
    <n v="9"/>
    <x v="9"/>
    <x v="9"/>
  </r>
  <r>
    <x v="29"/>
    <x v="470"/>
    <s v="2/16/2016 12:42"/>
    <x v="29"/>
    <d v="1899-12-30T12:42:00"/>
    <x v="0"/>
    <d v="1899-12-30T00:03:00"/>
    <n v="0.05"/>
    <x v="83"/>
    <x v="77"/>
    <n v="1.7"/>
    <n v="34"/>
    <x v="9"/>
    <x v="9"/>
  </r>
  <r>
    <x v="29"/>
    <x v="456"/>
    <s v="2/16/2016 17:10"/>
    <x v="29"/>
    <d v="1899-12-30T17:10:00"/>
    <x v="0"/>
    <d v="1899-12-30T00:36:00"/>
    <n v="0.6"/>
    <x v="83"/>
    <x v="77"/>
    <n v="6"/>
    <n v="10"/>
    <x v="9"/>
    <x v="9"/>
  </r>
  <r>
    <x v="173"/>
    <x v="471"/>
    <s v="2/19/2016 11:26"/>
    <x v="173"/>
    <d v="1899-12-30T11:26:00"/>
    <x v="1"/>
    <d v="1899-12-30T00:06:00"/>
    <n v="0.1"/>
    <x v="46"/>
    <x v="21"/>
    <n v="1.5"/>
    <n v="15"/>
    <x v="9"/>
    <x v="9"/>
  </r>
  <r>
    <x v="173"/>
    <x v="472"/>
    <s v="2/19/2016 11:50"/>
    <x v="173"/>
    <d v="1899-12-30T11:50:00"/>
    <x v="1"/>
    <d v="1899-12-30T00:05:00"/>
    <n v="8.3333333333333329E-2"/>
    <x v="46"/>
    <x v="21"/>
    <n v="1"/>
    <n v="12"/>
    <x v="9"/>
    <x v="9"/>
  </r>
  <r>
    <x v="173"/>
    <x v="473"/>
    <s v="2/19/2016 16:45"/>
    <x v="173"/>
    <d v="1899-12-30T16:45:00"/>
    <x v="0"/>
    <d v="1899-12-30T00:19:00"/>
    <n v="0.31666666666666665"/>
    <x v="0"/>
    <x v="21"/>
    <n v="3.5"/>
    <n v="11.052631578947368"/>
    <x v="9"/>
    <x v="9"/>
  </r>
  <r>
    <x v="173"/>
    <x v="474"/>
    <s v="2/19/2016 17:20"/>
    <x v="173"/>
    <d v="1899-12-30T17:20:00"/>
    <x v="0"/>
    <d v="1899-12-30T00:11:00"/>
    <n v="0.18333333333333332"/>
    <x v="46"/>
    <x v="21"/>
    <n v="4.2"/>
    <n v="22.90909090909091"/>
    <x v="9"/>
    <x v="9"/>
  </r>
  <r>
    <x v="173"/>
    <x v="475"/>
    <s v="2/19/2016 20:30"/>
    <x v="173"/>
    <d v="1899-12-30T20:30:00"/>
    <x v="1"/>
    <d v="1899-12-30T00:22:00"/>
    <n v="0.36666666666666664"/>
    <x v="46"/>
    <x v="0"/>
    <n v="13.6"/>
    <n v="37.090909090909093"/>
    <x v="9"/>
    <x v="9"/>
  </r>
  <r>
    <x v="173"/>
    <x v="476"/>
    <s v="2/19/2016 20:51"/>
    <x v="173"/>
    <d v="1899-12-30T20:51:00"/>
    <x v="1"/>
    <d v="1899-12-30T00:17:00"/>
    <n v="0.28333333333333333"/>
    <x v="0"/>
    <x v="0"/>
    <n v="2.5"/>
    <n v="8.8235294117647065"/>
    <x v="9"/>
    <x v="9"/>
  </r>
  <r>
    <x v="92"/>
    <x v="477"/>
    <s v="2/20/2016 8:32"/>
    <x v="92"/>
    <d v="1899-12-30T08:32:00"/>
    <x v="1"/>
    <d v="1899-12-30T00:33:00"/>
    <n v="0.55000000000000004"/>
    <x v="0"/>
    <x v="21"/>
    <n v="14.4"/>
    <n v="26.18181818181818"/>
    <x v="9"/>
    <x v="9"/>
  </r>
  <r>
    <x v="92"/>
    <x v="478"/>
    <s v="2/20/2016 10:56"/>
    <x v="92"/>
    <d v="1899-12-30T10:56:00"/>
    <x v="1"/>
    <d v="1899-12-30T00:08:00"/>
    <n v="0.13333333333333333"/>
    <x v="46"/>
    <x v="21"/>
    <n v="3"/>
    <n v="22.5"/>
    <x v="9"/>
    <x v="9"/>
  </r>
  <r>
    <x v="92"/>
    <x v="472"/>
    <s v="2/20/2016 11:53"/>
    <x v="92"/>
    <d v="1899-12-30T11:53:00"/>
    <x v="1"/>
    <d v="1899-12-30T00:08:00"/>
    <n v="0.13333333333333333"/>
    <x v="46"/>
    <x v="21"/>
    <n v="1.5"/>
    <n v="11.25"/>
    <x v="9"/>
    <x v="9"/>
  </r>
  <r>
    <x v="92"/>
    <x v="479"/>
    <s v="2/20/2016 13:17"/>
    <x v="92"/>
    <d v="1899-12-30T13:17:00"/>
    <x v="0"/>
    <d v="1899-12-30T00:36:00"/>
    <n v="0.6"/>
    <x v="46"/>
    <x v="109"/>
    <n v="18.399999999999999"/>
    <n v="30.666666666666664"/>
    <x v="9"/>
    <x v="9"/>
  </r>
  <r>
    <x v="92"/>
    <x v="480"/>
    <s v="2/20/2016 17:54"/>
    <x v="92"/>
    <d v="1899-12-30T17:54:00"/>
    <x v="1"/>
    <d v="1899-12-30T00:55:00"/>
    <n v="0.91666666666666663"/>
    <x v="109"/>
    <x v="0"/>
    <n v="16.5"/>
    <n v="18"/>
    <x v="9"/>
    <x v="9"/>
  </r>
  <r>
    <x v="93"/>
    <x v="260"/>
    <s v="2/21/2016 9:46"/>
    <x v="93"/>
    <d v="1899-12-30T09:46:00"/>
    <x v="0"/>
    <d v="1899-12-30T00:39:00"/>
    <n v="0.65"/>
    <x v="0"/>
    <x v="21"/>
    <n v="14.5"/>
    <n v="22.307692307692307"/>
    <x v="9"/>
    <x v="9"/>
  </r>
  <r>
    <x v="93"/>
    <x v="481"/>
    <s v="2/21/2016 16:32"/>
    <x v="93"/>
    <d v="1899-12-30T16:32:00"/>
    <x v="0"/>
    <d v="1899-12-30T00:28:00"/>
    <n v="0.46666666666666667"/>
    <x v="0"/>
    <x v="0"/>
    <n v="9.6999999999999993"/>
    <n v="20.785714285714285"/>
    <x v="9"/>
    <x v="9"/>
  </r>
  <r>
    <x v="94"/>
    <x v="231"/>
    <s v="2/24/2016 14:35"/>
    <x v="94"/>
    <d v="1899-12-30T14:35:00"/>
    <x v="0"/>
    <d v="1899-12-30T00:05:00"/>
    <n v="8.3333333333333329E-2"/>
    <x v="4"/>
    <x v="60"/>
    <n v="1.5"/>
    <n v="18"/>
    <x v="9"/>
    <x v="9"/>
  </r>
  <r>
    <x v="174"/>
    <x v="421"/>
    <s v="2/26/2016 9:29"/>
    <x v="174"/>
    <d v="1899-12-30T09:29:00"/>
    <x v="0"/>
    <d v="1899-12-30T00:23:00"/>
    <n v="0.38333333333333336"/>
    <x v="4"/>
    <x v="46"/>
    <n v="6.3"/>
    <n v="16.434782608695652"/>
    <x v="9"/>
    <x v="9"/>
  </r>
  <r>
    <x v="174"/>
    <x v="482"/>
    <s v="2/26/2016 11:11"/>
    <x v="174"/>
    <d v="1899-12-30T11:11:00"/>
    <x v="1"/>
    <d v="1899-12-30T00:06:00"/>
    <n v="0.1"/>
    <x v="55"/>
    <x v="6"/>
    <n v="1.7"/>
    <n v="17"/>
    <x v="9"/>
    <x v="9"/>
  </r>
  <r>
    <x v="174"/>
    <x v="5"/>
    <s v="2/26/2016 14:46"/>
    <x v="174"/>
    <d v="1899-12-30T14:46:00"/>
    <x v="1"/>
    <d v="1899-12-30T00:08:00"/>
    <n v="0.13333333333333333"/>
    <x v="4"/>
    <x v="46"/>
    <n v="1.9"/>
    <n v="14.25"/>
    <x v="9"/>
    <x v="9"/>
  </r>
  <r>
    <x v="174"/>
    <x v="355"/>
    <s v="2/26/2016 15:18"/>
    <x v="174"/>
    <d v="1899-12-30T15:18:00"/>
    <x v="1"/>
    <d v="1899-12-30T00:18:00"/>
    <n v="0.3"/>
    <x v="55"/>
    <x v="63"/>
    <n v="4.2"/>
    <n v="14.000000000000002"/>
    <x v="9"/>
    <x v="9"/>
  </r>
  <r>
    <x v="174"/>
    <x v="483"/>
    <s v="2/26/2016 17:12"/>
    <x v="174"/>
    <d v="1899-12-30T17:12:00"/>
    <x v="1"/>
    <d v="1899-12-30T00:11:00"/>
    <n v="0.18333333333333332"/>
    <x v="23"/>
    <x v="6"/>
    <n v="2"/>
    <n v="10.90909090909091"/>
    <x v="9"/>
    <x v="9"/>
  </r>
  <r>
    <x v="32"/>
    <x v="484"/>
    <s v="2/29/2016 11:14"/>
    <x v="32"/>
    <d v="1899-12-30T11:14:00"/>
    <x v="1"/>
    <d v="1899-12-30T00:07:00"/>
    <n v="0.11666666666666667"/>
    <x v="4"/>
    <x v="46"/>
    <n v="2.1"/>
    <n v="18"/>
    <x v="9"/>
    <x v="9"/>
  </r>
  <r>
    <x v="32"/>
    <x v="235"/>
    <s v="2/29/2016 15:03"/>
    <x v="32"/>
    <d v="1899-12-30T15:03:00"/>
    <x v="0"/>
    <d v="1899-12-30T00:08:00"/>
    <n v="0.13333333333333333"/>
    <x v="4"/>
    <x v="63"/>
    <n v="2.6"/>
    <n v="19.5"/>
    <x v="9"/>
    <x v="9"/>
  </r>
  <r>
    <x v="33"/>
    <x v="485"/>
    <d v="2016-03-03T09:52:00"/>
    <x v="33"/>
    <d v="1899-12-30T09:52:00"/>
    <x v="1"/>
    <d v="1899-12-30T00:07:00"/>
    <n v="0.11666666666666667"/>
    <x v="4"/>
    <x v="46"/>
    <n v="2.2000000000000002"/>
    <n v="18.857142857142858"/>
    <x v="9"/>
    <x v="9"/>
  </r>
  <r>
    <x v="136"/>
    <x v="246"/>
    <d v="2016-05-03T13:12:00"/>
    <x v="136"/>
    <d v="1899-12-30T13:12:00"/>
    <x v="1"/>
    <d v="1899-12-30T00:15:00"/>
    <n v="0.25"/>
    <x v="97"/>
    <x v="62"/>
    <n v="4.2"/>
    <n v="16.8"/>
    <x v="9"/>
    <x v="9"/>
  </r>
  <r>
    <x v="136"/>
    <x v="486"/>
    <d v="2016-05-03T14:18:00"/>
    <x v="136"/>
    <d v="1899-12-30T14:18:00"/>
    <x v="1"/>
    <d v="1899-12-30T00:10:00"/>
    <n v="0.16666666666666666"/>
    <x v="5"/>
    <x v="3"/>
    <n v="3.5"/>
    <n v="21"/>
    <x v="9"/>
    <x v="9"/>
  </r>
  <r>
    <x v="5"/>
    <x v="236"/>
    <d v="2016-08-03T16:25:00"/>
    <x v="5"/>
    <d v="1899-12-30T16:25:00"/>
    <x v="1"/>
    <d v="1899-12-30T00:12:00"/>
    <n v="0.2"/>
    <x v="4"/>
    <x v="6"/>
    <n v="1.6"/>
    <n v="8"/>
    <x v="9"/>
    <x v="9"/>
  </r>
  <r>
    <x v="176"/>
    <x v="10"/>
    <d v="2016-10-03T14:55:00"/>
    <x v="176"/>
    <d v="1899-12-30T14:55:00"/>
    <x v="0"/>
    <d v="1899-12-30T00:16:00"/>
    <n v="0.26666666666666666"/>
    <x v="90"/>
    <x v="52"/>
    <n v="2.2999999999999998"/>
    <n v="8.625"/>
    <x v="9"/>
    <x v="9"/>
  </r>
  <r>
    <x v="176"/>
    <x v="487"/>
    <d v="2016-10-03T16:28:00"/>
    <x v="176"/>
    <d v="1899-12-30T16:28:00"/>
    <x v="0"/>
    <d v="1899-12-30T00:10:00"/>
    <n v="0.16666666666666666"/>
    <x v="87"/>
    <x v="134"/>
    <n v="1.6"/>
    <n v="9.6000000000000014"/>
    <x v="9"/>
    <x v="9"/>
  </r>
  <r>
    <x v="137"/>
    <x v="17"/>
    <d v="2016-11-03T10:36:00"/>
    <x v="137"/>
    <d v="1899-12-30T10:36:00"/>
    <x v="0"/>
    <d v="1899-12-30T00:07:00"/>
    <n v="0.11666666666666667"/>
    <x v="127"/>
    <x v="102"/>
    <n v="0.8"/>
    <n v="6.8571428571428577"/>
    <x v="9"/>
    <x v="9"/>
  </r>
  <r>
    <x v="137"/>
    <x v="488"/>
    <d v="2016-11-03T12:04:00"/>
    <x v="137"/>
    <d v="1899-12-30T12:04:00"/>
    <x v="0"/>
    <d v="1899-12-30T00:07:00"/>
    <n v="0.11666666666666667"/>
    <x v="72"/>
    <x v="135"/>
    <n v="1.2"/>
    <n v="10.285714285714285"/>
    <x v="9"/>
    <x v="9"/>
  </r>
  <r>
    <x v="137"/>
    <x v="388"/>
    <d v="2016-11-03T13:51:00"/>
    <x v="137"/>
    <d v="1899-12-30T13:51:00"/>
    <x v="0"/>
    <d v="1899-12-30T00:08:00"/>
    <n v="0.13333333333333333"/>
    <x v="128"/>
    <x v="102"/>
    <n v="1"/>
    <n v="7.5"/>
    <x v="9"/>
    <x v="9"/>
  </r>
  <r>
    <x v="137"/>
    <x v="489"/>
    <d v="2016-11-03T19:35:00"/>
    <x v="137"/>
    <d v="1899-12-30T19:35:00"/>
    <x v="0"/>
    <d v="1899-12-30T00:14:00"/>
    <n v="0.23333333333333334"/>
    <x v="87"/>
    <x v="83"/>
    <n v="2.1"/>
    <n v="9"/>
    <x v="9"/>
    <x v="9"/>
  </r>
  <r>
    <x v="205"/>
    <x v="490"/>
    <d v="2016-12-03T09:22:00"/>
    <x v="206"/>
    <d v="1899-12-30T09:22:00"/>
    <x v="0"/>
    <d v="1899-12-30T00:09:00"/>
    <n v="0.15"/>
    <x v="56"/>
    <x v="52"/>
    <n v="2.2000000000000002"/>
    <n v="14.666666666666668"/>
    <x v="9"/>
    <x v="9"/>
  </r>
  <r>
    <x v="205"/>
    <x v="491"/>
    <d v="2016-12-03T18:37:00"/>
    <x v="206"/>
    <d v="1899-12-30T18:37:00"/>
    <x v="1"/>
    <d v="1899-12-30T00:10:00"/>
    <n v="0.16666666666666666"/>
    <x v="87"/>
    <x v="83"/>
    <n v="1.9"/>
    <n v="11.4"/>
    <x v="9"/>
    <x v="9"/>
  </r>
  <r>
    <x v="138"/>
    <x v="291"/>
    <s v="3/13/2016 22:39"/>
    <x v="138"/>
    <d v="1899-12-30T22:39:00"/>
    <x v="0"/>
    <d v="1899-12-30T00:20:00"/>
    <n v="0.33333333333333331"/>
    <x v="129"/>
    <x v="83"/>
    <n v="12.5"/>
    <n v="37.5"/>
    <x v="9"/>
    <x v="9"/>
  </r>
  <r>
    <x v="96"/>
    <x v="492"/>
    <s v="3/14/2016 18:55"/>
    <x v="96"/>
    <d v="1899-12-30T18:55:00"/>
    <x v="0"/>
    <d v="1899-12-30T00:16:00"/>
    <n v="0.26666666666666666"/>
    <x v="87"/>
    <x v="83"/>
    <n v="2.7"/>
    <n v="10.125"/>
    <x v="9"/>
    <x v="9"/>
  </r>
  <r>
    <x v="140"/>
    <x v="253"/>
    <s v="3/16/2016 14:55"/>
    <x v="140"/>
    <d v="1899-12-30T14:55:00"/>
    <x v="0"/>
    <d v="1899-12-30T00:11:00"/>
    <n v="0.18333333333333332"/>
    <x v="130"/>
    <x v="110"/>
    <n v="2"/>
    <n v="10.90909090909091"/>
    <x v="9"/>
    <x v="9"/>
  </r>
  <r>
    <x v="35"/>
    <x v="311"/>
    <s v="3/17/2016 0:44"/>
    <x v="35"/>
    <d v="1899-12-30T00:44:00"/>
    <x v="1"/>
    <d v="1899-12-30T00:11:00"/>
    <n v="0.18333333333333332"/>
    <x v="72"/>
    <x v="83"/>
    <n v="1.7"/>
    <n v="9.2727272727272734"/>
    <x v="9"/>
    <x v="9"/>
  </r>
  <r>
    <x v="35"/>
    <x v="106"/>
    <s v="3/17/2016 19:09"/>
    <x v="35"/>
    <d v="1899-12-30T19:09:00"/>
    <x v="1"/>
    <d v="1899-12-30T00:22:00"/>
    <n v="0.36666666666666664"/>
    <x v="18"/>
    <x v="18"/>
    <n v="4.9000000000000004"/>
    <n v="13.363636363636365"/>
    <x v="9"/>
    <x v="9"/>
  </r>
  <r>
    <x v="35"/>
    <x v="493"/>
    <s v="3/17/2016 21:28"/>
    <x v="35"/>
    <d v="1899-12-30T21:28:00"/>
    <x v="1"/>
    <d v="1899-12-30T00:31:00"/>
    <n v="0.51666666666666672"/>
    <x v="18"/>
    <x v="18"/>
    <n v="12.6"/>
    <n v="24.387096774193544"/>
    <x v="9"/>
    <x v="9"/>
  </r>
  <r>
    <x v="35"/>
    <x v="200"/>
    <s v="3/17/2016 22:04"/>
    <x v="35"/>
    <d v="1899-12-30T22:04:00"/>
    <x v="1"/>
    <d v="1899-12-30T00:16:00"/>
    <n v="0.26666666666666666"/>
    <x v="27"/>
    <x v="23"/>
    <n v="10.4"/>
    <n v="39"/>
    <x v="9"/>
    <x v="9"/>
  </r>
  <r>
    <x v="37"/>
    <x v="494"/>
    <s v="3/19/2016 18:00"/>
    <x v="37"/>
    <d v="1899-12-30T18:00:00"/>
    <x v="0"/>
    <d v="1899-12-30T00:08:00"/>
    <n v="0.13333333333333333"/>
    <x v="57"/>
    <x v="54"/>
    <n v="1.2"/>
    <n v="9"/>
    <x v="9"/>
    <x v="9"/>
  </r>
  <r>
    <x v="38"/>
    <x v="171"/>
    <s v="3/20/2016 17:34"/>
    <x v="38"/>
    <d v="1899-12-30T17:34:00"/>
    <x v="0"/>
    <d v="1899-12-30T00:26:00"/>
    <n v="0.43333333333333335"/>
    <x v="78"/>
    <x v="53"/>
    <n v="10.4"/>
    <n v="24"/>
    <x v="9"/>
    <x v="9"/>
  </r>
  <r>
    <x v="38"/>
    <x v="495"/>
    <s v="3/20/2016 18:40"/>
    <x v="38"/>
    <d v="1899-12-30T18:40:00"/>
    <x v="1"/>
    <d v="1899-12-30T00:06:00"/>
    <n v="0.1"/>
    <x v="27"/>
    <x v="136"/>
    <n v="1.2"/>
    <n v="11.999999999999998"/>
    <x v="9"/>
    <x v="9"/>
  </r>
  <r>
    <x v="141"/>
    <x v="370"/>
    <s v="3/21/2016 10:26"/>
    <x v="141"/>
    <d v="1899-12-30T10:26:00"/>
    <x v="1"/>
    <d v="1899-12-30T00:05:00"/>
    <n v="8.3333333333333329E-2"/>
    <x v="78"/>
    <x v="102"/>
    <n v="1"/>
    <n v="12"/>
    <x v="9"/>
    <x v="9"/>
  </r>
  <r>
    <x v="141"/>
    <x v="347"/>
    <s v="3/21/2016 19:15"/>
    <x v="141"/>
    <d v="1899-12-30T19:15:00"/>
    <x v="0"/>
    <d v="1899-12-30T00:16:00"/>
    <n v="0.26666666666666666"/>
    <x v="78"/>
    <x v="53"/>
    <n v="8.8000000000000007"/>
    <n v="33"/>
    <x v="9"/>
    <x v="9"/>
  </r>
  <r>
    <x v="142"/>
    <x v="496"/>
    <s v="3/22/2016 12:24"/>
    <x v="142"/>
    <d v="1899-12-30T12:24:00"/>
    <x v="1"/>
    <d v="1899-12-30T00:18:00"/>
    <n v="0.3"/>
    <x v="5"/>
    <x v="3"/>
    <n v="8.1"/>
    <n v="27"/>
    <x v="9"/>
    <x v="9"/>
  </r>
  <r>
    <x v="142"/>
    <x v="341"/>
    <s v="3/22/2016 19:25"/>
    <x v="142"/>
    <d v="1899-12-30T19:25:00"/>
    <x v="1"/>
    <d v="1899-12-30T00:13:00"/>
    <n v="0.21666666666666667"/>
    <x v="4"/>
    <x v="6"/>
    <n v="1.4"/>
    <n v="6.4615384615384608"/>
    <x v="9"/>
    <x v="9"/>
  </r>
  <r>
    <x v="206"/>
    <x v="275"/>
    <s v="3/23/2016 14:42"/>
    <x v="207"/>
    <d v="1899-12-30T14:42:00"/>
    <x v="1"/>
    <d v="1899-12-30T00:05:00"/>
    <n v="8.3333333333333329E-2"/>
    <x v="4"/>
    <x v="60"/>
    <n v="1.7"/>
    <n v="20.400000000000002"/>
    <x v="9"/>
    <x v="9"/>
  </r>
  <r>
    <x v="206"/>
    <x v="197"/>
    <s v="3/23/2016 14:59"/>
    <x v="207"/>
    <d v="1899-12-30T14:59:00"/>
    <x v="1"/>
    <d v="1899-12-30T00:06:00"/>
    <n v="0.1"/>
    <x v="53"/>
    <x v="6"/>
    <n v="1.6"/>
    <n v="16"/>
    <x v="9"/>
    <x v="9"/>
  </r>
  <r>
    <x v="207"/>
    <x v="193"/>
    <s v="3/24/2016 19:54"/>
    <x v="208"/>
    <d v="1899-12-30T19:54:00"/>
    <x v="1"/>
    <d v="1899-12-30T00:07:00"/>
    <n v="0.11666666666666667"/>
    <x v="4"/>
    <x v="46"/>
    <n v="2"/>
    <n v="17.142857142857142"/>
    <x v="9"/>
    <x v="9"/>
  </r>
  <r>
    <x v="207"/>
    <x v="476"/>
    <s v="3/24/2016 20:40"/>
    <x v="208"/>
    <d v="1899-12-30T20:40:00"/>
    <x v="0"/>
    <d v="1899-12-30T00:06:00"/>
    <n v="0.1"/>
    <x v="55"/>
    <x v="6"/>
    <n v="2.2000000000000002"/>
    <n v="22"/>
    <x v="9"/>
    <x v="9"/>
  </r>
  <r>
    <x v="208"/>
    <x v="29"/>
    <s v="3/26/2016 14:29"/>
    <x v="177"/>
    <d v="1899-12-30T14:29:00"/>
    <x v="1"/>
    <d v="1899-12-30T00:24:00"/>
    <n v="0.4"/>
    <x v="131"/>
    <x v="137"/>
    <n v="6.7"/>
    <n v="16.75"/>
    <x v="9"/>
    <x v="9"/>
  </r>
  <r>
    <x v="208"/>
    <x v="4"/>
    <s v="3/26/2016 15:49"/>
    <x v="177"/>
    <d v="1899-12-30T15:49:00"/>
    <x v="1"/>
    <d v="1899-12-30T00:30:00"/>
    <n v="0.5"/>
    <x v="32"/>
    <x v="27"/>
    <n v="8.8000000000000007"/>
    <n v="17.600000000000001"/>
    <x v="9"/>
    <x v="9"/>
  </r>
  <r>
    <x v="208"/>
    <x v="473"/>
    <s v="3/26/2016 16:30"/>
    <x v="177"/>
    <d v="1899-12-30T16:30:00"/>
    <x v="1"/>
    <d v="1899-12-30T00:04:00"/>
    <n v="6.6666666666666666E-2"/>
    <x v="58"/>
    <x v="55"/>
    <n v="1.2"/>
    <n v="18"/>
    <x v="9"/>
    <x v="9"/>
  </r>
  <r>
    <x v="40"/>
    <x v="198"/>
    <s v="3/27/2016 21:41"/>
    <x v="40"/>
    <d v="1899-12-30T21:41:00"/>
    <x v="1"/>
    <d v="1899-12-30T00:15:00"/>
    <n v="0.25"/>
    <x v="91"/>
    <x v="27"/>
    <n v="6.9"/>
    <n v="27.6"/>
    <x v="9"/>
    <x v="9"/>
  </r>
  <r>
    <x v="40"/>
    <x v="497"/>
    <s v="3/27/2016 23:18"/>
    <x v="40"/>
    <d v="1899-12-30T23:18:00"/>
    <x v="1"/>
    <d v="1899-12-30T00:14:00"/>
    <n v="0.23333333333333334"/>
    <x v="91"/>
    <x v="88"/>
    <n v="7.3"/>
    <n v="31.285714285714285"/>
    <x v="9"/>
    <x v="9"/>
  </r>
  <r>
    <x v="209"/>
    <x v="149"/>
    <s v="3/28/2016 12:42"/>
    <x v="209"/>
    <d v="1899-12-30T12:42:00"/>
    <x v="1"/>
    <d v="1899-12-30T00:13:00"/>
    <n v="0.21666666666666667"/>
    <x v="32"/>
    <x v="27"/>
    <n v="3.6"/>
    <n v="16.615384615384617"/>
    <x v="9"/>
    <x v="9"/>
  </r>
  <r>
    <x v="209"/>
    <x v="498"/>
    <s v="3/28/2016 20:23"/>
    <x v="209"/>
    <d v="1899-12-30T20:23:00"/>
    <x v="1"/>
    <d v="1899-12-30T00:53:00"/>
    <n v="0.8833333333333333"/>
    <x v="131"/>
    <x v="138"/>
    <n v="27.2"/>
    <n v="30.79245283018868"/>
    <x v="9"/>
    <x v="9"/>
  </r>
  <r>
    <x v="209"/>
    <x v="499"/>
    <s v="3/28/2016 23:26"/>
    <x v="209"/>
    <d v="1899-12-30T23:26:00"/>
    <x v="1"/>
    <d v="1899-12-30T00:31:00"/>
    <n v="0.51666666666666672"/>
    <x v="91"/>
    <x v="88"/>
    <n v="25.7"/>
    <n v="49.741935483870961"/>
    <x v="9"/>
    <x v="9"/>
  </r>
  <r>
    <x v="210"/>
    <x v="42"/>
    <s v="3/29/2016 16:11"/>
    <x v="210"/>
    <d v="1899-12-30T16:11:00"/>
    <x v="1"/>
    <d v="1899-12-30T00:44:00"/>
    <n v="0.73333333333333328"/>
    <x v="32"/>
    <x v="27"/>
    <n v="13.6"/>
    <n v="18.545454545454547"/>
    <x v="9"/>
    <x v="9"/>
  </r>
  <r>
    <x v="210"/>
    <x v="277"/>
    <s v="3/29/2016 18:39"/>
    <x v="210"/>
    <d v="1899-12-30T18:39:00"/>
    <x v="1"/>
    <d v="1899-12-30T00:19:00"/>
    <n v="0.31666666666666665"/>
    <x v="132"/>
    <x v="139"/>
    <n v="6.2"/>
    <n v="19.578947368421055"/>
    <x v="9"/>
    <x v="9"/>
  </r>
  <r>
    <x v="210"/>
    <x v="500"/>
    <s v="3/29/2016 20:44"/>
    <x v="210"/>
    <d v="1899-12-30T20:44:00"/>
    <x v="1"/>
    <d v="1899-12-30T00:15:00"/>
    <n v="0.25"/>
    <x v="133"/>
    <x v="140"/>
    <n v="6"/>
    <n v="24"/>
    <x v="9"/>
    <x v="9"/>
  </r>
  <r>
    <x v="210"/>
    <x v="497"/>
    <s v="3/29/2016 23:21"/>
    <x v="210"/>
    <d v="1899-12-30T23:21:00"/>
    <x v="1"/>
    <d v="1899-12-30T00:17:00"/>
    <n v="0.28333333333333333"/>
    <x v="91"/>
    <x v="88"/>
    <n v="13.8"/>
    <n v="48.705882352941181"/>
    <x v="9"/>
    <x v="9"/>
  </r>
  <r>
    <x v="41"/>
    <x v="53"/>
    <d v="2016-01-04T16:57:00"/>
    <x v="41"/>
    <d v="1899-12-30T16:57:00"/>
    <x v="1"/>
    <d v="1899-12-30T00:05:00"/>
    <n v="8.3333333333333329E-2"/>
    <x v="32"/>
    <x v="88"/>
    <n v="0.7"/>
    <n v="8.4"/>
    <x v="9"/>
    <x v="9"/>
  </r>
  <r>
    <x v="42"/>
    <x v="501"/>
    <d v="2016-02-04T09:04:00"/>
    <x v="42"/>
    <d v="1899-12-30T09:04:00"/>
    <x v="1"/>
    <d v="1899-12-30T00:16:00"/>
    <n v="0.26666666666666666"/>
    <x v="32"/>
    <x v="88"/>
    <n v="5.5"/>
    <n v="20.625"/>
    <x v="9"/>
    <x v="9"/>
  </r>
  <r>
    <x v="42"/>
    <x v="502"/>
    <d v="2016-02-04T11:16:00"/>
    <x v="42"/>
    <d v="1899-12-30T11:16:00"/>
    <x v="1"/>
    <d v="1899-12-30T00:15:00"/>
    <n v="0.25"/>
    <x v="32"/>
    <x v="88"/>
    <n v="5.0999999999999996"/>
    <n v="20.399999999999999"/>
    <x v="9"/>
    <x v="9"/>
  </r>
  <r>
    <x v="149"/>
    <x v="503"/>
    <s v="4/30/2016 22:34"/>
    <x v="149"/>
    <d v="1899-12-30T22:34:00"/>
    <x v="0"/>
    <d v="1899-12-30T00:18:00"/>
    <n v="0.3"/>
    <x v="86"/>
    <x v="6"/>
    <n v="6.8"/>
    <n v="22.666666666666668"/>
    <x v="9"/>
    <x v="9"/>
  </r>
  <r>
    <x v="8"/>
    <x v="101"/>
    <d v="2016-01-05T14:31:00"/>
    <x v="8"/>
    <d v="1899-12-30T14:31:00"/>
    <x v="0"/>
    <d v="1899-12-30T00:05:00"/>
    <n v="8.3333333333333329E-2"/>
    <x v="55"/>
    <x v="6"/>
    <n v="2.2999999999999998"/>
    <n v="27.599999999999998"/>
    <x v="9"/>
    <x v="9"/>
  </r>
  <r>
    <x v="106"/>
    <x v="504"/>
    <s v="5/27/2016 20:53"/>
    <x v="106"/>
    <d v="1899-12-30T20:53:00"/>
    <x v="0"/>
    <d v="1899-12-30T00:06:00"/>
    <n v="0.1"/>
    <x v="64"/>
    <x v="141"/>
    <n v="1.2"/>
    <n v="11.999999999999998"/>
    <x v="9"/>
    <x v="9"/>
  </r>
  <r>
    <x v="180"/>
    <x v="191"/>
    <s v="5/31/2016 17:59"/>
    <x v="181"/>
    <d v="1899-12-30T17:59:00"/>
    <x v="0"/>
    <d v="1899-12-30T00:09:00"/>
    <n v="0.15"/>
    <x v="55"/>
    <x v="6"/>
    <n v="1.8"/>
    <n v="12"/>
    <x v="9"/>
    <x v="9"/>
  </r>
  <r>
    <x v="109"/>
    <x v="191"/>
    <d v="2016-11-06T17:56:00"/>
    <x v="109"/>
    <d v="1899-12-30T17:56:00"/>
    <x v="0"/>
    <d v="1899-12-30T00:06:00"/>
    <n v="0.1"/>
    <x v="55"/>
    <x v="6"/>
    <n v="1.7"/>
    <n v="17"/>
    <x v="9"/>
    <x v="9"/>
  </r>
  <r>
    <x v="111"/>
    <x v="444"/>
    <s v="6/14/2016 12:21"/>
    <x v="111"/>
    <d v="1899-12-30T12:21:00"/>
    <x v="0"/>
    <d v="1899-12-30T00:18:00"/>
    <n v="0.3"/>
    <x v="75"/>
    <x v="12"/>
    <n v="9.8000000000000007"/>
    <n v="32.666666666666671"/>
    <x v="9"/>
    <x v="9"/>
  </r>
  <r>
    <x v="11"/>
    <x v="505"/>
    <s v="6/15/2016 17:49"/>
    <x v="11"/>
    <d v="1899-12-30T17:49:00"/>
    <x v="1"/>
    <d v="1899-12-30T00:20:00"/>
    <n v="0.33333333333333331"/>
    <x v="134"/>
    <x v="142"/>
    <n v="5.5"/>
    <n v="16.5"/>
    <x v="9"/>
    <x v="9"/>
  </r>
  <r>
    <x v="211"/>
    <x v="334"/>
    <s v="6/16/2016 14:30"/>
    <x v="211"/>
    <d v="1899-12-30T14:30:00"/>
    <x v="0"/>
    <d v="1899-12-30T00:54:00"/>
    <n v="0.9"/>
    <x v="10"/>
    <x v="96"/>
    <n v="14.5"/>
    <n v="16.111111111111111"/>
    <x v="9"/>
    <x v="9"/>
  </r>
  <r>
    <x v="211"/>
    <x v="20"/>
    <s v="6/16/2016 14:46"/>
    <x v="211"/>
    <d v="1899-12-30T14:46:00"/>
    <x v="0"/>
    <d v="1899-12-30T00:04:00"/>
    <n v="6.6666666666666666E-2"/>
    <x v="117"/>
    <x v="119"/>
    <n v="2.7"/>
    <n v="40.5"/>
    <x v="9"/>
    <x v="9"/>
  </r>
  <r>
    <x v="211"/>
    <x v="250"/>
    <s v="6/16/2016 15:41"/>
    <x v="211"/>
    <d v="1899-12-30T15:41:00"/>
    <x v="0"/>
    <d v="1899-12-30T00:24:00"/>
    <n v="0.4"/>
    <x v="8"/>
    <x v="9"/>
    <n v="15"/>
    <n v="37.5"/>
    <x v="9"/>
    <x v="9"/>
  </r>
  <r>
    <x v="211"/>
    <x v="506"/>
    <s v="6/16/2016 19:56"/>
    <x v="211"/>
    <d v="1899-12-30T19:56:00"/>
    <x v="0"/>
    <d v="1899-12-30T00:17:00"/>
    <n v="0.28333333333333333"/>
    <x v="10"/>
    <x v="119"/>
    <n v="12.9"/>
    <n v="45.529411764705884"/>
    <x v="9"/>
    <x v="9"/>
  </r>
  <r>
    <x v="211"/>
    <x v="507"/>
    <s v="6/16/2016 21:56"/>
    <x v="211"/>
    <d v="1899-12-30T21:56:00"/>
    <x v="0"/>
    <d v="1899-12-30T00:13:00"/>
    <n v="0.21666666666666667"/>
    <x v="8"/>
    <x v="9"/>
    <n v="13.6"/>
    <n v="62.769230769230766"/>
    <x v="9"/>
    <x v="9"/>
  </r>
  <r>
    <x v="212"/>
    <x v="508"/>
    <s v="6/17/2016 16:44"/>
    <x v="212"/>
    <d v="1899-12-30T16:44:00"/>
    <x v="0"/>
    <d v="1899-12-30T00:33:00"/>
    <n v="0.55000000000000004"/>
    <x v="10"/>
    <x v="119"/>
    <n v="12.2"/>
    <n v="22.18181818181818"/>
    <x v="9"/>
    <x v="9"/>
  </r>
  <r>
    <x v="213"/>
    <x v="509"/>
    <s v="6/18/2016 0:51"/>
    <x v="213"/>
    <d v="1899-12-30T00:51:00"/>
    <x v="0"/>
    <d v="1899-12-30T00:22:00"/>
    <n v="0.36666666666666664"/>
    <x v="5"/>
    <x v="3"/>
    <n v="8.6999999999999993"/>
    <n v="23.727272727272727"/>
    <x v="9"/>
    <x v="9"/>
  </r>
  <r>
    <x v="214"/>
    <x v="510"/>
    <s v="6/19/2016 2:50"/>
    <x v="214"/>
    <d v="1899-12-30T02:50:00"/>
    <x v="0"/>
    <d v="1899-12-30T00:11:00"/>
    <n v="0.18333333333333332"/>
    <x v="2"/>
    <x v="2"/>
    <n v="6"/>
    <n v="32.727272727272727"/>
    <x v="9"/>
    <x v="9"/>
  </r>
  <r>
    <x v="214"/>
    <x v="511"/>
    <s v="6/19/2016 6:00"/>
    <x v="214"/>
    <d v="1899-12-30T06:00:00"/>
    <x v="0"/>
    <d v="1899-12-30T00:09:00"/>
    <n v="0.15"/>
    <x v="3"/>
    <x v="3"/>
    <n v="5.9"/>
    <n v="39.333333333333336"/>
    <x v="9"/>
    <x v="9"/>
  </r>
  <r>
    <x v="155"/>
    <x v="295"/>
    <s v="6/21/2016 16:08"/>
    <x v="155"/>
    <d v="1899-12-30T16:08:00"/>
    <x v="0"/>
    <d v="1899-12-30T00:29:00"/>
    <n v="0.48333333333333334"/>
    <x v="2"/>
    <x v="2"/>
    <n v="19.3"/>
    <n v="39.931034482758619"/>
    <x v="9"/>
    <x v="9"/>
  </r>
  <r>
    <x v="112"/>
    <x v="512"/>
    <s v="6/24/2016 21:02"/>
    <x v="112"/>
    <d v="1899-12-30T21:02:00"/>
    <x v="0"/>
    <d v="1899-12-30T00:18:00"/>
    <n v="0.3"/>
    <x v="8"/>
    <x v="9"/>
    <n v="12.8"/>
    <n v="42.666666666666671"/>
    <x v="9"/>
    <x v="9"/>
  </r>
  <r>
    <x v="12"/>
    <x v="67"/>
    <s v="6/25/2016 9:12"/>
    <x v="12"/>
    <d v="1899-12-30T09:12:00"/>
    <x v="0"/>
    <d v="1899-12-30T00:09:00"/>
    <n v="0.15"/>
    <x v="9"/>
    <x v="143"/>
    <n v="4.5"/>
    <n v="30"/>
    <x v="9"/>
    <x v="9"/>
  </r>
  <r>
    <x v="12"/>
    <x v="193"/>
    <s v="6/25/2016 19:58"/>
    <x v="12"/>
    <d v="1899-12-30T19:58:00"/>
    <x v="0"/>
    <d v="1899-12-30T00:11:00"/>
    <n v="0.18333333333333332"/>
    <x v="100"/>
    <x v="144"/>
    <n v="1.6"/>
    <n v="8.7272727272727284"/>
    <x v="9"/>
    <x v="9"/>
  </r>
  <r>
    <x v="12"/>
    <x v="513"/>
    <s v="6/25/2016 23:26"/>
    <x v="12"/>
    <d v="1899-12-30T23:26:00"/>
    <x v="0"/>
    <d v="1899-12-30T00:07:00"/>
    <n v="0.11666666666666667"/>
    <x v="135"/>
    <x v="142"/>
    <n v="1.5"/>
    <n v="12.857142857142858"/>
    <x v="9"/>
    <x v="9"/>
  </r>
  <r>
    <x v="183"/>
    <x v="51"/>
    <s v="6/26/2016 19:12"/>
    <x v="184"/>
    <d v="1899-12-30T19:12:00"/>
    <x v="0"/>
    <d v="1899-12-30T00:27:00"/>
    <n v="0.45"/>
    <x v="116"/>
    <x v="118"/>
    <n v="4.8"/>
    <n v="10.666666666666666"/>
    <x v="9"/>
    <x v="9"/>
  </r>
  <r>
    <x v="183"/>
    <x v="514"/>
    <s v="6/26/2016 19:50"/>
    <x v="184"/>
    <d v="1899-12-30T19:50:00"/>
    <x v="0"/>
    <d v="1899-12-30T00:09:00"/>
    <n v="0.15"/>
    <x v="8"/>
    <x v="119"/>
    <n v="2.2000000000000002"/>
    <n v="14.666666666666668"/>
    <x v="9"/>
    <x v="9"/>
  </r>
  <r>
    <x v="183"/>
    <x v="88"/>
    <s v="6/26/2016 21:42"/>
    <x v="184"/>
    <d v="1899-12-30T21:42:00"/>
    <x v="0"/>
    <d v="1899-12-30T00:28:00"/>
    <n v="0.46666666666666667"/>
    <x v="8"/>
    <x v="9"/>
    <n v="13"/>
    <n v="27.857142857142858"/>
    <x v="9"/>
    <x v="9"/>
  </r>
  <r>
    <x v="215"/>
    <x v="386"/>
    <s v="6/27/2016 8:48"/>
    <x v="215"/>
    <d v="1899-12-30T08:48:00"/>
    <x v="0"/>
    <d v="1899-12-30T01:11:00"/>
    <n v="1.1833333333333333"/>
    <x v="10"/>
    <x v="145"/>
    <n v="46.9"/>
    <n v="39.633802816901408"/>
    <x v="9"/>
    <x v="9"/>
  </r>
  <r>
    <x v="215"/>
    <x v="515"/>
    <s v="6/27/2016 9:00"/>
    <x v="215"/>
    <d v="1899-12-30T09:00:00"/>
    <x v="0"/>
    <d v="1899-12-30T00:09:00"/>
    <n v="0.15"/>
    <x v="136"/>
    <x v="145"/>
    <n v="2.5"/>
    <n v="16.666666666666668"/>
    <x v="9"/>
    <x v="9"/>
  </r>
  <r>
    <x v="215"/>
    <x v="110"/>
    <s v="6/27/2016 9:33"/>
    <x v="215"/>
    <d v="1899-12-30T09:33:00"/>
    <x v="0"/>
    <d v="1899-12-30T00:28:00"/>
    <n v="0.46666666666666667"/>
    <x v="136"/>
    <x v="145"/>
    <n v="8.6"/>
    <n v="18.428571428571427"/>
    <x v="9"/>
    <x v="9"/>
  </r>
  <r>
    <x v="215"/>
    <x v="516"/>
    <s v="6/27/2016 10:08"/>
    <x v="215"/>
    <d v="1899-12-30T10:08:00"/>
    <x v="0"/>
    <d v="1899-12-30T00:25:00"/>
    <n v="0.41666666666666669"/>
    <x v="136"/>
    <x v="145"/>
    <n v="5.2"/>
    <n v="12.48"/>
    <x v="9"/>
    <x v="9"/>
  </r>
  <r>
    <x v="215"/>
    <x v="517"/>
    <s v="6/27/2016 10:39"/>
    <x v="215"/>
    <d v="1899-12-30T10:39:00"/>
    <x v="0"/>
    <d v="1899-12-30T00:17:00"/>
    <n v="0.28333333333333333"/>
    <x v="136"/>
    <x v="145"/>
    <n v="7.6"/>
    <n v="26.823529411764707"/>
    <x v="9"/>
    <x v="9"/>
  </r>
  <r>
    <x v="215"/>
    <x v="518"/>
    <s v="6/27/2016 10:58"/>
    <x v="215"/>
    <d v="1899-12-30T10:58:00"/>
    <x v="0"/>
    <d v="1899-12-30T00:07:00"/>
    <n v="0.11666666666666667"/>
    <x v="136"/>
    <x v="145"/>
    <n v="1.8"/>
    <n v="15.428571428571429"/>
    <x v="9"/>
    <x v="9"/>
  </r>
  <r>
    <x v="215"/>
    <x v="519"/>
    <s v="6/27/2016 11:24"/>
    <x v="215"/>
    <d v="1899-12-30T11:24:00"/>
    <x v="0"/>
    <d v="1899-12-30T00:18:00"/>
    <n v="0.3"/>
    <x v="136"/>
    <x v="146"/>
    <n v="4.7"/>
    <n v="15.666666666666668"/>
    <x v="9"/>
    <x v="9"/>
  </r>
  <r>
    <x v="215"/>
    <x v="314"/>
    <s v="6/27/2016 11:42"/>
    <x v="215"/>
    <d v="1899-12-30T11:42:00"/>
    <x v="0"/>
    <d v="1899-12-30T00:12:00"/>
    <n v="0.2"/>
    <x v="137"/>
    <x v="146"/>
    <n v="2.8"/>
    <n v="13.999999999999998"/>
    <x v="9"/>
    <x v="9"/>
  </r>
  <r>
    <x v="215"/>
    <x v="393"/>
    <s v="6/27/2016 13:02"/>
    <x v="215"/>
    <d v="1899-12-30T13:02:00"/>
    <x v="0"/>
    <d v="1899-12-30T00:40:00"/>
    <n v="0.66666666666666663"/>
    <x v="137"/>
    <x v="96"/>
    <n v="30"/>
    <n v="45"/>
    <x v="9"/>
    <x v="9"/>
  </r>
  <r>
    <x v="215"/>
    <x v="2"/>
    <s v="6/27/2016 14:05"/>
    <x v="215"/>
    <d v="1899-12-30T14:05:00"/>
    <x v="0"/>
    <d v="1899-12-30T00:09:00"/>
    <n v="0.15"/>
    <x v="117"/>
    <x v="119"/>
    <n v="4.4000000000000004"/>
    <n v="29.333333333333336"/>
    <x v="9"/>
    <x v="9"/>
  </r>
  <r>
    <x v="215"/>
    <x v="159"/>
    <s v="6/27/2016 21:19"/>
    <x v="215"/>
    <d v="1899-12-30T21:19:00"/>
    <x v="0"/>
    <d v="1899-12-30T00:10:00"/>
    <n v="0.16666666666666666"/>
    <x v="138"/>
    <x v="45"/>
    <n v="1"/>
    <n v="6"/>
    <x v="9"/>
    <x v="9"/>
  </r>
  <r>
    <x v="184"/>
    <x v="520"/>
    <s v="6/29/2016 9:24"/>
    <x v="185"/>
    <d v="1899-12-30T09:24:00"/>
    <x v="0"/>
    <d v="1899-12-30T00:28:00"/>
    <n v="0.46666666666666667"/>
    <x v="2"/>
    <x v="32"/>
    <n v="7.3"/>
    <n v="15.642857142857142"/>
    <x v="9"/>
    <x v="9"/>
  </r>
  <r>
    <x v="184"/>
    <x v="517"/>
    <s v="6/29/2016 10:38"/>
    <x v="185"/>
    <d v="1899-12-30T10:38:00"/>
    <x v="0"/>
    <d v="1899-12-30T00:16:00"/>
    <n v="0.26666666666666666"/>
    <x v="5"/>
    <x v="3"/>
    <n v="7.4"/>
    <n v="27.75"/>
    <x v="9"/>
    <x v="9"/>
  </r>
  <r>
    <x v="184"/>
    <x v="521"/>
    <s v="6/29/2016 11:51"/>
    <x v="185"/>
    <d v="1899-12-30T11:51:00"/>
    <x v="0"/>
    <d v="1899-12-30T00:02:00"/>
    <n v="3.3333333333333333E-2"/>
    <x v="4"/>
    <x v="46"/>
    <n v="1.6"/>
    <n v="48"/>
    <x v="9"/>
    <x v="9"/>
  </r>
  <r>
    <x v="184"/>
    <x v="522"/>
    <s v="6/29/2016 12:16"/>
    <x v="185"/>
    <d v="1899-12-30T12:16:00"/>
    <x v="0"/>
    <d v="1899-12-30T00:05:00"/>
    <n v="8.3333333333333329E-2"/>
    <x v="55"/>
    <x v="6"/>
    <n v="1.8"/>
    <n v="21.6"/>
    <x v="9"/>
    <x v="9"/>
  </r>
  <r>
    <x v="114"/>
    <x v="298"/>
    <d v="2016-05-07T20:26:00"/>
    <x v="114"/>
    <d v="1899-12-30T20:26:00"/>
    <x v="0"/>
    <d v="1899-12-30T00:20:00"/>
    <n v="0.33333333333333331"/>
    <x v="2"/>
    <x v="31"/>
    <n v="9.9"/>
    <n v="29.700000000000003"/>
    <x v="9"/>
    <x v="9"/>
  </r>
  <r>
    <x v="114"/>
    <x v="523"/>
    <d v="2016-05-07T23:02:00"/>
    <x v="114"/>
    <d v="1899-12-30T23:02:00"/>
    <x v="0"/>
    <d v="1899-12-30T00:21:00"/>
    <n v="0.35"/>
    <x v="24"/>
    <x v="32"/>
    <n v="8.6"/>
    <n v="24.571428571428573"/>
    <x v="9"/>
    <x v="9"/>
  </r>
  <r>
    <x v="54"/>
    <x v="524"/>
    <d v="2016-06-07T13:08:00"/>
    <x v="54"/>
    <d v="1899-12-30T13:08:00"/>
    <x v="0"/>
    <d v="1899-12-30T00:20:00"/>
    <n v="0.33333333333333331"/>
    <x v="24"/>
    <x v="3"/>
    <n v="9.9"/>
    <n v="29.700000000000003"/>
    <x v="9"/>
    <x v="9"/>
  </r>
  <r>
    <x v="216"/>
    <x v="18"/>
    <d v="2016-07-07T10:33:00"/>
    <x v="216"/>
    <d v="1899-12-30T10:33:00"/>
    <x v="0"/>
    <d v="1899-12-30T00:06:00"/>
    <n v="0.1"/>
    <x v="5"/>
    <x v="3"/>
    <n v="8.9"/>
    <n v="89"/>
    <x v="9"/>
    <x v="9"/>
  </r>
  <r>
    <x v="216"/>
    <x v="150"/>
    <d v="2016-07-07T13:35:00"/>
    <x v="216"/>
    <d v="1899-12-30T13:35:00"/>
    <x v="0"/>
    <d v="1899-12-30T00:36:00"/>
    <n v="0.6"/>
    <x v="8"/>
    <x v="9"/>
    <n v="12.8"/>
    <n v="21.333333333333336"/>
    <x v="9"/>
    <x v="9"/>
  </r>
  <r>
    <x v="217"/>
    <x v="525"/>
    <d v="2016-08-07T10:13:00"/>
    <x v="217"/>
    <d v="1899-12-30T10:13:00"/>
    <x v="0"/>
    <d v="1899-12-30T00:23:00"/>
    <n v="0.38333333333333336"/>
    <x v="9"/>
    <x v="147"/>
    <n v="7.7"/>
    <n v="20.086956521739129"/>
    <x v="9"/>
    <x v="9"/>
  </r>
  <r>
    <x v="217"/>
    <x v="518"/>
    <d v="2016-08-07T11:12:00"/>
    <x v="217"/>
    <d v="1899-12-30T11:12:00"/>
    <x v="0"/>
    <d v="1899-12-30T00:21:00"/>
    <n v="0.35"/>
    <x v="139"/>
    <x v="148"/>
    <n v="7"/>
    <n v="20"/>
    <x v="9"/>
    <x v="9"/>
  </r>
  <r>
    <x v="217"/>
    <x v="526"/>
    <d v="2016-08-07T14:11:00"/>
    <x v="217"/>
    <d v="1899-12-30T14:11:00"/>
    <x v="0"/>
    <d v="1899-12-30T00:23:00"/>
    <n v="0.38333333333333336"/>
    <x v="10"/>
    <x v="96"/>
    <n v="12.5"/>
    <n v="32.608695652173914"/>
    <x v="9"/>
    <x v="9"/>
  </r>
  <r>
    <x v="217"/>
    <x v="308"/>
    <d v="2016-08-07T17:30:00"/>
    <x v="217"/>
    <d v="1899-12-30T17:30:00"/>
    <x v="0"/>
    <d v="1899-12-30T00:19:00"/>
    <n v="0.31666666666666665"/>
    <x v="8"/>
    <x v="9"/>
    <n v="13.2"/>
    <n v="41.684210526315788"/>
    <x v="9"/>
    <x v="9"/>
  </r>
  <r>
    <x v="218"/>
    <x v="67"/>
    <d v="2016-09-07T09:46:00"/>
    <x v="218"/>
    <d v="1899-12-30T09:46:00"/>
    <x v="0"/>
    <d v="1899-12-30T00:43:00"/>
    <n v="0.71666666666666667"/>
    <x v="10"/>
    <x v="119"/>
    <n v="13"/>
    <n v="18.13953488372093"/>
    <x v="9"/>
    <x v="9"/>
  </r>
  <r>
    <x v="218"/>
    <x v="527"/>
    <d v="2016-09-07T10:06:00"/>
    <x v="218"/>
    <d v="1899-12-30T10:06:00"/>
    <x v="0"/>
    <d v="1899-12-30T00:14:00"/>
    <n v="0.23333333333333334"/>
    <x v="8"/>
    <x v="96"/>
    <n v="4.9000000000000004"/>
    <n v="21"/>
    <x v="9"/>
    <x v="9"/>
  </r>
  <r>
    <x v="218"/>
    <x v="111"/>
    <d v="2016-09-07T10:33:00"/>
    <x v="218"/>
    <d v="1899-12-30T10:33:00"/>
    <x v="0"/>
    <d v="1899-12-30T00:18:00"/>
    <n v="0.3"/>
    <x v="117"/>
    <x v="9"/>
    <n v="8.5"/>
    <n v="28.333333333333336"/>
    <x v="9"/>
    <x v="9"/>
  </r>
  <r>
    <x v="219"/>
    <x v="528"/>
    <d v="2016-10-07T14:17:00"/>
    <x v="219"/>
    <d v="1899-12-30T14:17:00"/>
    <x v="0"/>
    <d v="1899-12-30T00:07:00"/>
    <n v="0.11666666666666667"/>
    <x v="9"/>
    <x v="149"/>
    <n v="1.3"/>
    <n v="11.142857142857142"/>
    <x v="9"/>
    <x v="9"/>
  </r>
  <r>
    <x v="219"/>
    <x v="481"/>
    <d v="2016-10-07T16:15:00"/>
    <x v="219"/>
    <d v="1899-12-30T16:15:00"/>
    <x v="0"/>
    <d v="1899-12-30T00:11:00"/>
    <n v="0.18333333333333332"/>
    <x v="140"/>
    <x v="148"/>
    <n v="1.8"/>
    <n v="9.8181818181818183"/>
    <x v="9"/>
    <x v="9"/>
  </r>
  <r>
    <x v="219"/>
    <x v="297"/>
    <d v="2016-10-07T18:21:00"/>
    <x v="219"/>
    <d v="1899-12-30T18:21:00"/>
    <x v="0"/>
    <d v="1899-12-30T00:16:00"/>
    <n v="0.26666666666666666"/>
    <x v="10"/>
    <x v="119"/>
    <n v="13.6"/>
    <n v="51"/>
    <x v="9"/>
    <x v="9"/>
  </r>
  <r>
    <x v="219"/>
    <x v="529"/>
    <d v="2016-10-07T20:08:00"/>
    <x v="219"/>
    <d v="1899-12-30T20:08:00"/>
    <x v="0"/>
    <d v="1899-12-30T00:17:00"/>
    <n v="0.28333333333333333"/>
    <x v="8"/>
    <x v="9"/>
    <n v="13.4"/>
    <n v="47.294117647058826"/>
    <x v="9"/>
    <x v="9"/>
  </r>
  <r>
    <x v="220"/>
    <x v="530"/>
    <d v="2016-12-07T16:45:00"/>
    <x v="220"/>
    <d v="1899-12-30T16:45:00"/>
    <x v="0"/>
    <d v="1899-12-30T00:35:00"/>
    <n v="0.58333333333333337"/>
    <x v="10"/>
    <x v="119"/>
    <n v="12.3"/>
    <n v="21.085714285714285"/>
    <x v="9"/>
    <x v="9"/>
  </r>
  <r>
    <x v="220"/>
    <x v="489"/>
    <d v="2016-12-07T19:26:00"/>
    <x v="220"/>
    <d v="1899-12-30T19:26:00"/>
    <x v="1"/>
    <d v="1899-12-30T00:05:00"/>
    <n v="8.3333333333333329E-2"/>
    <x v="8"/>
    <x v="119"/>
    <n v="1.4"/>
    <n v="16.8"/>
    <x v="9"/>
    <x v="9"/>
  </r>
  <r>
    <x v="220"/>
    <x v="531"/>
    <s v="7/13/2016 0:11"/>
    <x v="221"/>
    <d v="1899-12-30T00:11:00"/>
    <x v="1"/>
    <d v="1899-12-30T00:24:00"/>
    <n v="0.4"/>
    <x v="5"/>
    <x v="3"/>
    <n v="8.6999999999999993"/>
    <n v="21.749999999999996"/>
    <x v="9"/>
    <x v="9"/>
  </r>
  <r>
    <x v="221"/>
    <x v="470"/>
    <s v="7/13/2016 13:20"/>
    <x v="221"/>
    <d v="1899-12-30T13:20:00"/>
    <x v="1"/>
    <d v="1899-12-30T00:41:00"/>
    <n v="0.68333333333333335"/>
    <x v="2"/>
    <x v="32"/>
    <n v="23.5"/>
    <n v="34.390243902439025"/>
    <x v="9"/>
    <x v="9"/>
  </r>
  <r>
    <x v="221"/>
    <x v="26"/>
    <s v="7/13/2016 13:39"/>
    <x v="221"/>
    <d v="1899-12-30T13:39:00"/>
    <x v="1"/>
    <d v="1899-12-30T00:14:00"/>
    <n v="0.23333333333333334"/>
    <x v="5"/>
    <x v="32"/>
    <n v="2.2000000000000002"/>
    <n v="9.4285714285714288"/>
    <x v="9"/>
    <x v="9"/>
  </r>
  <r>
    <x v="221"/>
    <x v="279"/>
    <s v="7/13/2016 13:54"/>
    <x v="221"/>
    <d v="1899-12-30T13:54:00"/>
    <x v="1"/>
    <d v="1899-12-30T00:12:00"/>
    <n v="0.2"/>
    <x v="5"/>
    <x v="3"/>
    <n v="4.4000000000000004"/>
    <n v="22"/>
    <x v="9"/>
    <x v="9"/>
  </r>
  <r>
    <x v="115"/>
    <x v="90"/>
    <s v="7/14/2016 15:59"/>
    <x v="115"/>
    <d v="1899-12-30T15:59:00"/>
    <x v="1"/>
    <d v="1899-12-30T00:08:00"/>
    <n v="0.13333333333333333"/>
    <x v="2"/>
    <x v="32"/>
    <n v="3.3"/>
    <n v="24.75"/>
    <x v="9"/>
    <x v="9"/>
  </r>
  <r>
    <x v="115"/>
    <x v="532"/>
    <s v="7/14/2016 20:05"/>
    <x v="115"/>
    <d v="1899-12-30T20:05:00"/>
    <x v="0"/>
    <d v="1899-12-30T03:26:00"/>
    <n v="3.4333333333333331"/>
    <x v="5"/>
    <x v="71"/>
    <n v="195.3"/>
    <n v="56.883495145631073"/>
    <x v="9"/>
    <x v="9"/>
  </r>
  <r>
    <x v="222"/>
    <x v="469"/>
    <s v="7/15/2016 11:53"/>
    <x v="222"/>
    <d v="1899-12-30T11:53:00"/>
    <x v="1"/>
    <d v="1899-12-30T00:21:00"/>
    <n v="0.35"/>
    <x v="13"/>
    <x v="71"/>
    <n v="8.3000000000000007"/>
    <n v="23.714285714285719"/>
    <x v="9"/>
    <x v="9"/>
  </r>
  <r>
    <x v="222"/>
    <x v="60"/>
    <s v="7/15/2016 12:19"/>
    <x v="222"/>
    <d v="1899-12-30T12:19:00"/>
    <x v="1"/>
    <d v="1899-12-30T00:10:00"/>
    <n v="0.16666666666666666"/>
    <x v="13"/>
    <x v="71"/>
    <n v="3.2"/>
    <n v="19.200000000000003"/>
    <x v="9"/>
    <x v="9"/>
  </r>
  <r>
    <x v="222"/>
    <x v="445"/>
    <s v="7/15/2016 13:15"/>
    <x v="222"/>
    <d v="1899-12-30T13:15:00"/>
    <x v="1"/>
    <d v="1899-12-30T00:40:00"/>
    <n v="0.66666666666666663"/>
    <x v="13"/>
    <x v="150"/>
    <n v="22.4"/>
    <n v="33.6"/>
    <x v="9"/>
    <x v="9"/>
  </r>
  <r>
    <x v="222"/>
    <x v="459"/>
    <s v="7/15/2016 15:33"/>
    <x v="222"/>
    <d v="1899-12-30T15:33:00"/>
    <x v="1"/>
    <d v="1899-12-30T00:30:00"/>
    <n v="0.5"/>
    <x v="141"/>
    <x v="71"/>
    <n v="12.2"/>
    <n v="24.4"/>
    <x v="9"/>
    <x v="9"/>
  </r>
  <r>
    <x v="222"/>
    <x v="187"/>
    <s v="7/15/2016 15:52"/>
    <x v="222"/>
    <d v="1899-12-30T15:52:00"/>
    <x v="1"/>
    <d v="1899-12-30T00:12:00"/>
    <n v="0.2"/>
    <x v="13"/>
    <x v="71"/>
    <n v="4.5"/>
    <n v="22.5"/>
    <x v="9"/>
    <x v="9"/>
  </r>
  <r>
    <x v="116"/>
    <x v="207"/>
    <s v="7/16/2016 14:10"/>
    <x v="116"/>
    <d v="1899-12-30T14:10:00"/>
    <x v="1"/>
    <d v="1899-12-30T00:56:00"/>
    <n v="0.93333333333333335"/>
    <x v="13"/>
    <x v="151"/>
    <n v="28.1"/>
    <n v="30.107142857142858"/>
    <x v="9"/>
    <x v="9"/>
  </r>
  <r>
    <x v="116"/>
    <x v="154"/>
    <s v="7/16/2016 14:30"/>
    <x v="116"/>
    <d v="1899-12-30T14:30:00"/>
    <x v="1"/>
    <d v="1899-12-30T00:16:00"/>
    <n v="0.26666666666666666"/>
    <x v="142"/>
    <x v="151"/>
    <n v="3.8"/>
    <n v="14.25"/>
    <x v="9"/>
    <x v="9"/>
  </r>
  <r>
    <x v="116"/>
    <x v="533"/>
    <s v="7/16/2016 16:57"/>
    <x v="116"/>
    <d v="1899-12-30T16:57:00"/>
    <x v="1"/>
    <d v="1899-12-30T01:28:00"/>
    <n v="1.4666666666666666"/>
    <x v="142"/>
    <x v="14"/>
    <n v="41.9"/>
    <n v="28.56818181818182"/>
    <x v="9"/>
    <x v="9"/>
  </r>
  <r>
    <x v="116"/>
    <x v="534"/>
    <s v="7/16/2016 20:35"/>
    <x v="116"/>
    <d v="1899-12-30T20:35:00"/>
    <x v="1"/>
    <d v="1899-12-30T00:53:00"/>
    <n v="0.8833333333333333"/>
    <x v="14"/>
    <x v="71"/>
    <n v="23.8"/>
    <n v="26.943396226415096"/>
    <x v="9"/>
    <x v="9"/>
  </r>
  <r>
    <x v="116"/>
    <x v="186"/>
    <s v="7/16/2016 22:18"/>
    <x v="116"/>
    <d v="1899-12-30T22:18:00"/>
    <x v="1"/>
    <d v="1899-12-30T00:33:00"/>
    <n v="0.55000000000000004"/>
    <x v="13"/>
    <x v="71"/>
    <n v="13"/>
    <n v="23.636363636363633"/>
    <x v="9"/>
    <x v="9"/>
  </r>
  <r>
    <x v="55"/>
    <x v="191"/>
    <s v="7/19/2016 18:08"/>
    <x v="55"/>
    <d v="1899-12-30T18:08:00"/>
    <x v="1"/>
    <d v="1899-12-30T00:18:00"/>
    <n v="0.3"/>
    <x v="60"/>
    <x v="6"/>
    <n v="4.8"/>
    <n v="16"/>
    <x v="9"/>
    <x v="9"/>
  </r>
  <r>
    <x v="223"/>
    <x v="215"/>
    <s v="7/20/2016 17:24"/>
    <x v="223"/>
    <d v="1899-12-30T17:24:00"/>
    <x v="1"/>
    <d v="1899-12-30T00:12:00"/>
    <n v="0.2"/>
    <x v="4"/>
    <x v="51"/>
    <n v="2.8"/>
    <n v="13.999999999999998"/>
    <x v="9"/>
    <x v="9"/>
  </r>
  <r>
    <x v="223"/>
    <x v="191"/>
    <s v="7/20/2016 17:57"/>
    <x v="223"/>
    <d v="1899-12-30T17:57:00"/>
    <x v="1"/>
    <d v="1899-12-30T00:07:00"/>
    <n v="0.11666666666666667"/>
    <x v="42"/>
    <x v="60"/>
    <n v="1.4"/>
    <n v="11.999999999999998"/>
    <x v="9"/>
    <x v="9"/>
  </r>
  <r>
    <x v="223"/>
    <x v="535"/>
    <s v="7/20/2016 18:20"/>
    <x v="223"/>
    <d v="1899-12-30T18:20:00"/>
    <x v="1"/>
    <d v="1899-12-30T00:04:00"/>
    <n v="6.6666666666666666E-2"/>
    <x v="53"/>
    <x v="6"/>
    <n v="1.4"/>
    <n v="21"/>
    <x v="9"/>
    <x v="9"/>
  </r>
  <r>
    <x v="224"/>
    <x v="125"/>
    <s v="7/21/2016 17:23"/>
    <x v="224"/>
    <d v="1899-12-30T17:23:00"/>
    <x v="0"/>
    <d v="1899-12-30T00:06:00"/>
    <n v="0.1"/>
    <x v="4"/>
    <x v="51"/>
    <n v="2.7"/>
    <n v="27"/>
    <x v="9"/>
    <x v="9"/>
  </r>
  <r>
    <x v="224"/>
    <x v="536"/>
    <s v="7/21/2016 17:51"/>
    <x v="224"/>
    <d v="1899-12-30T17:51:00"/>
    <x v="0"/>
    <d v="1899-12-30T00:09:00"/>
    <n v="0.15"/>
    <x v="42"/>
    <x v="5"/>
    <n v="2.2999999999999998"/>
    <n v="15.333333333333332"/>
    <x v="9"/>
    <x v="9"/>
  </r>
  <r>
    <x v="224"/>
    <x v="491"/>
    <s v="7/21/2016 18:42"/>
    <x v="224"/>
    <d v="1899-12-30T18:42:00"/>
    <x v="0"/>
    <d v="1899-12-30T00:15:00"/>
    <n v="0.25"/>
    <x v="2"/>
    <x v="32"/>
    <n v="3.7"/>
    <n v="14.8"/>
    <x v="9"/>
    <x v="9"/>
  </r>
  <r>
    <x v="224"/>
    <x v="498"/>
    <s v="7/21/2016 19:39"/>
    <x v="224"/>
    <d v="1899-12-30T19:39:00"/>
    <x v="0"/>
    <d v="1899-12-30T00:09:00"/>
    <n v="0.15"/>
    <x v="5"/>
    <x v="3"/>
    <n v="2.9"/>
    <n v="19.333333333333332"/>
    <x v="9"/>
    <x v="9"/>
  </r>
  <r>
    <x v="156"/>
    <x v="537"/>
    <s v="7/22/2016 10:53"/>
    <x v="156"/>
    <d v="1899-12-30T10:53:00"/>
    <x v="0"/>
    <d v="1899-12-30T00:11:00"/>
    <n v="0.18333333333333332"/>
    <x v="2"/>
    <x v="32"/>
    <n v="3.8"/>
    <n v="20.727272727272727"/>
    <x v="9"/>
    <x v="9"/>
  </r>
  <r>
    <x v="156"/>
    <x v="538"/>
    <s v="7/22/2016 11:25"/>
    <x v="156"/>
    <d v="1899-12-30T11:25:00"/>
    <x v="0"/>
    <d v="1899-12-30T00:14:00"/>
    <n v="0.23333333333333334"/>
    <x v="5"/>
    <x v="3"/>
    <n v="5.0999999999999996"/>
    <n v="21.857142857142854"/>
    <x v="9"/>
    <x v="9"/>
  </r>
  <r>
    <x v="156"/>
    <x v="539"/>
    <s v="7/22/2016 12:00"/>
    <x v="156"/>
    <d v="1899-12-30T12:00:00"/>
    <x v="0"/>
    <d v="1899-12-30T00:23:00"/>
    <n v="0.38333333333333336"/>
    <x v="23"/>
    <x v="121"/>
    <n v="9.1"/>
    <n v="23.739130434782606"/>
    <x v="9"/>
    <x v="9"/>
  </r>
  <r>
    <x v="156"/>
    <x v="540"/>
    <s v="7/22/2016 12:31"/>
    <x v="156"/>
    <d v="1899-12-30T12:31:00"/>
    <x v="0"/>
    <d v="1899-12-30T00:17:00"/>
    <n v="0.28333333333333333"/>
    <x v="2"/>
    <x v="31"/>
    <n v="8"/>
    <n v="28.235294117647058"/>
    <x v="9"/>
    <x v="9"/>
  </r>
  <r>
    <x v="156"/>
    <x v="541"/>
    <s v="7/22/2016 16:22"/>
    <x v="156"/>
    <d v="1899-12-30T16:22:00"/>
    <x v="0"/>
    <d v="1899-12-30T00:33:00"/>
    <n v="0.55000000000000004"/>
    <x v="5"/>
    <x v="3"/>
    <n v="12.2"/>
    <n v="22.18181818181818"/>
    <x v="9"/>
    <x v="9"/>
  </r>
  <r>
    <x v="156"/>
    <x v="220"/>
    <s v="7/22/2016 18:51"/>
    <x v="156"/>
    <d v="1899-12-30T18:51:00"/>
    <x v="0"/>
    <d v="1899-12-30T00:18:00"/>
    <n v="0.3"/>
    <x v="92"/>
    <x v="6"/>
    <n v="8"/>
    <n v="26.666666666666668"/>
    <x v="9"/>
    <x v="9"/>
  </r>
  <r>
    <x v="189"/>
    <x v="315"/>
    <s v="7/23/2016 14:44"/>
    <x v="190"/>
    <d v="1899-12-30T14:44:00"/>
    <x v="0"/>
    <d v="1899-12-30T00:17:00"/>
    <n v="0.28333333333333333"/>
    <x v="2"/>
    <x v="32"/>
    <n v="4"/>
    <n v="14.117647058823529"/>
    <x v="9"/>
    <x v="9"/>
  </r>
  <r>
    <x v="189"/>
    <x v="542"/>
    <s v="7/23/2016 15:12"/>
    <x v="190"/>
    <d v="1899-12-30T15:12:00"/>
    <x v="0"/>
    <d v="1899-12-30T00:24:00"/>
    <n v="0.4"/>
    <x v="5"/>
    <x v="3"/>
    <n v="9.5"/>
    <n v="23.75"/>
    <x v="9"/>
    <x v="9"/>
  </r>
  <r>
    <x v="189"/>
    <x v="543"/>
    <s v="7/23/2016 15:27"/>
    <x v="190"/>
    <d v="1899-12-30T15:27:00"/>
    <x v="0"/>
    <d v="1899-12-30T00:12:00"/>
    <n v="0.2"/>
    <x v="2"/>
    <x v="32"/>
    <n v="3"/>
    <n v="15"/>
    <x v="9"/>
    <x v="9"/>
  </r>
  <r>
    <x v="189"/>
    <x v="544"/>
    <s v="7/23/2016 16:10"/>
    <x v="190"/>
    <d v="1899-12-30T16:10:00"/>
    <x v="0"/>
    <d v="1899-12-30T00:20:00"/>
    <n v="0.33333333333333331"/>
    <x v="5"/>
    <x v="3"/>
    <n v="6.3"/>
    <n v="18.900000000000002"/>
    <x v="9"/>
    <x v="9"/>
  </r>
  <r>
    <x v="225"/>
    <x v="33"/>
    <s v="7/25/2016 10:41"/>
    <x v="225"/>
    <d v="1899-12-30T10:41:00"/>
    <x v="0"/>
    <d v="1899-12-30T00:06:00"/>
    <n v="0.1"/>
    <x v="4"/>
    <x v="113"/>
    <n v="1.5"/>
    <n v="15"/>
    <x v="9"/>
    <x v="9"/>
  </r>
  <r>
    <x v="225"/>
    <x v="545"/>
    <s v="7/25/2016 10:58"/>
    <x v="225"/>
    <d v="1899-12-30T10:58:00"/>
    <x v="0"/>
    <d v="1899-12-30T00:11:00"/>
    <n v="0.18333333333333332"/>
    <x v="2"/>
    <x v="32"/>
    <n v="4.9000000000000004"/>
    <n v="26.72727272727273"/>
    <x v="9"/>
    <x v="9"/>
  </r>
  <r>
    <x v="225"/>
    <x v="140"/>
    <s v="7/25/2016 11:33"/>
    <x v="225"/>
    <d v="1899-12-30T11:33:00"/>
    <x v="0"/>
    <d v="1899-12-30T00:29:00"/>
    <n v="0.48333333333333334"/>
    <x v="5"/>
    <x v="3"/>
    <n v="7.9"/>
    <n v="16.344827586206897"/>
    <x v="9"/>
    <x v="9"/>
  </r>
  <r>
    <x v="225"/>
    <x v="539"/>
    <s v="7/25/2016 11:44"/>
    <x v="225"/>
    <d v="1899-12-30T11:44:00"/>
    <x v="0"/>
    <d v="1899-12-30T00:07:00"/>
    <n v="0.11666666666666667"/>
    <x v="61"/>
    <x v="6"/>
    <n v="1.7"/>
    <n v="14.571428571428571"/>
    <x v="9"/>
    <x v="9"/>
  </r>
  <r>
    <x v="157"/>
    <x v="294"/>
    <s v="7/26/2016 15:49"/>
    <x v="157"/>
    <d v="1899-12-30T15:49:00"/>
    <x v="0"/>
    <d v="1899-12-30T00:06:00"/>
    <n v="0.1"/>
    <x v="4"/>
    <x v="46"/>
    <n v="2.2000000000000002"/>
    <n v="22"/>
    <x v="9"/>
    <x v="9"/>
  </r>
  <r>
    <x v="157"/>
    <x v="184"/>
    <s v="7/26/2016 17:24"/>
    <x v="157"/>
    <d v="1899-12-30T17:24:00"/>
    <x v="0"/>
    <d v="1899-12-30T00:10:00"/>
    <n v="0.16666666666666666"/>
    <x v="55"/>
    <x v="6"/>
    <n v="2.1"/>
    <n v="12.600000000000001"/>
    <x v="9"/>
    <x v="9"/>
  </r>
  <r>
    <x v="226"/>
    <x v="546"/>
    <s v="7/27/2016 19:20"/>
    <x v="226"/>
    <d v="1899-12-30T19:20:00"/>
    <x v="0"/>
    <d v="1899-12-30T00:12:00"/>
    <n v="0.2"/>
    <x v="2"/>
    <x v="32"/>
    <n v="2.8"/>
    <n v="13.999999999999998"/>
    <x v="9"/>
    <x v="9"/>
  </r>
  <r>
    <x v="226"/>
    <x v="319"/>
    <s v="7/27/2016 21:57"/>
    <x v="226"/>
    <d v="1899-12-30T21:57:00"/>
    <x v="0"/>
    <d v="1899-12-30T00:23:00"/>
    <n v="0.38333333333333336"/>
    <x v="5"/>
    <x v="2"/>
    <n v="14.7"/>
    <n v="38.347826086956516"/>
    <x v="9"/>
    <x v="9"/>
  </r>
  <r>
    <x v="226"/>
    <x v="547"/>
    <s v="7/27/2016 22:26"/>
    <x v="226"/>
    <d v="1899-12-30T22:26:00"/>
    <x v="0"/>
    <d v="1899-12-30T00:26:00"/>
    <n v="0.43333333333333335"/>
    <x v="3"/>
    <x v="32"/>
    <n v="14.6"/>
    <n v="33.692307692307693"/>
    <x v="9"/>
    <x v="9"/>
  </r>
  <r>
    <x v="227"/>
    <x v="548"/>
    <s v="7/28/2016 0:09"/>
    <x v="227"/>
    <d v="1899-12-30T00:09:00"/>
    <x v="0"/>
    <d v="1899-12-30T00:05:00"/>
    <n v="8.3333333333333329E-2"/>
    <x v="5"/>
    <x v="3"/>
    <n v="2.2999999999999998"/>
    <n v="27.599999999999998"/>
    <x v="9"/>
    <x v="9"/>
  </r>
  <r>
    <x v="158"/>
    <x v="549"/>
    <s v="7/29/2016 15:47"/>
    <x v="158"/>
    <d v="1899-12-30T15:47:00"/>
    <x v="0"/>
    <d v="1899-12-30T00:02:00"/>
    <n v="3.3333333333333333E-2"/>
    <x v="4"/>
    <x v="46"/>
    <n v="2.2000000000000002"/>
    <n v="66"/>
    <x v="9"/>
    <x v="9"/>
  </r>
  <r>
    <x v="228"/>
    <x v="79"/>
    <s v="7/30/2016 17:27"/>
    <x v="228"/>
    <d v="1899-12-30T17:27:00"/>
    <x v="0"/>
    <d v="1899-12-30T00:25:00"/>
    <n v="0.41666666666666669"/>
    <x v="2"/>
    <x v="31"/>
    <n v="14"/>
    <n v="33.6"/>
    <x v="9"/>
    <x v="9"/>
  </r>
  <r>
    <x v="228"/>
    <x v="550"/>
    <s v="7/30/2016 21:41"/>
    <x v="228"/>
    <d v="1899-12-30T21:41:00"/>
    <x v="0"/>
    <d v="1899-12-30T00:25:00"/>
    <n v="0.41666666666666669"/>
    <x v="24"/>
    <x v="3"/>
    <n v="13.3"/>
    <n v="31.92"/>
    <x v="9"/>
    <x v="9"/>
  </r>
  <r>
    <x v="229"/>
    <x v="349"/>
    <s v="7/31/2016 17:37"/>
    <x v="229"/>
    <d v="1899-12-30T17:37:00"/>
    <x v="0"/>
    <d v="1899-12-30T00:07:00"/>
    <n v="0.11666666666666667"/>
    <x v="55"/>
    <x v="6"/>
    <n v="1.8"/>
    <n v="15.428571428571429"/>
    <x v="9"/>
    <x v="9"/>
  </r>
  <r>
    <x v="230"/>
    <x v="551"/>
    <d v="2016-01-08T13:04:00"/>
    <x v="230"/>
    <d v="1899-12-30T13:04:00"/>
    <x v="0"/>
    <d v="1899-12-30T00:17:00"/>
    <n v="0.28333333333333333"/>
    <x v="4"/>
    <x v="152"/>
    <n v="6.2"/>
    <n v="21.882352941176471"/>
    <x v="9"/>
    <x v="9"/>
  </r>
  <r>
    <x v="230"/>
    <x v="214"/>
    <d v="2016-01-08T13:19:00"/>
    <x v="230"/>
    <d v="1899-12-30T13:19:00"/>
    <x v="0"/>
    <d v="1899-12-30T00:11:00"/>
    <n v="0.18333333333333332"/>
    <x v="143"/>
    <x v="121"/>
    <n v="1.3"/>
    <n v="7.0909090909090917"/>
    <x v="9"/>
    <x v="9"/>
  </r>
  <r>
    <x v="230"/>
    <x v="552"/>
    <d v="2016-01-08T13:46:00"/>
    <x v="230"/>
    <d v="1899-12-30T13:46:00"/>
    <x v="0"/>
    <d v="1899-12-30T00:18:00"/>
    <n v="0.3"/>
    <x v="102"/>
    <x v="46"/>
    <n v="1.9"/>
    <n v="6.333333333333333"/>
    <x v="9"/>
    <x v="9"/>
  </r>
  <r>
    <x v="230"/>
    <x v="553"/>
    <d v="2016-01-08T14:14:00"/>
    <x v="230"/>
    <d v="1899-12-30T14:14:00"/>
    <x v="0"/>
    <d v="1899-12-30T00:22:00"/>
    <n v="0.36666666666666664"/>
    <x v="2"/>
    <x v="47"/>
    <n v="6.9"/>
    <n v="18.81818181818182"/>
    <x v="9"/>
    <x v="9"/>
  </r>
  <r>
    <x v="230"/>
    <x v="187"/>
    <d v="2016-01-08T15:47:00"/>
    <x v="230"/>
    <d v="1899-12-30T15:47:00"/>
    <x v="0"/>
    <d v="1899-12-30T00:07:00"/>
    <n v="0.11666666666666667"/>
    <x v="20"/>
    <x v="3"/>
    <n v="4.5999999999999996"/>
    <n v="39.428571428571423"/>
    <x v="9"/>
    <x v="9"/>
  </r>
  <r>
    <x v="230"/>
    <x v="487"/>
    <d v="2016-01-08T16:25:00"/>
    <x v="230"/>
    <d v="1899-12-30T16:25:00"/>
    <x v="0"/>
    <d v="1899-12-30T00:07:00"/>
    <n v="0.11666666666666667"/>
    <x v="4"/>
    <x v="51"/>
    <n v="2.8"/>
    <n v="23.999999999999996"/>
    <x v="9"/>
    <x v="9"/>
  </r>
  <r>
    <x v="230"/>
    <x v="25"/>
    <d v="2016-01-08T16:59:00"/>
    <x v="230"/>
    <d v="1899-12-30T16:59:00"/>
    <x v="0"/>
    <d v="1899-12-30T00:30:00"/>
    <n v="0.5"/>
    <x v="2"/>
    <x v="32"/>
    <n v="9.1"/>
    <n v="18.2"/>
    <x v="9"/>
    <x v="9"/>
  </r>
  <r>
    <x v="230"/>
    <x v="257"/>
    <d v="2016-01-08T17:55:00"/>
    <x v="230"/>
    <d v="1899-12-30T17:55:00"/>
    <x v="0"/>
    <d v="1899-12-30T00:32:00"/>
    <n v="0.53333333333333333"/>
    <x v="5"/>
    <x v="3"/>
    <n v="8.1"/>
    <n v="15.1875"/>
    <x v="9"/>
    <x v="9"/>
  </r>
  <r>
    <x v="190"/>
    <x v="554"/>
    <d v="2016-02-08T12:15:00"/>
    <x v="191"/>
    <d v="1899-12-30T12:15:00"/>
    <x v="0"/>
    <d v="1899-12-30T00:24:00"/>
    <n v="0.4"/>
    <x v="144"/>
    <x v="153"/>
    <n v="4.9000000000000004"/>
    <n v="12.25"/>
    <x v="9"/>
    <x v="9"/>
  </r>
  <r>
    <x v="190"/>
    <x v="342"/>
    <d v="2016-02-08T19:23:00"/>
    <x v="191"/>
    <d v="1899-12-30T19:23:00"/>
    <x v="0"/>
    <d v="1899-12-30T00:08:00"/>
    <n v="0.13333333333333333"/>
    <x v="145"/>
    <x v="154"/>
    <n v="1"/>
    <n v="7.5"/>
    <x v="9"/>
    <x v="9"/>
  </r>
  <r>
    <x v="190"/>
    <x v="325"/>
    <d v="2016-02-08T21:29:00"/>
    <x v="191"/>
    <d v="1899-12-30T21:29:00"/>
    <x v="0"/>
    <d v="1899-12-30T00:06:00"/>
    <n v="0.1"/>
    <x v="146"/>
    <x v="155"/>
    <n v="1"/>
    <n v="10"/>
    <x v="9"/>
    <x v="9"/>
  </r>
  <r>
    <x v="231"/>
    <x v="555"/>
    <d v="2016-03-08T13:00:00"/>
    <x v="231"/>
    <d v="1899-12-30T13:00:00"/>
    <x v="0"/>
    <d v="1899-12-30T00:14:00"/>
    <n v="0.23333333333333334"/>
    <x v="147"/>
    <x v="156"/>
    <n v="2"/>
    <n v="8.5714285714285712"/>
    <x v="9"/>
    <x v="9"/>
  </r>
  <r>
    <x v="231"/>
    <x v="556"/>
    <d v="2016-03-08T15:03:00"/>
    <x v="231"/>
    <d v="1899-12-30T15:03:00"/>
    <x v="0"/>
    <d v="1899-12-30T00:04:00"/>
    <n v="6.6666666666666666E-2"/>
    <x v="146"/>
    <x v="155"/>
    <n v="1.1000000000000001"/>
    <n v="16.5"/>
    <x v="9"/>
    <x v="9"/>
  </r>
  <r>
    <x v="231"/>
    <x v="557"/>
    <d v="2016-03-08T16:04:00"/>
    <x v="231"/>
    <d v="1899-12-30T16:04:00"/>
    <x v="0"/>
    <d v="1899-12-30T00:04:00"/>
    <n v="6.6666666666666666E-2"/>
    <x v="145"/>
    <x v="102"/>
    <n v="1.5"/>
    <n v="22.5"/>
    <x v="9"/>
    <x v="9"/>
  </r>
  <r>
    <x v="232"/>
    <x v="257"/>
    <d v="2016-05-08T17:30:00"/>
    <x v="232"/>
    <d v="1899-12-30T17:30:00"/>
    <x v="0"/>
    <d v="1899-12-30T00:07:00"/>
    <n v="0.11666666666666667"/>
    <x v="148"/>
    <x v="155"/>
    <n v="1.3"/>
    <n v="11.142857142857142"/>
    <x v="9"/>
    <x v="9"/>
  </r>
  <r>
    <x v="232"/>
    <x v="332"/>
    <d v="2016-05-08T18:21:00"/>
    <x v="232"/>
    <d v="1899-12-30T18:21:00"/>
    <x v="0"/>
    <d v="1899-12-30T00:04:00"/>
    <n v="6.6666666666666666E-2"/>
    <x v="145"/>
    <x v="157"/>
    <n v="1.8"/>
    <n v="27"/>
    <x v="9"/>
    <x v="9"/>
  </r>
  <r>
    <x v="232"/>
    <x v="16"/>
    <d v="2016-05-08T19:27:00"/>
    <x v="232"/>
    <d v="1899-12-30T19:27:00"/>
    <x v="0"/>
    <d v="1899-12-30T00:10:00"/>
    <n v="0.16666666666666666"/>
    <x v="149"/>
    <x v="155"/>
    <n v="1.5"/>
    <n v="9"/>
    <x v="9"/>
    <x v="9"/>
  </r>
  <r>
    <x v="233"/>
    <x v="558"/>
    <d v="2016-06-08T06:58:00"/>
    <x v="233"/>
    <d v="1899-12-30T06:58:00"/>
    <x v="0"/>
    <d v="1899-12-30T00:18:00"/>
    <n v="0.3"/>
    <x v="150"/>
    <x v="158"/>
    <n v="6.6"/>
    <n v="22"/>
    <x v="9"/>
    <x v="9"/>
  </r>
  <r>
    <x v="233"/>
    <x v="31"/>
    <d v="2016-06-08T09:53:00"/>
    <x v="233"/>
    <d v="1899-12-30T09:53:00"/>
    <x v="0"/>
    <d v="1899-12-30T00:22:00"/>
    <n v="0.36666666666666664"/>
    <x v="5"/>
    <x v="3"/>
    <n v="8"/>
    <n v="21.81818181818182"/>
    <x v="9"/>
    <x v="9"/>
  </r>
  <r>
    <x v="56"/>
    <x v="184"/>
    <d v="2016-07-08T17:23:00"/>
    <x v="56"/>
    <d v="1899-12-30T17:23:00"/>
    <x v="0"/>
    <d v="1899-12-30T00:09:00"/>
    <n v="0.15"/>
    <x v="4"/>
    <x v="51"/>
    <n v="2.7"/>
    <n v="18.000000000000004"/>
    <x v="9"/>
    <x v="9"/>
  </r>
  <r>
    <x v="56"/>
    <x v="332"/>
    <d v="2016-07-08T18:23:00"/>
    <x v="56"/>
    <d v="1899-12-30T18:23:00"/>
    <x v="0"/>
    <d v="1899-12-30T00:06:00"/>
    <n v="0.1"/>
    <x v="2"/>
    <x v="32"/>
    <n v="2.5"/>
    <n v="25"/>
    <x v="9"/>
    <x v="9"/>
  </r>
  <r>
    <x v="57"/>
    <x v="559"/>
    <d v="2016-08-08T16:31:00"/>
    <x v="57"/>
    <d v="1899-12-30T16:31:00"/>
    <x v="0"/>
    <d v="1899-12-30T00:14:00"/>
    <n v="0.23333333333333334"/>
    <x v="4"/>
    <x v="159"/>
    <n v="5.2"/>
    <n v="22.285714285714285"/>
    <x v="9"/>
    <x v="9"/>
  </r>
  <r>
    <x v="57"/>
    <x v="75"/>
    <d v="2016-08-08T16:50:00"/>
    <x v="57"/>
    <d v="1899-12-30T16:50:00"/>
    <x v="0"/>
    <d v="1899-12-30T00:13:00"/>
    <n v="0.21666666666666667"/>
    <x v="80"/>
    <x v="51"/>
    <n v="4"/>
    <n v="18.46153846153846"/>
    <x v="9"/>
    <x v="9"/>
  </r>
  <r>
    <x v="57"/>
    <x v="560"/>
    <d v="2016-08-08T22:15:00"/>
    <x v="57"/>
    <d v="1899-12-30T22:15:00"/>
    <x v="0"/>
    <d v="1899-12-30T00:25:00"/>
    <n v="0.41666666666666669"/>
    <x v="2"/>
    <x v="32"/>
    <n v="4.8"/>
    <n v="11.52"/>
    <x v="9"/>
    <x v="9"/>
  </r>
  <r>
    <x v="234"/>
    <x v="447"/>
    <d v="2016-09-08T14:38:00"/>
    <x v="234"/>
    <d v="1899-12-30T14:38:00"/>
    <x v="0"/>
    <d v="1899-12-30T00:18:00"/>
    <n v="0.3"/>
    <x v="4"/>
    <x v="4"/>
    <n v="6.9"/>
    <n v="23.000000000000004"/>
    <x v="9"/>
    <x v="9"/>
  </r>
  <r>
    <x v="234"/>
    <x v="543"/>
    <d v="2016-09-08T15:36:00"/>
    <x v="234"/>
    <d v="1899-12-30T15:36:00"/>
    <x v="0"/>
    <d v="1899-12-30T00:21:00"/>
    <n v="0.35"/>
    <x v="2"/>
    <x v="2"/>
    <n v="14.9"/>
    <n v="42.571428571428577"/>
    <x v="9"/>
    <x v="9"/>
  </r>
  <r>
    <x v="234"/>
    <x v="481"/>
    <d v="2016-09-08T16:37:00"/>
    <x v="234"/>
    <d v="1899-12-30T16:37:00"/>
    <x v="0"/>
    <d v="1899-12-30T00:33:00"/>
    <n v="0.55000000000000004"/>
    <x v="3"/>
    <x v="3"/>
    <n v="17.399999999999999"/>
    <n v="31.63636363636363"/>
    <x v="9"/>
    <x v="9"/>
  </r>
  <r>
    <x v="235"/>
    <x v="209"/>
    <d v="2016-10-08T17:24:00"/>
    <x v="235"/>
    <d v="1899-12-30T17:24:00"/>
    <x v="0"/>
    <d v="1899-12-30T00:28:00"/>
    <n v="0.46666666666666667"/>
    <x v="2"/>
    <x v="31"/>
    <n v="12.9"/>
    <n v="27.642857142857142"/>
    <x v="9"/>
    <x v="9"/>
  </r>
  <r>
    <x v="235"/>
    <x v="561"/>
    <d v="2016-10-08T18:28:00"/>
    <x v="235"/>
    <d v="1899-12-30T18:28:00"/>
    <x v="0"/>
    <d v="1899-12-30T00:35:00"/>
    <n v="0.58333333333333337"/>
    <x v="24"/>
    <x v="47"/>
    <n v="15.3"/>
    <n v="26.228571428571428"/>
    <x v="9"/>
    <x v="9"/>
  </r>
  <r>
    <x v="235"/>
    <x v="284"/>
    <d v="2016-10-08T18:50:00"/>
    <x v="235"/>
    <d v="1899-12-30T18:50:00"/>
    <x v="0"/>
    <d v="1899-12-30T00:01:00"/>
    <n v="1.6666666666666666E-2"/>
    <x v="20"/>
    <x v="47"/>
    <n v="1"/>
    <n v="60"/>
    <x v="9"/>
    <x v="9"/>
  </r>
  <r>
    <x v="235"/>
    <x v="193"/>
    <d v="2016-10-08T20:02:00"/>
    <x v="235"/>
    <d v="1899-12-30T20:02:00"/>
    <x v="0"/>
    <d v="1899-12-30T00:15:00"/>
    <n v="0.25"/>
    <x v="20"/>
    <x v="3"/>
    <n v="6"/>
    <n v="24"/>
    <x v="9"/>
    <x v="9"/>
  </r>
  <r>
    <x v="236"/>
    <x v="232"/>
    <d v="2016-11-08T13:00:00"/>
    <x v="236"/>
    <d v="1899-12-30T13:00:00"/>
    <x v="0"/>
    <d v="1899-12-30T00:07:00"/>
    <n v="0.11666666666666667"/>
    <x v="4"/>
    <x v="49"/>
    <n v="2.2000000000000002"/>
    <n v="18.857142857142858"/>
    <x v="9"/>
    <x v="9"/>
  </r>
  <r>
    <x v="236"/>
    <x v="207"/>
    <d v="2016-11-08T13:28:00"/>
    <x v="236"/>
    <d v="1899-12-30T13:28:00"/>
    <x v="0"/>
    <d v="1899-12-30T00:14:00"/>
    <n v="0.23333333333333334"/>
    <x v="54"/>
    <x v="51"/>
    <n v="4.4000000000000004"/>
    <n v="18.857142857142858"/>
    <x v="9"/>
    <x v="9"/>
  </r>
  <r>
    <x v="236"/>
    <x v="230"/>
    <d v="2016-11-08T13:42:00"/>
    <x v="236"/>
    <d v="1899-12-30T13:42:00"/>
    <x v="0"/>
    <d v="1899-12-30T00:10:00"/>
    <n v="0.16666666666666666"/>
    <x v="42"/>
    <x v="6"/>
    <n v="2.8"/>
    <n v="16.8"/>
    <x v="9"/>
    <x v="9"/>
  </r>
  <r>
    <x v="236"/>
    <x v="562"/>
    <d v="2016-11-08T19:29:00"/>
    <x v="236"/>
    <d v="1899-12-30T19:29:00"/>
    <x v="0"/>
    <d v="1899-12-30T00:52:00"/>
    <n v="0.8666666666666667"/>
    <x v="2"/>
    <x v="160"/>
    <n v="31.7"/>
    <n v="36.576923076923073"/>
    <x v="9"/>
    <x v="9"/>
  </r>
  <r>
    <x v="236"/>
    <x v="563"/>
    <d v="2016-11-08T21:44:00"/>
    <x v="236"/>
    <d v="1899-12-30T21:44:00"/>
    <x v="0"/>
    <d v="1899-12-30T00:45:00"/>
    <n v="0.75"/>
    <x v="151"/>
    <x v="3"/>
    <n v="31.9"/>
    <n v="42.533333333333331"/>
    <x v="9"/>
    <x v="9"/>
  </r>
  <r>
    <x v="237"/>
    <x v="284"/>
    <d v="2016-12-08T18:52:00"/>
    <x v="237"/>
    <d v="1899-12-30T18:52:00"/>
    <x v="0"/>
    <d v="1899-12-30T00:03:00"/>
    <n v="0.05"/>
    <x v="4"/>
    <x v="46"/>
    <n v="1.9"/>
    <n v="37.999999999999993"/>
    <x v="9"/>
    <x v="9"/>
  </r>
  <r>
    <x v="237"/>
    <x v="329"/>
    <d v="2016-12-08T19:05:00"/>
    <x v="237"/>
    <d v="1899-12-30T19:05:00"/>
    <x v="0"/>
    <d v="1899-12-30T00:09:00"/>
    <n v="0.15"/>
    <x v="55"/>
    <x v="6"/>
    <n v="1.8"/>
    <n v="12"/>
    <x v="9"/>
    <x v="9"/>
  </r>
  <r>
    <x v="238"/>
    <x v="110"/>
    <s v="8/15/2016 9:52"/>
    <x v="238"/>
    <d v="1899-12-30T09:52:00"/>
    <x v="0"/>
    <d v="1899-12-30T00:47:00"/>
    <n v="0.78333333333333333"/>
    <x v="109"/>
    <x v="0"/>
    <n v="15.6"/>
    <n v="19.914893617021278"/>
    <x v="9"/>
    <x v="9"/>
  </r>
  <r>
    <x v="238"/>
    <x v="564"/>
    <s v="8/15/2016 15:47"/>
    <x v="238"/>
    <d v="1899-12-30T15:47:00"/>
    <x v="0"/>
    <d v="1899-12-30T00:27:00"/>
    <n v="0.45"/>
    <x v="0"/>
    <x v="0"/>
    <n v="14.1"/>
    <n v="31.333333333333332"/>
    <x v="9"/>
    <x v="9"/>
  </r>
  <r>
    <x v="238"/>
    <x v="53"/>
    <s v="8/15/2016 17:30"/>
    <x v="238"/>
    <d v="1899-12-30T17:30:00"/>
    <x v="0"/>
    <d v="1899-12-30T00:38:00"/>
    <n v="0.6333333333333333"/>
    <x v="0"/>
    <x v="0"/>
    <n v="15.7"/>
    <n v="24.789473684210527"/>
    <x v="9"/>
    <x v="9"/>
  </r>
  <r>
    <x v="239"/>
    <x v="565"/>
    <s v="8/16/2016 8:11"/>
    <x v="239"/>
    <d v="1899-12-30T08:11:00"/>
    <x v="0"/>
    <d v="1899-12-30T00:13:00"/>
    <n v="0.21666666666666667"/>
    <x v="0"/>
    <x v="0"/>
    <n v="7.9"/>
    <n v="36.46153846153846"/>
    <x v="9"/>
    <x v="9"/>
  </r>
  <r>
    <x v="239"/>
    <x v="566"/>
    <s v="8/16/2016 8:23"/>
    <x v="239"/>
    <d v="1899-12-30T08:23:00"/>
    <x v="0"/>
    <d v="1899-12-30T00:07:00"/>
    <n v="0.11666666666666667"/>
    <x v="0"/>
    <x v="0"/>
    <n v="2.7"/>
    <n v="23.142857142857142"/>
    <x v="9"/>
    <x v="9"/>
  </r>
  <r>
    <x v="239"/>
    <x v="567"/>
    <s v="8/16/2016 8:53"/>
    <x v="239"/>
    <d v="1899-12-30T08:53:00"/>
    <x v="0"/>
    <d v="1899-12-30T00:07:00"/>
    <n v="0.11666666666666667"/>
    <x v="0"/>
    <x v="0"/>
    <n v="5.5"/>
    <n v="47.142857142857139"/>
    <x v="9"/>
    <x v="9"/>
  </r>
  <r>
    <x v="239"/>
    <x v="568"/>
    <s v="8/16/2016 10:27"/>
    <x v="239"/>
    <d v="1899-12-30T10:27:00"/>
    <x v="0"/>
    <d v="1899-12-30T00:21:00"/>
    <n v="0.35"/>
    <x v="0"/>
    <x v="21"/>
    <n v="5.7"/>
    <n v="16.285714285714288"/>
    <x v="9"/>
    <x v="9"/>
  </r>
  <r>
    <x v="239"/>
    <x v="569"/>
    <s v="8/16/2016 10:38"/>
    <x v="239"/>
    <d v="1899-12-30T10:38:00"/>
    <x v="0"/>
    <d v="1899-12-30T00:07:00"/>
    <n v="0.11666666666666667"/>
    <x v="46"/>
    <x v="21"/>
    <n v="1.2"/>
    <n v="10.285714285714285"/>
    <x v="9"/>
    <x v="9"/>
  </r>
  <r>
    <x v="239"/>
    <x v="24"/>
    <s v="8/16/2016 15:36"/>
    <x v="239"/>
    <d v="1899-12-30T15:36:00"/>
    <x v="0"/>
    <d v="1899-12-30T00:23:00"/>
    <n v="0.38333333333333336"/>
    <x v="0"/>
    <x v="0"/>
    <n v="16.2"/>
    <n v="42.260869565217384"/>
    <x v="9"/>
    <x v="9"/>
  </r>
  <r>
    <x v="240"/>
    <x v="570"/>
    <s v="8/17/2016 10:41"/>
    <x v="240"/>
    <d v="1899-12-30T10:41:00"/>
    <x v="0"/>
    <d v="1899-12-30T00:24:00"/>
    <n v="0.4"/>
    <x v="0"/>
    <x v="0"/>
    <n v="2.6"/>
    <n v="6.5"/>
    <x v="9"/>
    <x v="9"/>
  </r>
  <r>
    <x v="240"/>
    <x v="571"/>
    <s v="8/17/2016 11:20"/>
    <x v="240"/>
    <d v="1899-12-30T11:20:00"/>
    <x v="0"/>
    <d v="1899-12-30T00:23:00"/>
    <n v="0.38333333333333336"/>
    <x v="0"/>
    <x v="0"/>
    <n v="12.1"/>
    <n v="31.565217391304344"/>
    <x v="9"/>
    <x v="9"/>
  </r>
  <r>
    <x v="240"/>
    <x v="572"/>
    <s v="8/17/2016 14:50"/>
    <x v="240"/>
    <d v="1899-12-30T14:50:00"/>
    <x v="0"/>
    <d v="1899-12-30T00:05:00"/>
    <n v="8.3333333333333329E-2"/>
    <x v="0"/>
    <x v="109"/>
    <n v="1.4"/>
    <n v="16.8"/>
    <x v="9"/>
    <x v="9"/>
  </r>
  <r>
    <x v="240"/>
    <x v="573"/>
    <s v="8/17/2016 15:47"/>
    <x v="240"/>
    <d v="1899-12-30T15:47:00"/>
    <x v="0"/>
    <d v="1899-12-30T00:15:00"/>
    <n v="0.25"/>
    <x v="109"/>
    <x v="21"/>
    <n v="6.4"/>
    <n v="25.6"/>
    <x v="9"/>
    <x v="9"/>
  </r>
  <r>
    <x v="240"/>
    <x v="25"/>
    <s v="8/17/2016 16:50"/>
    <x v="240"/>
    <d v="1899-12-30T16:50:00"/>
    <x v="0"/>
    <d v="1899-12-30T00:21:00"/>
    <n v="0.35"/>
    <x v="46"/>
    <x v="0"/>
    <n v="7.3"/>
    <n v="20.857142857142858"/>
    <x v="9"/>
    <x v="9"/>
  </r>
  <r>
    <x v="240"/>
    <x v="574"/>
    <s v="8/17/2016 17:00"/>
    <x v="240"/>
    <d v="1899-12-30T17:00:00"/>
    <x v="0"/>
    <d v="1899-12-30T00:06:00"/>
    <n v="0.1"/>
    <x v="0"/>
    <x v="0"/>
    <n v="5.3"/>
    <n v="52.999999999999993"/>
    <x v="9"/>
    <x v="9"/>
  </r>
  <r>
    <x v="240"/>
    <x v="575"/>
    <s v="8/17/2016 17:34"/>
    <x v="240"/>
    <d v="1899-12-30T17:34:00"/>
    <x v="0"/>
    <d v="1899-12-30T00:29:00"/>
    <n v="0.48333333333333334"/>
    <x v="0"/>
    <x v="0"/>
    <n v="5.5"/>
    <n v="11.379310344827585"/>
    <x v="9"/>
    <x v="9"/>
  </r>
  <r>
    <x v="241"/>
    <x v="576"/>
    <s v="8/19/2016 8:45"/>
    <x v="241"/>
    <d v="1899-12-30T08:45:00"/>
    <x v="0"/>
    <d v="1899-12-30T00:21:00"/>
    <n v="0.35"/>
    <x v="0"/>
    <x v="161"/>
    <n v="7.6"/>
    <n v="21.714285714285715"/>
    <x v="9"/>
    <x v="9"/>
  </r>
  <r>
    <x v="241"/>
    <x v="577"/>
    <s v="8/19/2016 9:07"/>
    <x v="241"/>
    <d v="1899-12-30T09:07:00"/>
    <x v="0"/>
    <d v="1899-12-30T00:13:00"/>
    <n v="0.21666666666666667"/>
    <x v="84"/>
    <x v="21"/>
    <n v="3.3"/>
    <n v="15.23076923076923"/>
    <x v="9"/>
    <x v="9"/>
  </r>
  <r>
    <x v="241"/>
    <x v="578"/>
    <s v="8/19/2016 9:47"/>
    <x v="241"/>
    <d v="1899-12-30T09:47:00"/>
    <x v="0"/>
    <d v="1899-12-30T00:20:00"/>
    <n v="0.33333333333333331"/>
    <x v="46"/>
    <x v="109"/>
    <n v="6.5"/>
    <n v="19.5"/>
    <x v="9"/>
    <x v="9"/>
  </r>
  <r>
    <x v="241"/>
    <x v="571"/>
    <s v="8/19/2016 11:06"/>
    <x v="241"/>
    <d v="1899-12-30T11:06:00"/>
    <x v="0"/>
    <d v="1899-12-30T00:09:00"/>
    <n v="0.15"/>
    <x v="109"/>
    <x v="0"/>
    <n v="2"/>
    <n v="13.333333333333334"/>
    <x v="9"/>
    <x v="9"/>
  </r>
  <r>
    <x v="241"/>
    <x v="579"/>
    <s v="8/19/2016 12:24"/>
    <x v="241"/>
    <d v="1899-12-30T12:24:00"/>
    <x v="0"/>
    <d v="1899-12-30T00:17:00"/>
    <n v="0.28333333333333333"/>
    <x v="0"/>
    <x v="21"/>
    <n v="5.7"/>
    <n v="20.117647058823529"/>
    <x v="9"/>
    <x v="9"/>
  </r>
  <r>
    <x v="241"/>
    <x v="90"/>
    <s v="8/19/2016 16:06"/>
    <x v="241"/>
    <d v="1899-12-30T16:06:00"/>
    <x v="0"/>
    <d v="1899-12-30T00:15:00"/>
    <n v="0.25"/>
    <x v="46"/>
    <x v="21"/>
    <n v="3.2"/>
    <n v="12.8"/>
    <x v="9"/>
    <x v="9"/>
  </r>
  <r>
    <x v="241"/>
    <x v="215"/>
    <s v="8/19/2016 17:52"/>
    <x v="241"/>
    <d v="1899-12-30T17:52:00"/>
    <x v="0"/>
    <d v="1899-12-30T00:40:00"/>
    <n v="0.66666666666666663"/>
    <x v="46"/>
    <x v="0"/>
    <n v="12.5"/>
    <n v="18.75"/>
    <x v="9"/>
    <x v="9"/>
  </r>
  <r>
    <x v="0"/>
    <x v="29"/>
    <s v="8/21/2016 14:34"/>
    <x v="0"/>
    <d v="1899-12-30T14:34:00"/>
    <x v="0"/>
    <d v="1899-12-30T00:29:00"/>
    <n v="0.48333333333333334"/>
    <x v="0"/>
    <x v="0"/>
    <n v="7.7"/>
    <n v="15.931034482758621"/>
    <x v="9"/>
    <x v="9"/>
  </r>
  <r>
    <x v="0"/>
    <x v="580"/>
    <s v="8/21/2016 17:02"/>
    <x v="0"/>
    <d v="1899-12-30T17:02:00"/>
    <x v="0"/>
    <d v="1899-12-30T00:32:00"/>
    <n v="0.53333333333333333"/>
    <x v="0"/>
    <x v="21"/>
    <n v="12.2"/>
    <n v="22.875"/>
    <x v="9"/>
    <x v="9"/>
  </r>
  <r>
    <x v="0"/>
    <x v="581"/>
    <s v="8/21/2016 18:17"/>
    <x v="0"/>
    <d v="1899-12-30T18:17:00"/>
    <x v="0"/>
    <d v="1899-12-30T00:07:00"/>
    <n v="0.11666666666666667"/>
    <x v="46"/>
    <x v="21"/>
    <n v="1.4"/>
    <n v="11.999999999999998"/>
    <x v="9"/>
    <x v="9"/>
  </r>
  <r>
    <x v="0"/>
    <x v="582"/>
    <s v="8/21/2016 19:24"/>
    <x v="0"/>
    <d v="1899-12-30T19:24:00"/>
    <x v="0"/>
    <d v="1899-12-30T00:36:00"/>
    <n v="0.6"/>
    <x v="46"/>
    <x v="0"/>
    <n v="20.2"/>
    <n v="33.666666666666664"/>
    <x v="9"/>
    <x v="9"/>
  </r>
  <r>
    <x v="242"/>
    <x v="0"/>
    <s v="8/22/2016 10:44"/>
    <x v="242"/>
    <d v="1899-12-30T10:44:00"/>
    <x v="0"/>
    <d v="1899-12-30T00:44:00"/>
    <n v="0.73333333333333328"/>
    <x v="0"/>
    <x v="21"/>
    <n v="9.8000000000000007"/>
    <n v="13.363636363636365"/>
    <x v="9"/>
    <x v="9"/>
  </r>
  <r>
    <x v="242"/>
    <x v="484"/>
    <s v="8/22/2016 11:23"/>
    <x v="242"/>
    <d v="1899-12-30T11:23:00"/>
    <x v="0"/>
    <d v="1899-12-30T00:16:00"/>
    <n v="0.26666666666666666"/>
    <x v="46"/>
    <x v="0"/>
    <n v="6.3"/>
    <n v="23.625"/>
    <x v="9"/>
    <x v="9"/>
  </r>
  <r>
    <x v="242"/>
    <x v="376"/>
    <s v="8/22/2016 12:49"/>
    <x v="242"/>
    <d v="1899-12-30T12:49:00"/>
    <x v="0"/>
    <d v="1899-12-30T00:13:00"/>
    <n v="0.21666666666666667"/>
    <x v="0"/>
    <x v="21"/>
    <n v="4.9000000000000004"/>
    <n v="22.615384615384617"/>
    <x v="9"/>
    <x v="9"/>
  </r>
  <r>
    <x v="242"/>
    <x v="363"/>
    <s v="8/22/2016 13:11"/>
    <x v="242"/>
    <d v="1899-12-30T13:11:00"/>
    <x v="0"/>
    <d v="1899-12-30T00:09:00"/>
    <n v="0.15"/>
    <x v="46"/>
    <x v="21"/>
    <n v="1.5"/>
    <n v="10"/>
    <x v="9"/>
    <x v="9"/>
  </r>
  <r>
    <x v="242"/>
    <x v="365"/>
    <s v="8/22/2016 14:31"/>
    <x v="242"/>
    <d v="1899-12-30T14:31:00"/>
    <x v="0"/>
    <d v="1899-12-30T00:24:00"/>
    <n v="0.4"/>
    <x v="46"/>
    <x v="0"/>
    <n v="10.9"/>
    <n v="27.25"/>
    <x v="9"/>
    <x v="9"/>
  </r>
  <r>
    <x v="242"/>
    <x v="583"/>
    <s v="8/22/2016 15:49"/>
    <x v="242"/>
    <d v="1899-12-30T15:49:00"/>
    <x v="0"/>
    <d v="1899-12-30T00:35:00"/>
    <n v="0.58333333333333337"/>
    <x v="0"/>
    <x v="0"/>
    <n v="19"/>
    <n v="32.571428571428569"/>
    <x v="9"/>
    <x v="9"/>
  </r>
  <r>
    <x v="242"/>
    <x v="244"/>
    <s v="8/22/2016 17:16"/>
    <x v="242"/>
    <d v="1899-12-30T17:16:00"/>
    <x v="0"/>
    <d v="1899-12-30T01:17:00"/>
    <n v="1.2833333333333334"/>
    <x v="0"/>
    <x v="0"/>
    <n v="19"/>
    <n v="14.805194805194803"/>
    <x v="9"/>
    <x v="9"/>
  </r>
  <r>
    <x v="242"/>
    <x v="584"/>
    <s v="8/22/2016 20:50"/>
    <x v="242"/>
    <d v="1899-12-30T20:50:00"/>
    <x v="0"/>
    <d v="1899-12-30T00:52:00"/>
    <n v="0.8666666666666667"/>
    <x v="0"/>
    <x v="109"/>
    <n v="7.9"/>
    <n v="9.115384615384615"/>
    <x v="9"/>
    <x v="9"/>
  </r>
  <r>
    <x v="242"/>
    <x v="585"/>
    <s v="8/22/2016 21:31"/>
    <x v="242"/>
    <d v="1899-12-30T21:31:00"/>
    <x v="0"/>
    <d v="1899-12-30T00:38:00"/>
    <n v="0.6333333333333333"/>
    <x v="109"/>
    <x v="109"/>
    <n v="4.0999999999999996"/>
    <n v="6.4736842105263159"/>
    <x v="9"/>
    <x v="9"/>
  </r>
  <r>
    <x v="242"/>
    <x v="317"/>
    <s v="8/22/2016 23:00"/>
    <x v="242"/>
    <d v="1899-12-30T23:00:00"/>
    <x v="0"/>
    <d v="1899-12-30T00:29:00"/>
    <n v="0.48333333333333334"/>
    <x v="109"/>
    <x v="0"/>
    <n v="18.7"/>
    <n v="38.689655172413794"/>
    <x v="9"/>
    <x v="9"/>
  </r>
  <r>
    <x v="243"/>
    <x v="586"/>
    <s v="8/23/2016 8:25"/>
    <x v="243"/>
    <d v="1899-12-30T08:25:00"/>
    <x v="0"/>
    <d v="1899-12-30T00:15:00"/>
    <n v="0.25"/>
    <x v="0"/>
    <x v="161"/>
    <n v="8.6999999999999993"/>
    <n v="34.799999999999997"/>
    <x v="9"/>
    <x v="9"/>
  </r>
  <r>
    <x v="243"/>
    <x v="85"/>
    <s v="8/23/2016 10:09"/>
    <x v="243"/>
    <d v="1899-12-30T10:09:00"/>
    <x v="0"/>
    <d v="1899-12-30T00:34:00"/>
    <n v="0.56666666666666665"/>
    <x v="84"/>
    <x v="0"/>
    <n v="7.5"/>
    <n v="13.23529411764706"/>
    <x v="9"/>
    <x v="9"/>
  </r>
  <r>
    <x v="243"/>
    <x v="150"/>
    <s v="8/23/2016 13:15"/>
    <x v="243"/>
    <d v="1899-12-30T13:15:00"/>
    <x v="0"/>
    <d v="1899-12-30T00:16:00"/>
    <n v="0.26666666666666666"/>
    <x v="0"/>
    <x v="161"/>
    <n v="7.7"/>
    <n v="28.875"/>
    <x v="9"/>
    <x v="9"/>
  </r>
  <r>
    <x v="243"/>
    <x v="587"/>
    <s v="8/23/2016 13:30"/>
    <x v="243"/>
    <d v="1899-12-30T13:30:00"/>
    <x v="0"/>
    <d v="1899-12-30T00:11:00"/>
    <n v="0.18333333333333332"/>
    <x v="84"/>
    <x v="21"/>
    <n v="4.4000000000000004"/>
    <n v="24.000000000000004"/>
    <x v="9"/>
    <x v="9"/>
  </r>
  <r>
    <x v="243"/>
    <x v="588"/>
    <s v="8/23/2016 14:04"/>
    <x v="243"/>
    <d v="1899-12-30T14:04:00"/>
    <x v="0"/>
    <d v="1899-12-30T00:15:00"/>
    <n v="0.25"/>
    <x v="46"/>
    <x v="0"/>
    <n v="5"/>
    <n v="20"/>
    <x v="9"/>
    <x v="9"/>
  </r>
  <r>
    <x v="243"/>
    <x v="589"/>
    <s v="8/23/2016 15:12"/>
    <x v="243"/>
    <d v="1899-12-30T15:12:00"/>
    <x v="0"/>
    <d v="1899-12-30T00:05:00"/>
    <n v="8.3333333333333329E-2"/>
    <x v="0"/>
    <x v="0"/>
    <n v="1.9"/>
    <n v="22.8"/>
    <x v="9"/>
    <x v="9"/>
  </r>
  <r>
    <x v="243"/>
    <x v="543"/>
    <s v="8/23/2016 17:16"/>
    <x v="243"/>
    <d v="1899-12-30T17:16:00"/>
    <x v="0"/>
    <d v="1899-12-30T02:01:00"/>
    <n v="2.0166666666666666"/>
    <x v="0"/>
    <x v="0"/>
    <n v="7.9"/>
    <n v="3.9173553719008267"/>
    <x v="9"/>
    <x v="9"/>
  </r>
  <r>
    <x v="243"/>
    <x v="536"/>
    <s v="8/23/2016 18:31"/>
    <x v="243"/>
    <d v="1899-12-30T18:31:00"/>
    <x v="0"/>
    <d v="1899-12-30T00:49:00"/>
    <n v="0.81666666666666665"/>
    <x v="0"/>
    <x v="0"/>
    <n v="17.7"/>
    <n v="21.673469387755102"/>
    <x v="9"/>
    <x v="9"/>
  </r>
  <r>
    <x v="244"/>
    <x v="590"/>
    <s v="8/24/2016 12:56"/>
    <x v="244"/>
    <d v="1899-12-30T12:56:00"/>
    <x v="0"/>
    <d v="1899-12-30T00:51:00"/>
    <n v="0.85"/>
    <x v="0"/>
    <x v="0"/>
    <n v="25.2"/>
    <n v="29.647058823529413"/>
    <x v="9"/>
    <x v="9"/>
  </r>
  <r>
    <x v="244"/>
    <x v="373"/>
    <s v="8/24/2016 15:25"/>
    <x v="244"/>
    <d v="1899-12-30T15:25:00"/>
    <x v="0"/>
    <d v="1899-12-30T02:24:00"/>
    <n v="2.4"/>
    <x v="0"/>
    <x v="0"/>
    <n v="96.2"/>
    <n v="40.083333333333336"/>
    <x v="9"/>
    <x v="9"/>
  </r>
  <r>
    <x v="245"/>
    <x v="250"/>
    <s v="8/25/2016 16:22"/>
    <x v="245"/>
    <d v="1899-12-30T16:22:00"/>
    <x v="0"/>
    <d v="1899-12-30T01:05:00"/>
    <n v="1.0833333333333333"/>
    <x v="0"/>
    <x v="0"/>
    <n v="35"/>
    <n v="32.307692307692307"/>
    <x v="9"/>
    <x v="9"/>
  </r>
  <r>
    <x v="245"/>
    <x v="591"/>
    <s v="8/25/2016 16:56"/>
    <x v="245"/>
    <d v="1899-12-30T16:56:00"/>
    <x v="0"/>
    <d v="1899-12-30T00:20:00"/>
    <n v="0.33333333333333331"/>
    <x v="0"/>
    <x v="0"/>
    <n v="5.5"/>
    <n v="16.5"/>
    <x v="9"/>
    <x v="9"/>
  </r>
  <r>
    <x v="245"/>
    <x v="68"/>
    <s v="8/25/2016 19:20"/>
    <x v="245"/>
    <d v="1899-12-30T19:20:00"/>
    <x v="0"/>
    <d v="1899-12-30T02:01:00"/>
    <n v="2.0166666666666666"/>
    <x v="0"/>
    <x v="0"/>
    <n v="50.4"/>
    <n v="24.991735537190081"/>
    <x v="9"/>
    <x v="9"/>
  </r>
  <r>
    <x v="245"/>
    <x v="428"/>
    <s v="8/25/2016 19:57"/>
    <x v="245"/>
    <d v="1899-12-30T19:57:00"/>
    <x v="0"/>
    <d v="1899-12-30T00:32:00"/>
    <n v="0.53333333333333333"/>
    <x v="0"/>
    <x v="42"/>
    <n v="9.1999999999999993"/>
    <n v="17.25"/>
    <x v="9"/>
    <x v="9"/>
  </r>
  <r>
    <x v="245"/>
    <x v="592"/>
    <s v="8/25/2016 23:16"/>
    <x v="245"/>
    <d v="1899-12-30T23:16:00"/>
    <x v="0"/>
    <d v="1899-12-30T00:18:00"/>
    <n v="0.3"/>
    <x v="47"/>
    <x v="0"/>
    <n v="7.3"/>
    <n v="24.333333333333332"/>
    <x v="9"/>
    <x v="9"/>
  </r>
  <r>
    <x v="246"/>
    <x v="421"/>
    <s v="8/26/2016 9:20"/>
    <x v="246"/>
    <d v="1899-12-30T09:20:00"/>
    <x v="0"/>
    <d v="1899-12-30T00:14:00"/>
    <n v="0.23333333333333334"/>
    <x v="0"/>
    <x v="0"/>
    <n v="5"/>
    <n v="21.428571428571427"/>
    <x v="9"/>
    <x v="9"/>
  </r>
  <r>
    <x v="246"/>
    <x v="36"/>
    <s v="8/26/2016 11:26"/>
    <x v="246"/>
    <d v="1899-12-30T11:26:00"/>
    <x v="0"/>
    <d v="1899-12-30T00:12:00"/>
    <n v="0.2"/>
    <x v="0"/>
    <x v="0"/>
    <n v="3.8"/>
    <n v="18.999999999999996"/>
    <x v="9"/>
    <x v="9"/>
  </r>
  <r>
    <x v="246"/>
    <x v="34"/>
    <s v="8/26/2016 12:20"/>
    <x v="246"/>
    <d v="1899-12-30T12:20:00"/>
    <x v="0"/>
    <d v="1899-12-30T00:10:00"/>
    <n v="0.16666666666666666"/>
    <x v="0"/>
    <x v="42"/>
    <n v="3.9"/>
    <n v="23.400000000000002"/>
    <x v="9"/>
    <x v="9"/>
  </r>
  <r>
    <x v="246"/>
    <x v="528"/>
    <s v="8/26/2016 14:33"/>
    <x v="246"/>
    <d v="1899-12-30T14:33:00"/>
    <x v="0"/>
    <d v="1899-12-30T00:23:00"/>
    <n v="0.38333333333333336"/>
    <x v="47"/>
    <x v="42"/>
    <n v="7.4"/>
    <n v="19.304347826086957"/>
    <x v="9"/>
    <x v="9"/>
  </r>
  <r>
    <x v="246"/>
    <x v="593"/>
    <s v="8/26/2016 15:35"/>
    <x v="246"/>
    <d v="1899-12-30T15:35:00"/>
    <x v="0"/>
    <d v="1899-12-30T00:12:00"/>
    <n v="0.2"/>
    <x v="47"/>
    <x v="42"/>
    <n v="1.5"/>
    <n v="7.5"/>
    <x v="9"/>
    <x v="9"/>
  </r>
  <r>
    <x v="246"/>
    <x v="244"/>
    <s v="8/26/2016 16:24"/>
    <x v="246"/>
    <d v="1899-12-30T16:24:00"/>
    <x v="0"/>
    <d v="1899-12-30T00:25:00"/>
    <n v="0.41666666666666669"/>
    <x v="47"/>
    <x v="0"/>
    <n v="7.9"/>
    <n v="18.96"/>
    <x v="9"/>
    <x v="9"/>
  </r>
  <r>
    <x v="246"/>
    <x v="302"/>
    <s v="8/26/2016 17:12"/>
    <x v="246"/>
    <d v="1899-12-30T17:12:00"/>
    <x v="0"/>
    <d v="1899-12-30T00:17:00"/>
    <n v="0.28333333333333333"/>
    <x v="0"/>
    <x v="42"/>
    <n v="2.9"/>
    <n v="10.235294117647058"/>
    <x v="9"/>
    <x v="9"/>
  </r>
  <r>
    <x v="246"/>
    <x v="285"/>
    <s v="8/26/2016 18:56"/>
    <x v="246"/>
    <d v="1899-12-30T18:56:00"/>
    <x v="0"/>
    <d v="1899-12-30T00:14:00"/>
    <n v="0.23333333333333334"/>
    <x v="47"/>
    <x v="42"/>
    <n v="3.4"/>
    <n v="14.571428571428571"/>
    <x v="9"/>
    <x v="9"/>
  </r>
  <r>
    <x v="246"/>
    <x v="594"/>
    <s v="8/26/2016 19:54"/>
    <x v="246"/>
    <d v="1899-12-30T19:54:00"/>
    <x v="0"/>
    <d v="1899-12-30T00:23:00"/>
    <n v="0.38333333333333336"/>
    <x v="47"/>
    <x v="42"/>
    <n v="3.8"/>
    <n v="9.9130434782608692"/>
    <x v="9"/>
    <x v="9"/>
  </r>
  <r>
    <x v="246"/>
    <x v="298"/>
    <s v="8/26/2016 20:16"/>
    <x v="246"/>
    <d v="1899-12-30T20:16:00"/>
    <x v="0"/>
    <d v="1899-12-30T00:10:00"/>
    <n v="0.16666666666666666"/>
    <x v="47"/>
    <x v="0"/>
    <n v="5.9"/>
    <n v="35.400000000000006"/>
    <x v="9"/>
    <x v="9"/>
  </r>
  <r>
    <x v="247"/>
    <x v="392"/>
    <s v="8/27/2016 10:11"/>
    <x v="247"/>
    <d v="1899-12-30T10:11:00"/>
    <x v="0"/>
    <d v="1899-12-30T00:37:00"/>
    <n v="0.6166666666666667"/>
    <x v="0"/>
    <x v="42"/>
    <n v="9.6"/>
    <n v="15.567567567567567"/>
    <x v="9"/>
    <x v="9"/>
  </r>
  <r>
    <x v="247"/>
    <x v="138"/>
    <s v="8/27/2016 12:06"/>
    <x v="247"/>
    <d v="1899-12-30T12:06:00"/>
    <x v="0"/>
    <d v="1899-12-30T00:19:00"/>
    <n v="0.31666666666666665"/>
    <x v="47"/>
    <x v="42"/>
    <n v="7"/>
    <n v="22.105263157894736"/>
    <x v="9"/>
    <x v="9"/>
  </r>
  <r>
    <x v="247"/>
    <x v="328"/>
    <s v="8/27/2016 12:17"/>
    <x v="247"/>
    <d v="1899-12-30T12:17:00"/>
    <x v="0"/>
    <d v="1899-12-30T00:05:00"/>
    <n v="8.3333333333333329E-2"/>
    <x v="47"/>
    <x v="42"/>
    <n v="0.9"/>
    <n v="10.8"/>
    <x v="9"/>
    <x v="9"/>
  </r>
  <r>
    <x v="247"/>
    <x v="49"/>
    <s v="8/27/2016 15:44"/>
    <x v="247"/>
    <d v="1899-12-30T15:44:00"/>
    <x v="0"/>
    <d v="1899-12-30T01:43:00"/>
    <n v="1.7166666666666666"/>
    <x v="47"/>
    <x v="0"/>
    <n v="86.6"/>
    <n v="50.446601941747574"/>
    <x v="9"/>
    <x v="9"/>
  </r>
  <r>
    <x v="247"/>
    <x v="595"/>
    <s v="8/27/2016 19:13"/>
    <x v="247"/>
    <d v="1899-12-30T19:13:00"/>
    <x v="0"/>
    <d v="1899-12-30T02:58:00"/>
    <n v="2.9666666666666668"/>
    <x v="0"/>
    <x v="0"/>
    <n v="156.9"/>
    <n v="52.887640449438202"/>
    <x v="9"/>
    <x v="9"/>
  </r>
  <r>
    <x v="248"/>
    <x v="596"/>
    <s v="8/28/2016 10:18"/>
    <x v="248"/>
    <d v="1899-12-30T10:18:00"/>
    <x v="0"/>
    <d v="1899-12-30T00:21:00"/>
    <n v="0.35"/>
    <x v="0"/>
    <x v="161"/>
    <n v="10.1"/>
    <n v="28.857142857142858"/>
    <x v="9"/>
    <x v="9"/>
  </r>
  <r>
    <x v="248"/>
    <x v="532"/>
    <s v="8/28/2016 16:55"/>
    <x v="248"/>
    <d v="1899-12-30T16:55:00"/>
    <x v="0"/>
    <d v="1899-12-30T00:16:00"/>
    <n v="0.26666666666666666"/>
    <x v="84"/>
    <x v="21"/>
    <n v="6.2"/>
    <n v="23.25"/>
    <x v="9"/>
    <x v="9"/>
  </r>
  <r>
    <x v="248"/>
    <x v="145"/>
    <s v="8/28/2016 17:55"/>
    <x v="248"/>
    <d v="1899-12-30T17:55:00"/>
    <x v="0"/>
    <d v="1899-12-30T00:18:00"/>
    <n v="0.3"/>
    <x v="46"/>
    <x v="21"/>
    <n v="5.3"/>
    <n v="17.666666666666668"/>
    <x v="9"/>
    <x v="9"/>
  </r>
  <r>
    <x v="248"/>
    <x v="597"/>
    <s v="8/28/2016 21:59"/>
    <x v="248"/>
    <d v="1899-12-30T21:59:00"/>
    <x v="0"/>
    <d v="1899-12-30T00:44:00"/>
    <n v="0.73333333333333328"/>
    <x v="46"/>
    <x v="0"/>
    <n v="12.1"/>
    <n v="16.5"/>
    <x v="9"/>
    <x v="9"/>
  </r>
  <r>
    <x v="249"/>
    <x v="598"/>
    <s v="8/29/2016 12:31"/>
    <x v="249"/>
    <d v="1899-12-30T12:31:00"/>
    <x v="0"/>
    <d v="1899-12-30T00:29:00"/>
    <n v="0.48333333333333334"/>
    <x v="0"/>
    <x v="21"/>
    <n v="10.8"/>
    <n v="22.344827586206897"/>
    <x v="9"/>
    <x v="9"/>
  </r>
  <r>
    <x v="249"/>
    <x v="599"/>
    <s v="8/29/2016 13:48"/>
    <x v="249"/>
    <d v="1899-12-30T13:48:00"/>
    <x v="0"/>
    <d v="1899-12-30T00:10:00"/>
    <n v="0.16666666666666666"/>
    <x v="46"/>
    <x v="21"/>
    <n v="4.3"/>
    <n v="25.8"/>
    <x v="9"/>
    <x v="9"/>
  </r>
  <r>
    <x v="249"/>
    <x v="168"/>
    <s v="8/29/2016 14:41"/>
    <x v="249"/>
    <d v="1899-12-30T14:41:00"/>
    <x v="0"/>
    <d v="1899-12-30T00:10:00"/>
    <n v="0.16666666666666666"/>
    <x v="46"/>
    <x v="21"/>
    <n v="2.5"/>
    <n v="15"/>
    <x v="9"/>
    <x v="9"/>
  </r>
  <r>
    <x v="249"/>
    <x v="541"/>
    <s v="8/29/2016 15:59"/>
    <x v="249"/>
    <d v="1899-12-30T15:59:00"/>
    <x v="0"/>
    <d v="1899-12-30T00:10:00"/>
    <n v="0.16666666666666666"/>
    <x v="0"/>
    <x v="21"/>
    <n v="2.8"/>
    <n v="16.8"/>
    <x v="9"/>
    <x v="9"/>
  </r>
  <r>
    <x v="249"/>
    <x v="333"/>
    <s v="8/29/2016 16:21"/>
    <x v="249"/>
    <d v="1899-12-30T16:21:00"/>
    <x v="0"/>
    <d v="1899-12-30T00:15:00"/>
    <n v="0.25"/>
    <x v="46"/>
    <x v="0"/>
    <n v="4"/>
    <n v="16"/>
    <x v="9"/>
    <x v="9"/>
  </r>
  <r>
    <x v="249"/>
    <x v="600"/>
    <s v="8/29/2016 17:41"/>
    <x v="249"/>
    <d v="1899-12-30T17:41:00"/>
    <x v="0"/>
    <d v="1899-12-30T00:17:00"/>
    <n v="0.28333333333333333"/>
    <x v="0"/>
    <x v="21"/>
    <n v="5.5"/>
    <n v="19.411764705882355"/>
    <x v="9"/>
    <x v="9"/>
  </r>
  <r>
    <x v="249"/>
    <x v="491"/>
    <s v="8/29/2016 18:36"/>
    <x v="249"/>
    <d v="1899-12-30T18:36:00"/>
    <x v="0"/>
    <d v="1899-12-30T00:09:00"/>
    <n v="0.15"/>
    <x v="46"/>
    <x v="21"/>
    <n v="2.6"/>
    <n v="17.333333333333336"/>
    <x v="9"/>
    <x v="9"/>
  </r>
  <r>
    <x v="250"/>
    <x v="414"/>
    <s v="8/30/2016 12:05"/>
    <x v="250"/>
    <d v="1899-12-30T12:05:00"/>
    <x v="0"/>
    <d v="1899-12-30T00:12:00"/>
    <n v="0.2"/>
    <x v="0"/>
    <x v="0"/>
    <n v="2.1"/>
    <n v="10.5"/>
    <x v="9"/>
    <x v="9"/>
  </r>
  <r>
    <x v="250"/>
    <x v="555"/>
    <s v="8/30/2016 13:09"/>
    <x v="250"/>
    <d v="1899-12-30T13:09:00"/>
    <x v="0"/>
    <d v="1899-12-30T00:23:00"/>
    <n v="0.38333333333333336"/>
    <x v="0"/>
    <x v="21"/>
    <n v="8.8000000000000007"/>
    <n v="22.956521739130434"/>
    <x v="9"/>
    <x v="9"/>
  </r>
  <r>
    <x v="250"/>
    <x v="26"/>
    <s v="8/30/2016 13:46"/>
    <x v="250"/>
    <d v="1899-12-30T13:46:00"/>
    <x v="0"/>
    <d v="1899-12-30T00:21:00"/>
    <n v="0.35"/>
    <x v="46"/>
    <x v="21"/>
    <n v="4.4000000000000004"/>
    <n v="12.571428571428573"/>
    <x v="9"/>
    <x v="9"/>
  </r>
  <r>
    <x v="250"/>
    <x v="247"/>
    <s v="8/30/2016 14:20"/>
    <x v="250"/>
    <d v="1899-12-30T14:20:00"/>
    <x v="0"/>
    <d v="1899-12-30T00:20:00"/>
    <n v="0.33333333333333331"/>
    <x v="46"/>
    <x v="0"/>
    <n v="5.3"/>
    <n v="15.9"/>
    <x v="9"/>
    <x v="9"/>
  </r>
  <r>
    <x v="250"/>
    <x v="126"/>
    <s v="8/30/2016 18:09"/>
    <x v="250"/>
    <d v="1899-12-30T18:09:00"/>
    <x v="0"/>
    <d v="1899-12-30T00:42:00"/>
    <n v="0.7"/>
    <x v="0"/>
    <x v="0"/>
    <n v="13"/>
    <n v="18.571428571428573"/>
    <x v="9"/>
    <x v="9"/>
  </r>
  <r>
    <x v="251"/>
    <x v="554"/>
    <d v="2016-01-09T12:24:00"/>
    <x v="251"/>
    <d v="1899-12-30T12:24:00"/>
    <x v="0"/>
    <d v="1899-12-30T00:33:00"/>
    <n v="0.55000000000000004"/>
    <x v="0"/>
    <x v="21"/>
    <n v="13"/>
    <n v="23.636363636363633"/>
    <x v="9"/>
    <x v="9"/>
  </r>
  <r>
    <x v="251"/>
    <x v="601"/>
    <d v="2016-01-09T17:36:00"/>
    <x v="251"/>
    <d v="1899-12-30T17:36:00"/>
    <x v="0"/>
    <d v="1899-12-30T00:15:00"/>
    <n v="0.25"/>
    <x v="46"/>
    <x v="0"/>
    <n v="10.6"/>
    <n v="42.4"/>
    <x v="9"/>
    <x v="9"/>
  </r>
  <r>
    <x v="251"/>
    <x v="284"/>
    <d v="2016-01-09T19:08:00"/>
    <x v="251"/>
    <d v="1899-12-30T19:08:00"/>
    <x v="0"/>
    <d v="1899-12-30T00:19:00"/>
    <n v="0.31666666666666665"/>
    <x v="0"/>
    <x v="0"/>
    <n v="2.2000000000000002"/>
    <n v="6.9473684210526327"/>
    <x v="9"/>
    <x v="9"/>
  </r>
  <r>
    <x v="252"/>
    <x v="539"/>
    <d v="2016-02-09T12:24:00"/>
    <x v="252"/>
    <d v="1899-12-30T12:24:00"/>
    <x v="0"/>
    <d v="1899-12-30T00:47:00"/>
    <n v="0.78333333333333333"/>
    <x v="0"/>
    <x v="21"/>
    <n v="9.1999999999999993"/>
    <n v="11.74468085106383"/>
    <x v="9"/>
    <x v="9"/>
  </r>
  <r>
    <x v="252"/>
    <x v="329"/>
    <d v="2016-02-09T19:37:00"/>
    <x v="252"/>
    <d v="1899-12-30T19:37:00"/>
    <x v="0"/>
    <d v="1899-12-30T00:41:00"/>
    <n v="0.68333333333333335"/>
    <x v="0"/>
    <x v="0"/>
    <n v="12.9"/>
    <n v="18.878048780487806"/>
    <x v="9"/>
    <x v="9"/>
  </r>
  <r>
    <x v="253"/>
    <x v="602"/>
    <d v="2016-05-09T10:44:00"/>
    <x v="253"/>
    <d v="1899-12-30T10:44:00"/>
    <x v="0"/>
    <d v="1899-12-30T00:19:00"/>
    <n v="0.31666666666666665"/>
    <x v="0"/>
    <x v="109"/>
    <n v="17.2"/>
    <n v="54.315789473684212"/>
    <x v="9"/>
    <x v="9"/>
  </r>
  <r>
    <x v="254"/>
    <x v="603"/>
    <d v="2016-10-09T10:45:00"/>
    <x v="254"/>
    <d v="1899-12-30T10:45:00"/>
    <x v="0"/>
    <d v="1899-12-30T00:17:00"/>
    <n v="0.28333333333333333"/>
    <x v="0"/>
    <x v="0"/>
    <n v="2.8"/>
    <n v="9.882352941176471"/>
    <x v="9"/>
    <x v="9"/>
  </r>
  <r>
    <x v="255"/>
    <x v="604"/>
    <d v="2016-11-09T09:55:00"/>
    <x v="255"/>
    <d v="1899-12-30T09:55:00"/>
    <x v="0"/>
    <d v="1899-12-30T00:04:00"/>
    <n v="6.6666666666666666E-2"/>
    <x v="0"/>
    <x v="0"/>
    <n v="8.6"/>
    <n v="129"/>
    <x v="9"/>
    <x v="9"/>
  </r>
  <r>
    <x v="255"/>
    <x v="605"/>
    <d v="2016-11-09T21:42:00"/>
    <x v="255"/>
    <d v="1899-12-30T21:42:00"/>
    <x v="0"/>
    <d v="1899-12-30T00:02:00"/>
    <n v="3.3333333333333333E-2"/>
    <x v="0"/>
    <x v="0"/>
    <n v="9.8000000000000007"/>
    <n v="294"/>
    <x v="9"/>
    <x v="9"/>
  </r>
  <r>
    <x v="256"/>
    <x v="606"/>
    <d v="2016-12-09T08:12:00"/>
    <x v="256"/>
    <d v="1899-12-30T08:12:00"/>
    <x v="0"/>
    <d v="1899-12-30T00:05:00"/>
    <n v="8.3333333333333329E-2"/>
    <x v="0"/>
    <x v="0"/>
    <n v="3.6"/>
    <n v="43.2"/>
    <x v="9"/>
    <x v="9"/>
  </r>
  <r>
    <x v="256"/>
    <x v="607"/>
    <d v="2016-12-09T11:24:00"/>
    <x v="256"/>
    <d v="1899-12-30T11:24:00"/>
    <x v="0"/>
    <d v="1899-12-30T00:09:00"/>
    <n v="0.15"/>
    <x v="0"/>
    <x v="0"/>
    <n v="1.7"/>
    <n v="11.333333333333334"/>
    <x v="9"/>
    <x v="9"/>
  </r>
  <r>
    <x v="256"/>
    <x v="205"/>
    <d v="2016-12-09T13:44:00"/>
    <x v="256"/>
    <d v="1899-12-30T13:44:00"/>
    <x v="0"/>
    <d v="1899-12-30T00:40:00"/>
    <n v="0.66666666666666663"/>
    <x v="0"/>
    <x v="0"/>
    <n v="11.5"/>
    <n v="17.25"/>
    <x v="9"/>
    <x v="9"/>
  </r>
  <r>
    <x v="257"/>
    <x v="209"/>
    <s v="9/13/2016 17:02"/>
    <x v="257"/>
    <d v="1899-12-30T17:02:00"/>
    <x v="0"/>
    <d v="1899-12-30T00:06:00"/>
    <n v="0.1"/>
    <x v="0"/>
    <x v="0"/>
    <n v="0.7"/>
    <n v="6.9999999999999991"/>
    <x v="9"/>
    <x v="9"/>
  </r>
  <r>
    <x v="258"/>
    <x v="608"/>
    <s v="9/14/2016 11:59"/>
    <x v="258"/>
    <d v="1899-12-30T11:59:00"/>
    <x v="0"/>
    <d v="1899-12-30T00:04:00"/>
    <n v="6.6666666666666666E-2"/>
    <x v="0"/>
    <x v="0"/>
    <n v="0.7"/>
    <n v="10.5"/>
    <x v="9"/>
    <x v="9"/>
  </r>
  <r>
    <x v="259"/>
    <x v="609"/>
    <s v="9/15/2016 20:38"/>
    <x v="259"/>
    <d v="1899-12-30T20:38:00"/>
    <x v="0"/>
    <d v="1899-12-30T00:05:00"/>
    <n v="8.3333333333333329E-2"/>
    <x v="0"/>
    <x v="0"/>
    <n v="0.9"/>
    <n v="10.8"/>
    <x v="9"/>
    <x v="9"/>
  </r>
  <r>
    <x v="260"/>
    <x v="610"/>
    <s v="9/18/2016 18:11"/>
    <x v="260"/>
    <d v="1899-12-30T18:11:00"/>
    <x v="0"/>
    <d v="1899-12-30T00:04:00"/>
    <n v="6.6666666666666666E-2"/>
    <x v="0"/>
    <x v="0"/>
    <n v="9.4"/>
    <n v="141"/>
    <x v="9"/>
    <x v="9"/>
  </r>
  <r>
    <x v="261"/>
    <x v="611"/>
    <s v="9/19/2016 6:49"/>
    <x v="261"/>
    <d v="1899-12-30T06:49:00"/>
    <x v="0"/>
    <d v="1899-12-30T00:31:00"/>
    <n v="0.51666666666666672"/>
    <x v="109"/>
    <x v="0"/>
    <n v="18.2"/>
    <n v="35.225806451612897"/>
    <x v="9"/>
    <x v="9"/>
  </r>
  <r>
    <x v="261"/>
    <x v="612"/>
    <s v="9/19/2016 14:56"/>
    <x v="261"/>
    <d v="1899-12-30T14:56:00"/>
    <x v="0"/>
    <d v="1899-12-30T00:16:00"/>
    <n v="0.26666666666666666"/>
    <x v="0"/>
    <x v="21"/>
    <n v="10.5"/>
    <n v="39.375"/>
    <x v="9"/>
    <x v="9"/>
  </r>
  <r>
    <x v="261"/>
    <x v="212"/>
    <s v="9/19/2016 16:31"/>
    <x v="261"/>
    <d v="1899-12-30T16:31:00"/>
    <x v="0"/>
    <d v="1899-12-30T00:08:00"/>
    <n v="0.13333333333333333"/>
    <x v="46"/>
    <x v="0"/>
    <n v="5.7"/>
    <n v="42.75"/>
    <x v="9"/>
    <x v="9"/>
  </r>
  <r>
    <x v="261"/>
    <x v="442"/>
    <s v="9/19/2016 18:20"/>
    <x v="261"/>
    <d v="1899-12-30T18:20:00"/>
    <x v="0"/>
    <d v="1899-12-30T00:44:00"/>
    <n v="0.73333333333333328"/>
    <x v="0"/>
    <x v="0"/>
    <n v="18"/>
    <n v="24.545454545454547"/>
    <x v="9"/>
    <x v="9"/>
  </r>
  <r>
    <x v="261"/>
    <x v="613"/>
    <s v="9/19/2016 19:49"/>
    <x v="261"/>
    <d v="1899-12-30T19:49:00"/>
    <x v="0"/>
    <d v="1899-12-30T00:39:00"/>
    <n v="0.65"/>
    <x v="0"/>
    <x v="21"/>
    <n v="18.3"/>
    <n v="28.153846153846153"/>
    <x v="9"/>
    <x v="9"/>
  </r>
  <r>
    <x v="262"/>
    <x v="112"/>
    <s v="9/20/2016 11:48"/>
    <x v="262"/>
    <d v="1899-12-30T11:48:00"/>
    <x v="0"/>
    <d v="1899-12-30T00:19:00"/>
    <n v="0.31666666666666665"/>
    <x v="46"/>
    <x v="0"/>
    <n v="16.5"/>
    <n v="52.10526315789474"/>
    <x v="9"/>
    <x v="9"/>
  </r>
  <r>
    <x v="262"/>
    <x v="504"/>
    <s v="9/20/2016 22:47"/>
    <x v="262"/>
    <d v="1899-12-30T22:47:00"/>
    <x v="0"/>
    <d v="1899-12-30T02:00:00"/>
    <n v="2"/>
    <x v="0"/>
    <x v="109"/>
    <n v="9.6"/>
    <n v="4.8"/>
    <x v="9"/>
    <x v="9"/>
  </r>
  <r>
    <x v="263"/>
    <x v="157"/>
    <s v="9/23/2016 13:40"/>
    <x v="263"/>
    <d v="1899-12-30T13:40:00"/>
    <x v="0"/>
    <d v="1899-12-30T00:25:00"/>
    <n v="0.41666666666666669"/>
    <x v="152"/>
    <x v="162"/>
    <n v="2.9"/>
    <n v="6.9599999999999991"/>
    <x v="9"/>
    <x v="9"/>
  </r>
  <r>
    <x v="264"/>
    <x v="158"/>
    <s v="9/24/2016 15:15"/>
    <x v="264"/>
    <d v="1899-12-30T15:15:00"/>
    <x v="0"/>
    <d v="1899-12-30T00:41:00"/>
    <n v="0.68333333333333335"/>
    <x v="152"/>
    <x v="0"/>
    <n v="8.1999999999999993"/>
    <n v="11.999999999999998"/>
    <x v="9"/>
    <x v="9"/>
  </r>
  <r>
    <x v="264"/>
    <x v="500"/>
    <s v="9/24/2016 20:33"/>
    <x v="264"/>
    <d v="1899-12-30T20:33:00"/>
    <x v="0"/>
    <d v="1899-12-30T00:04:00"/>
    <n v="6.6666666666666666E-2"/>
    <x v="0"/>
    <x v="0"/>
    <n v="2.4"/>
    <n v="36"/>
    <x v="9"/>
    <x v="9"/>
  </r>
  <r>
    <x v="265"/>
    <x v="614"/>
    <s v="9/27/2016 8:35"/>
    <x v="265"/>
    <d v="1899-12-30T08:35:00"/>
    <x v="0"/>
    <d v="1899-12-30T00:02:00"/>
    <n v="3.3333333333333333E-2"/>
    <x v="0"/>
    <x v="0"/>
    <n v="5.8"/>
    <n v="174"/>
    <x v="9"/>
    <x v="9"/>
  </r>
  <r>
    <x v="265"/>
    <x v="422"/>
    <s v="9/27/2016 14:43"/>
    <x v="265"/>
    <d v="1899-12-30T14:43:00"/>
    <x v="0"/>
    <d v="1899-12-30T01:22:00"/>
    <n v="1.3666666666666667"/>
    <x v="47"/>
    <x v="42"/>
    <n v="9.8000000000000007"/>
    <n v="7.1707317073170733"/>
    <x v="9"/>
    <x v="9"/>
  </r>
  <r>
    <x v="265"/>
    <x v="615"/>
    <s v="9/27/2016 20:34"/>
    <x v="265"/>
    <d v="1899-12-30T20:34:00"/>
    <x v="0"/>
    <d v="1899-12-30T01:20:00"/>
    <n v="1.3333333333333333"/>
    <x v="47"/>
    <x v="0"/>
    <n v="7.3"/>
    <n v="5.4750000000000005"/>
    <x v="9"/>
    <x v="9"/>
  </r>
  <r>
    <x v="265"/>
    <x v="47"/>
    <s v="9/28/2016 2:37"/>
    <x v="266"/>
    <d v="1899-12-30T02:37:00"/>
    <x v="0"/>
    <d v="1899-12-30T05:36:00"/>
    <n v="5.6"/>
    <x v="0"/>
    <x v="0"/>
    <n v="195.6"/>
    <n v="34.928571428571431"/>
    <x v="9"/>
    <x v="9"/>
  </r>
  <r>
    <x v="266"/>
    <x v="601"/>
    <s v="9/28/2016 19:36"/>
    <x v="266"/>
    <d v="1899-12-30T19:36:00"/>
    <x v="0"/>
    <d v="1899-12-30T02:15:00"/>
    <n v="2.25"/>
    <x v="46"/>
    <x v="0"/>
    <n v="20.5"/>
    <n v="9.1111111111111107"/>
    <x v="9"/>
    <x v="9"/>
  </r>
  <r>
    <x v="267"/>
    <x v="236"/>
    <s v="9/29/2016 18:47"/>
    <x v="267"/>
    <d v="1899-12-30T18:47:00"/>
    <x v="0"/>
    <d v="1899-12-30T02:34:00"/>
    <n v="2.5666666666666669"/>
    <x v="0"/>
    <x v="21"/>
    <n v="12.6"/>
    <n v="4.9090909090909083"/>
    <x v="9"/>
    <x v="9"/>
  </r>
  <r>
    <x v="268"/>
    <x v="616"/>
    <s v="9/30/2016 20:20"/>
    <x v="268"/>
    <d v="1899-12-30T20:20:00"/>
    <x v="0"/>
    <d v="1899-12-30T02:41:00"/>
    <n v="2.6833333333333331"/>
    <x v="46"/>
    <x v="21"/>
    <n v="37.700000000000003"/>
    <n v="14.049689440993792"/>
    <x v="9"/>
    <x v="9"/>
  </r>
  <r>
    <x v="268"/>
    <x v="563"/>
    <s v="9/30/2016 22:34"/>
    <x v="268"/>
    <d v="1899-12-30T22:34:00"/>
    <x v="0"/>
    <d v="1899-12-30T01:35:00"/>
    <n v="1.5833333333333333"/>
    <x v="46"/>
    <x v="0"/>
    <n v="16.7"/>
    <n v="10.547368421052632"/>
    <x v="9"/>
    <x v="9"/>
  </r>
  <r>
    <x v="269"/>
    <x v="474"/>
    <d v="2016-03-10T17:12:00"/>
    <x v="269"/>
    <d v="1899-12-30T17:12:00"/>
    <x v="0"/>
    <d v="1899-12-30T00:03:00"/>
    <n v="0.05"/>
    <x v="0"/>
    <x v="21"/>
    <n v="10.5"/>
    <n v="210"/>
    <x v="9"/>
    <x v="9"/>
  </r>
  <r>
    <x v="269"/>
    <x v="332"/>
    <d v="2016-03-10T18:34:00"/>
    <x v="269"/>
    <d v="1899-12-30T18:34:00"/>
    <x v="0"/>
    <d v="1899-12-30T00:17:00"/>
    <n v="0.28333333333333333"/>
    <x v="46"/>
    <x v="21"/>
    <n v="2.8"/>
    <n v="9.882352941176471"/>
    <x v="9"/>
    <x v="9"/>
  </r>
  <r>
    <x v="269"/>
    <x v="322"/>
    <d v="2016-03-10T19:01:00"/>
    <x v="269"/>
    <d v="1899-12-30T19:01:00"/>
    <x v="0"/>
    <d v="1899-12-30T00:10:00"/>
    <n v="0.16666666666666666"/>
    <x v="46"/>
    <x v="21"/>
    <n v="1.6"/>
    <n v="9.6000000000000014"/>
    <x v="9"/>
    <x v="9"/>
  </r>
  <r>
    <x v="269"/>
    <x v="216"/>
    <d v="2016-03-10T22:33:00"/>
    <x v="269"/>
    <d v="1899-12-30T22:33:00"/>
    <x v="0"/>
    <d v="1899-12-30T00:29:00"/>
    <n v="0.48333333333333334"/>
    <x v="46"/>
    <x v="0"/>
    <n v="12.7"/>
    <n v="26.275862068965516"/>
    <x v="9"/>
    <x v="9"/>
  </r>
  <r>
    <x v="270"/>
    <x v="525"/>
    <d v="2016-04-10T10:52:00"/>
    <x v="270"/>
    <d v="1899-12-30T10:52:00"/>
    <x v="0"/>
    <d v="1899-12-30T01:02:00"/>
    <n v="1.0333333333333334"/>
    <x v="0"/>
    <x v="0"/>
    <n v="28.6"/>
    <n v="27.677419354838708"/>
    <x v="9"/>
    <x v="9"/>
  </r>
  <r>
    <x v="270"/>
    <x v="23"/>
    <d v="2016-04-10T12:18:00"/>
    <x v="270"/>
    <d v="1899-12-30T12:18:00"/>
    <x v="0"/>
    <d v="1899-12-30T00:01:00"/>
    <n v="1.6666666666666666E-2"/>
    <x v="0"/>
    <x v="0"/>
    <n v="15.1"/>
    <n v="906"/>
    <x v="9"/>
    <x v="9"/>
  </r>
  <r>
    <x v="271"/>
    <x v="617"/>
    <d v="2016-06-10T11:36:00"/>
    <x v="271"/>
    <d v="1899-12-30T11:36:00"/>
    <x v="0"/>
    <d v="1899-12-30T02:47:00"/>
    <n v="2.7833333333333332"/>
    <x v="0"/>
    <x v="109"/>
    <n v="17.899999999999999"/>
    <n v="6.431137724550898"/>
    <x v="9"/>
    <x v="9"/>
  </r>
  <r>
    <x v="271"/>
    <x v="257"/>
    <d v="2016-06-10T17:40:00"/>
    <x v="271"/>
    <d v="1899-12-30T17:40:00"/>
    <x v="0"/>
    <d v="1899-12-30T00:17:00"/>
    <n v="0.28333333333333333"/>
    <x v="109"/>
    <x v="0"/>
    <n v="112.6"/>
    <n v="397.41176470588232"/>
    <x v="9"/>
    <x v="9"/>
  </r>
  <r>
    <x v="271"/>
    <x v="562"/>
    <d v="2016-06-10T18:39:00"/>
    <x v="271"/>
    <d v="1899-12-30T18:39:00"/>
    <x v="0"/>
    <d v="1899-12-30T00:02:00"/>
    <n v="3.3333333333333333E-2"/>
    <x v="0"/>
    <x v="0"/>
    <n v="18.399999999999999"/>
    <n v="552"/>
    <x v="9"/>
    <x v="9"/>
  </r>
  <r>
    <x v="271"/>
    <x v="152"/>
    <d v="2016-06-10T20:26:00"/>
    <x v="271"/>
    <d v="1899-12-30T20:26:00"/>
    <x v="0"/>
    <d v="1899-12-30T00:40:00"/>
    <n v="0.66666666666666663"/>
    <x v="0"/>
    <x v="0"/>
    <n v="13.8"/>
    <n v="20.700000000000003"/>
    <x v="9"/>
    <x v="9"/>
  </r>
  <r>
    <x v="272"/>
    <x v="360"/>
    <d v="2016-07-10T10:59:00"/>
    <x v="272"/>
    <d v="1899-12-30T10:59:00"/>
    <x v="0"/>
    <d v="1899-12-30T00:03:00"/>
    <n v="0.05"/>
    <x v="0"/>
    <x v="42"/>
    <n v="33.200000000000003"/>
    <n v="664"/>
    <x v="9"/>
    <x v="9"/>
  </r>
  <r>
    <x v="272"/>
    <x v="618"/>
    <d v="2016-07-10T11:50:00"/>
    <x v="272"/>
    <d v="1899-12-30T11:50:00"/>
    <x v="0"/>
    <d v="1899-12-30T00:23:00"/>
    <n v="0.38333333333333336"/>
    <x v="47"/>
    <x v="42"/>
    <n v="2.6"/>
    <n v="6.7826086956521738"/>
    <x v="9"/>
    <x v="9"/>
  </r>
  <r>
    <x v="272"/>
    <x v="553"/>
    <d v="2016-07-10T14:08:00"/>
    <x v="272"/>
    <d v="1899-12-30T14:08:00"/>
    <x v="0"/>
    <d v="1899-12-30T00:16:00"/>
    <n v="0.26666666666666666"/>
    <x v="47"/>
    <x v="0"/>
    <n v="5.8"/>
    <n v="21.75"/>
    <x v="9"/>
    <x v="9"/>
  </r>
  <r>
    <x v="272"/>
    <x v="619"/>
    <d v="2016-07-10T15:11:00"/>
    <x v="272"/>
    <d v="1899-12-30T15:11:00"/>
    <x v="0"/>
    <d v="1899-12-30T00:42:00"/>
    <n v="0.7"/>
    <x v="0"/>
    <x v="42"/>
    <n v="8.3000000000000007"/>
    <n v="11.857142857142859"/>
    <x v="9"/>
    <x v="9"/>
  </r>
  <r>
    <x v="272"/>
    <x v="620"/>
    <d v="2016-07-10T16:02:00"/>
    <x v="272"/>
    <d v="1899-12-30T16:02:00"/>
    <x v="0"/>
    <d v="1899-12-30T00:15:00"/>
    <n v="0.25"/>
    <x v="47"/>
    <x v="42"/>
    <n v="2.4"/>
    <n v="9.6"/>
    <x v="9"/>
    <x v="9"/>
  </r>
  <r>
    <x v="272"/>
    <x v="305"/>
    <d v="2016-07-10T18:27:00"/>
    <x v="272"/>
    <d v="1899-12-30T18:27:00"/>
    <x v="0"/>
    <d v="1899-12-30T00:19:00"/>
    <n v="0.31666666666666665"/>
    <x v="47"/>
    <x v="42"/>
    <n v="3.1"/>
    <n v="9.7894736842105274"/>
    <x v="9"/>
    <x v="9"/>
  </r>
  <r>
    <x v="272"/>
    <x v="220"/>
    <d v="2016-07-10T19:01:00"/>
    <x v="272"/>
    <d v="1899-12-30T19:01:00"/>
    <x v="0"/>
    <d v="1899-12-30T00:28:00"/>
    <n v="0.46666666666666667"/>
    <x v="47"/>
    <x v="42"/>
    <n v="6.1"/>
    <n v="13.071428571428571"/>
    <x v="9"/>
    <x v="9"/>
  </r>
  <r>
    <x v="273"/>
    <x v="621"/>
    <d v="2016-08-10T18:18:00"/>
    <x v="273"/>
    <d v="1899-12-30T18:18:00"/>
    <x v="0"/>
    <d v="1899-12-30T00:03:00"/>
    <n v="0.05"/>
    <x v="152"/>
    <x v="0"/>
    <n v="8"/>
    <n v="160"/>
    <x v="9"/>
    <x v="9"/>
  </r>
  <r>
    <x v="274"/>
    <x v="622"/>
    <d v="2016-10-10T17:28:00"/>
    <x v="274"/>
    <d v="1899-12-30T17:28:00"/>
    <x v="0"/>
    <d v="1899-12-30T00:06:00"/>
    <n v="0.1"/>
    <x v="46"/>
    <x v="21"/>
    <n v="1.7"/>
    <n v="17"/>
    <x v="9"/>
    <x v="9"/>
  </r>
  <r>
    <x v="274"/>
    <x v="9"/>
    <d v="2016-10-10T18:13:00"/>
    <x v="274"/>
    <d v="1899-12-30T18:13:00"/>
    <x v="0"/>
    <d v="1899-12-30T00:40:00"/>
    <n v="0.66666666666666663"/>
    <x v="46"/>
    <x v="0"/>
    <n v="9.5"/>
    <n v="14.25"/>
    <x v="9"/>
    <x v="9"/>
  </r>
  <r>
    <x v="275"/>
    <x v="623"/>
    <d v="2016-12-10T19:21:00"/>
    <x v="275"/>
    <d v="1899-12-30T19:21:00"/>
    <x v="0"/>
    <d v="1899-12-30T00:03:00"/>
    <n v="0.05"/>
    <x v="109"/>
    <x v="0"/>
    <n v="18.399999999999999"/>
    <n v="367.99999999999994"/>
    <x v="9"/>
    <x v="9"/>
  </r>
  <r>
    <x v="276"/>
    <x v="471"/>
    <s v="10/13/2016 11:58"/>
    <x v="276"/>
    <d v="1899-12-30T11:58:00"/>
    <x v="0"/>
    <d v="1899-12-30T00:38:00"/>
    <n v="0.6333333333333333"/>
    <x v="0"/>
    <x v="21"/>
    <n v="9.8000000000000007"/>
    <n v="15.473684210526317"/>
    <x v="9"/>
    <x v="9"/>
  </r>
  <r>
    <x v="276"/>
    <x v="396"/>
    <s v="10/13/2016 12:14"/>
    <x v="276"/>
    <d v="1899-12-30T12:14:00"/>
    <x v="0"/>
    <d v="1899-12-30T00:06:00"/>
    <n v="0.1"/>
    <x v="46"/>
    <x v="21"/>
    <n v="1"/>
    <n v="10"/>
    <x v="9"/>
    <x v="9"/>
  </r>
  <r>
    <x v="276"/>
    <x v="326"/>
    <s v="10/13/2016 13:46"/>
    <x v="276"/>
    <d v="1899-12-30T13:46:00"/>
    <x v="0"/>
    <d v="1899-12-30T00:09:00"/>
    <n v="0.15"/>
    <x v="46"/>
    <x v="21"/>
    <n v="2.2999999999999998"/>
    <n v="15.333333333333332"/>
    <x v="9"/>
    <x v="9"/>
  </r>
  <r>
    <x v="276"/>
    <x v="624"/>
    <s v="10/13/2016 16:53"/>
    <x v="276"/>
    <d v="1899-12-30T16:53:00"/>
    <x v="0"/>
    <d v="1899-12-30T00:45:00"/>
    <n v="0.75"/>
    <x v="46"/>
    <x v="0"/>
    <n v="10.9"/>
    <n v="14.533333333333333"/>
    <x v="9"/>
    <x v="9"/>
  </r>
  <r>
    <x v="193"/>
    <x v="625"/>
    <s v="10/14/2016 9:44"/>
    <x v="277"/>
    <d v="1899-12-30T09:44:00"/>
    <x v="0"/>
    <d v="1899-12-30T00:54:00"/>
    <n v="0.9"/>
    <x v="0"/>
    <x v="109"/>
    <n v="12.7"/>
    <n v="14.111111111111111"/>
    <x v="9"/>
    <x v="9"/>
  </r>
  <r>
    <x v="193"/>
    <x v="626"/>
    <s v="10/14/2016 10:52"/>
    <x v="277"/>
    <d v="1899-12-30T10:52:00"/>
    <x v="0"/>
    <d v="1899-12-30T00:36:00"/>
    <n v="0.6"/>
    <x v="109"/>
    <x v="0"/>
    <n v="12.4"/>
    <n v="20.666666666666668"/>
    <x v="9"/>
    <x v="9"/>
  </r>
  <r>
    <x v="193"/>
    <x v="254"/>
    <s v="10/14/2016 16:20"/>
    <x v="277"/>
    <d v="1899-12-30T16:20:00"/>
    <x v="0"/>
    <d v="1899-12-30T00:24:00"/>
    <n v="0.4"/>
    <x v="0"/>
    <x v="0"/>
    <n v="3.8"/>
    <n v="9.4999999999999982"/>
    <x v="9"/>
    <x v="9"/>
  </r>
  <r>
    <x v="277"/>
    <x v="627"/>
    <s v="10/15/2016 22:48"/>
    <x v="194"/>
    <d v="1899-12-30T22:48:00"/>
    <x v="0"/>
    <d v="1899-12-30T00:20:00"/>
    <n v="0.33333333333333331"/>
    <x v="5"/>
    <x v="32"/>
    <n v="6.2"/>
    <n v="18.600000000000001"/>
    <x v="9"/>
    <x v="9"/>
  </r>
  <r>
    <x v="159"/>
    <x v="628"/>
    <s v="10/16/2016 0:14"/>
    <x v="159"/>
    <d v="1899-12-30T00:14:00"/>
    <x v="0"/>
    <d v="1899-12-30T00:13:00"/>
    <n v="0.21666666666666667"/>
    <x v="5"/>
    <x v="3"/>
    <n v="3.1"/>
    <n v="14.307692307692308"/>
    <x v="9"/>
    <x v="9"/>
  </r>
  <r>
    <x v="159"/>
    <x v="612"/>
    <s v="10/16/2016 15:01"/>
    <x v="159"/>
    <d v="1899-12-30T15:01:00"/>
    <x v="0"/>
    <d v="1899-12-30T00:21:00"/>
    <n v="0.35"/>
    <x v="24"/>
    <x v="32"/>
    <n v="8.1"/>
    <n v="23.142857142857142"/>
    <x v="9"/>
    <x v="9"/>
  </r>
  <r>
    <x v="159"/>
    <x v="280"/>
    <s v="10/16/2016 15:19"/>
    <x v="159"/>
    <d v="1899-12-30T15:19:00"/>
    <x v="0"/>
    <d v="1899-12-30T00:09:00"/>
    <n v="0.15"/>
    <x v="5"/>
    <x v="3"/>
    <n v="3.1"/>
    <n v="20.666666666666668"/>
    <x v="9"/>
    <x v="9"/>
  </r>
  <r>
    <x v="159"/>
    <x v="629"/>
    <s v="10/16/2016 20:39"/>
    <x v="159"/>
    <d v="1899-12-30T20:39:00"/>
    <x v="0"/>
    <d v="1899-12-30T00:09:00"/>
    <n v="0.15"/>
    <x v="2"/>
    <x v="32"/>
    <n v="4.3"/>
    <n v="28.666666666666668"/>
    <x v="9"/>
    <x v="9"/>
  </r>
  <r>
    <x v="278"/>
    <x v="4"/>
    <s v="10/17/2016 15:57"/>
    <x v="278"/>
    <d v="1899-12-30T15:57:00"/>
    <x v="0"/>
    <d v="1899-12-30T00:38:00"/>
    <n v="0.6333333333333333"/>
    <x v="2"/>
    <x v="2"/>
    <n v="20.6"/>
    <n v="32.526315789473685"/>
    <x v="9"/>
    <x v="9"/>
  </r>
  <r>
    <x v="278"/>
    <x v="25"/>
    <s v="10/17/2016 17:11"/>
    <x v="278"/>
    <d v="1899-12-30T17:11:00"/>
    <x v="0"/>
    <d v="1899-12-30T00:42:00"/>
    <n v="0.7"/>
    <x v="3"/>
    <x v="3"/>
    <n v="17.600000000000001"/>
    <n v="25.142857142857146"/>
    <x v="9"/>
    <x v="9"/>
  </r>
  <r>
    <x v="278"/>
    <x v="630"/>
    <s v="10/17/2016 18:16"/>
    <x v="278"/>
    <d v="1899-12-30T18:16:00"/>
    <x v="0"/>
    <d v="1899-12-30T00:14:00"/>
    <n v="0.23333333333333334"/>
    <x v="2"/>
    <x v="47"/>
    <n v="5.6"/>
    <n v="23.999999999999996"/>
    <x v="9"/>
    <x v="9"/>
  </r>
  <r>
    <x v="278"/>
    <x v="127"/>
    <s v="10/17/2016 18:45"/>
    <x v="278"/>
    <d v="1899-12-30T18:45:00"/>
    <x v="0"/>
    <d v="1899-12-30T00:14:00"/>
    <n v="0.23333333333333334"/>
    <x v="20"/>
    <x v="47"/>
    <n v="3.3"/>
    <n v="14.142857142857142"/>
    <x v="9"/>
    <x v="9"/>
  </r>
  <r>
    <x v="278"/>
    <x v="546"/>
    <s v="10/17/2016 19:25"/>
    <x v="278"/>
    <d v="1899-12-30T19:25:00"/>
    <x v="0"/>
    <d v="1899-12-30T00:17:00"/>
    <n v="0.28333333333333333"/>
    <x v="20"/>
    <x v="3"/>
    <n v="5.3"/>
    <n v="18.705882352941178"/>
    <x v="9"/>
    <x v="9"/>
  </r>
  <r>
    <x v="279"/>
    <x v="631"/>
    <s v="10/18/2016 8:22"/>
    <x v="279"/>
    <d v="1899-12-30T08:22:00"/>
    <x v="0"/>
    <d v="1899-12-30T00:10:00"/>
    <n v="0.16666666666666666"/>
    <x v="4"/>
    <x v="51"/>
    <n v="3.3"/>
    <n v="19.8"/>
    <x v="9"/>
    <x v="9"/>
  </r>
  <r>
    <x v="279"/>
    <x v="632"/>
    <s v="10/18/2016 9:02"/>
    <x v="279"/>
    <d v="1899-12-30T09:02:00"/>
    <x v="0"/>
    <d v="1899-12-30T00:09:00"/>
    <n v="0.15"/>
    <x v="42"/>
    <x v="6"/>
    <n v="3.3"/>
    <n v="22"/>
    <x v="9"/>
    <x v="9"/>
  </r>
  <r>
    <x v="279"/>
    <x v="633"/>
    <s v="10/18/2016 18:33"/>
    <x v="279"/>
    <d v="1899-12-30T18:33:00"/>
    <x v="0"/>
    <d v="1899-12-30T00:21:00"/>
    <n v="0.35"/>
    <x v="40"/>
    <x v="117"/>
    <n v="13"/>
    <n v="37.142857142857146"/>
    <x v="9"/>
    <x v="9"/>
  </r>
  <r>
    <x v="279"/>
    <x v="634"/>
    <s v="10/18/2016 19:13"/>
    <x v="279"/>
    <d v="1899-12-30T19:13:00"/>
    <x v="0"/>
    <d v="1899-12-30T00:10:00"/>
    <n v="0.16666666666666666"/>
    <x v="75"/>
    <x v="13"/>
    <n v="3"/>
    <n v="18"/>
    <x v="9"/>
    <x v="9"/>
  </r>
  <r>
    <x v="279"/>
    <x v="96"/>
    <s v="10/18/2016 20:37"/>
    <x v="279"/>
    <d v="1899-12-30T20:37:00"/>
    <x v="0"/>
    <d v="1899-12-30T00:06:00"/>
    <n v="0.1"/>
    <x v="11"/>
    <x v="117"/>
    <n v="3"/>
    <n v="30"/>
    <x v="9"/>
    <x v="9"/>
  </r>
  <r>
    <x v="280"/>
    <x v="635"/>
    <s v="10/19/2016 9:47"/>
    <x v="280"/>
    <d v="1899-12-30T09:47:00"/>
    <x v="0"/>
    <d v="1899-12-30T00:14:00"/>
    <n v="0.23333333333333334"/>
    <x v="75"/>
    <x v="39"/>
    <n v="3.8"/>
    <n v="16.285714285714285"/>
    <x v="9"/>
    <x v="9"/>
  </r>
  <r>
    <x v="280"/>
    <x v="636"/>
    <s v="10/19/2016 10:21"/>
    <x v="280"/>
    <d v="1899-12-30T10:21:00"/>
    <x v="0"/>
    <d v="1899-12-30T00:27:00"/>
    <n v="0.45"/>
    <x v="40"/>
    <x v="12"/>
    <n v="9.5"/>
    <n v="21.111111111111111"/>
    <x v="9"/>
    <x v="9"/>
  </r>
  <r>
    <x v="280"/>
    <x v="286"/>
    <s v="10/19/2016 13:56"/>
    <x v="280"/>
    <d v="1899-12-30T13:56:00"/>
    <x v="0"/>
    <d v="1899-12-30T00:11:00"/>
    <n v="0.18333333333333332"/>
    <x v="153"/>
    <x v="163"/>
    <n v="1.7"/>
    <n v="9.2727272727272734"/>
    <x v="9"/>
    <x v="9"/>
  </r>
  <r>
    <x v="280"/>
    <x v="637"/>
    <s v="10/19/2016 14:31"/>
    <x v="280"/>
    <d v="1899-12-30T14:31:00"/>
    <x v="0"/>
    <d v="1899-12-30T00:29:00"/>
    <n v="0.48333333333333334"/>
    <x v="7"/>
    <x v="13"/>
    <n v="10.8"/>
    <n v="22.344827586206897"/>
    <x v="9"/>
    <x v="9"/>
  </r>
  <r>
    <x v="280"/>
    <x v="638"/>
    <s v="10/19/2016 16:02"/>
    <x v="280"/>
    <d v="1899-12-30T16:02:00"/>
    <x v="0"/>
    <d v="1899-12-30T00:18:00"/>
    <n v="0.3"/>
    <x v="124"/>
    <x v="164"/>
    <n v="4.0999999999999996"/>
    <n v="13.666666666666666"/>
    <x v="9"/>
    <x v="9"/>
  </r>
  <r>
    <x v="280"/>
    <x v="333"/>
    <s v="10/19/2016 16:19"/>
    <x v="280"/>
    <d v="1899-12-30T16:19:00"/>
    <x v="0"/>
    <d v="1899-12-30T00:13:00"/>
    <n v="0.21666666666666667"/>
    <x v="154"/>
    <x v="129"/>
    <n v="2.2000000000000002"/>
    <n v="10.153846153846155"/>
    <x v="9"/>
    <x v="9"/>
  </r>
  <r>
    <x v="280"/>
    <x v="639"/>
    <s v="10/19/2016 17:01"/>
    <x v="280"/>
    <d v="1899-12-30T17:01:00"/>
    <x v="0"/>
    <d v="1899-12-30T00:28:00"/>
    <n v="0.46666666666666667"/>
    <x v="11"/>
    <x v="117"/>
    <n v="4.5999999999999996"/>
    <n v="9.8571428571428559"/>
    <x v="9"/>
    <x v="9"/>
  </r>
  <r>
    <x v="281"/>
    <x v="640"/>
    <s v="10/20/2016 11:34"/>
    <x v="281"/>
    <d v="1899-12-30T11:34:00"/>
    <x v="0"/>
    <d v="1899-12-30T00:08:00"/>
    <n v="0.13333333333333333"/>
    <x v="75"/>
    <x v="13"/>
    <n v="3.1"/>
    <n v="23.25"/>
    <x v="9"/>
    <x v="9"/>
  </r>
  <r>
    <x v="281"/>
    <x v="174"/>
    <s v="10/20/2016 13:17"/>
    <x v="281"/>
    <d v="1899-12-30T13:17:00"/>
    <x v="0"/>
    <d v="1899-12-30T00:58:00"/>
    <n v="0.96666666666666667"/>
    <x v="11"/>
    <x v="165"/>
    <n v="47.7"/>
    <n v="49.344827586206897"/>
    <x v="9"/>
    <x v="9"/>
  </r>
  <r>
    <x v="281"/>
    <x v="512"/>
    <s v="10/20/2016 21:37"/>
    <x v="281"/>
    <d v="1899-12-30T21:37:00"/>
    <x v="0"/>
    <d v="1899-12-30T00:53:00"/>
    <n v="0.8833333333333333"/>
    <x v="155"/>
    <x v="117"/>
    <n v="44.6"/>
    <n v="50.490566037735853"/>
    <x v="9"/>
    <x v="9"/>
  </r>
  <r>
    <x v="282"/>
    <x v="568"/>
    <s v="10/21/2016 10:21"/>
    <x v="282"/>
    <d v="1899-12-30T10:21:00"/>
    <x v="0"/>
    <d v="1899-12-30T00:15:00"/>
    <n v="0.25"/>
    <x v="75"/>
    <x v="39"/>
    <n v="13.2"/>
    <n v="52.8"/>
    <x v="9"/>
    <x v="9"/>
  </r>
  <r>
    <x v="283"/>
    <x v="641"/>
    <s v="10/22/2016 1:09"/>
    <x v="283"/>
    <d v="1899-12-30T01:09:00"/>
    <x v="0"/>
    <d v="1899-12-30T00:15:00"/>
    <n v="0.25"/>
    <x v="5"/>
    <x v="3"/>
    <n v="8.6999999999999993"/>
    <n v="34.799999999999997"/>
    <x v="9"/>
    <x v="9"/>
  </r>
  <r>
    <x v="283"/>
    <x v="234"/>
    <s v="10/22/2016 14:03"/>
    <x v="283"/>
    <d v="1899-12-30T14:03:00"/>
    <x v="0"/>
    <d v="1899-12-30T00:37:00"/>
    <n v="0.6166666666666667"/>
    <x v="2"/>
    <x v="2"/>
    <n v="17.2"/>
    <n v="27.891891891891888"/>
    <x v="9"/>
    <x v="9"/>
  </r>
  <r>
    <x v="283"/>
    <x v="171"/>
    <s v="10/22/2016 17:55"/>
    <x v="283"/>
    <d v="1899-12-30T17:55:00"/>
    <x v="0"/>
    <d v="1899-12-30T00:47:00"/>
    <n v="0.78333333333333333"/>
    <x v="3"/>
    <x v="3"/>
    <n v="14"/>
    <n v="17.872340425531917"/>
    <x v="9"/>
    <x v="9"/>
  </r>
  <r>
    <x v="58"/>
    <x v="358"/>
    <s v="10/23/2016 10:05"/>
    <x v="58"/>
    <d v="1899-12-30T10:05:00"/>
    <x v="0"/>
    <d v="1899-12-30T00:41:00"/>
    <n v="0.68333333333333335"/>
    <x v="2"/>
    <x v="2"/>
    <n v="28.1"/>
    <n v="41.121951219512198"/>
    <x v="9"/>
    <x v="9"/>
  </r>
  <r>
    <x v="58"/>
    <x v="23"/>
    <s v="10/23/2016 12:59"/>
    <x v="58"/>
    <d v="1899-12-30T12:59:00"/>
    <x v="0"/>
    <d v="1899-12-30T00:42:00"/>
    <n v="0.7"/>
    <x v="3"/>
    <x v="3"/>
    <n v="28.2"/>
    <n v="40.285714285714285"/>
    <x v="9"/>
    <x v="9"/>
  </r>
  <r>
    <x v="284"/>
    <x v="642"/>
    <s v="10/24/2016 15:26"/>
    <x v="284"/>
    <d v="1899-12-30T15:26:00"/>
    <x v="0"/>
    <d v="1899-12-30T00:29:00"/>
    <n v="0.48333333333333334"/>
    <x v="2"/>
    <x v="31"/>
    <n v="16.399999999999999"/>
    <n v="33.931034482758619"/>
    <x v="9"/>
    <x v="9"/>
  </r>
  <r>
    <x v="284"/>
    <x v="37"/>
    <s v="10/24/2016 16:13"/>
    <x v="284"/>
    <d v="1899-12-30T16:13:00"/>
    <x v="0"/>
    <d v="1899-12-30T00:40:00"/>
    <n v="0.66666666666666663"/>
    <x v="24"/>
    <x v="32"/>
    <n v="15.4"/>
    <n v="23.1"/>
    <x v="9"/>
    <x v="9"/>
  </r>
  <r>
    <x v="284"/>
    <x v="456"/>
    <s v="10/24/2016 16:41"/>
    <x v="284"/>
    <d v="1899-12-30T16:41:00"/>
    <x v="0"/>
    <d v="1899-12-30T00:07:00"/>
    <n v="0.11666666666666667"/>
    <x v="5"/>
    <x v="3"/>
    <n v="2.2000000000000002"/>
    <n v="18.857142857142858"/>
    <x v="9"/>
    <x v="9"/>
  </r>
  <r>
    <x v="118"/>
    <x v="350"/>
    <s v="10/25/2016 14:08"/>
    <x v="118"/>
    <d v="1899-12-30T14:08:00"/>
    <x v="0"/>
    <d v="1899-12-30T00:41:00"/>
    <n v="0.68333333333333335"/>
    <x v="2"/>
    <x v="47"/>
    <n v="11.2"/>
    <n v="16.390243902439025"/>
    <x v="9"/>
    <x v="9"/>
  </r>
  <r>
    <x v="118"/>
    <x v="344"/>
    <s v="10/25/2016 15:11"/>
    <x v="118"/>
    <d v="1899-12-30T15:11:00"/>
    <x v="0"/>
    <d v="1899-12-30T00:07:00"/>
    <n v="0.11666666666666667"/>
    <x v="20"/>
    <x v="166"/>
    <n v="2.2000000000000002"/>
    <n v="18.857142857142858"/>
    <x v="9"/>
    <x v="9"/>
  </r>
  <r>
    <x v="118"/>
    <x v="289"/>
    <s v="10/25/2016 15:33"/>
    <x v="118"/>
    <d v="1899-12-30T15:33:00"/>
    <x v="0"/>
    <d v="1899-12-30T00:17:00"/>
    <n v="0.28333333333333333"/>
    <x v="156"/>
    <x v="3"/>
    <n v="3.6"/>
    <n v="12.705882352941178"/>
    <x v="9"/>
    <x v="9"/>
  </r>
  <r>
    <x v="118"/>
    <x v="643"/>
    <s v="10/25/2016 21:03"/>
    <x v="118"/>
    <d v="1899-12-30T21:03:00"/>
    <x v="0"/>
    <d v="1899-12-30T00:09:00"/>
    <n v="0.15"/>
    <x v="64"/>
    <x v="113"/>
    <n v="4.9000000000000004"/>
    <n v="32.666666666666671"/>
    <x v="9"/>
    <x v="9"/>
  </r>
  <r>
    <x v="194"/>
    <x v="585"/>
    <s v="10/26/2016 21:03"/>
    <x v="195"/>
    <d v="1899-12-30T21:03:00"/>
    <x v="0"/>
    <d v="1899-12-30T00:10:00"/>
    <n v="0.16666666666666666"/>
    <x v="61"/>
    <x v="6"/>
    <n v="2.1"/>
    <n v="12.600000000000001"/>
    <x v="9"/>
    <x v="9"/>
  </r>
  <r>
    <x v="195"/>
    <x v="644"/>
    <s v="10/27/2016 19:35"/>
    <x v="196"/>
    <d v="1899-12-30T19:35:00"/>
    <x v="0"/>
    <d v="1899-12-30T00:15:00"/>
    <n v="0.25"/>
    <x v="5"/>
    <x v="32"/>
    <n v="5.9"/>
    <n v="23.6"/>
    <x v="9"/>
    <x v="9"/>
  </r>
  <r>
    <x v="195"/>
    <x v="307"/>
    <s v="10/27/2016 20:21"/>
    <x v="196"/>
    <d v="1899-12-30T20:21:00"/>
    <x v="0"/>
    <d v="1899-12-30T00:29:00"/>
    <n v="0.48333333333333334"/>
    <x v="67"/>
    <x v="167"/>
    <n v="12.1"/>
    <n v="25.03448275862069"/>
    <x v="9"/>
    <x v="9"/>
  </r>
  <r>
    <x v="195"/>
    <x v="504"/>
    <s v="10/27/2016 20:54"/>
    <x v="196"/>
    <d v="1899-12-30T20:54:00"/>
    <x v="0"/>
    <d v="1899-12-30T00:07:00"/>
    <n v="0.11666666666666667"/>
    <x v="67"/>
    <x v="62"/>
    <n v="3.9"/>
    <n v="33.428571428571431"/>
    <x v="9"/>
    <x v="9"/>
  </r>
  <r>
    <x v="195"/>
    <x v="198"/>
    <s v="10/27/2016 21:48"/>
    <x v="196"/>
    <d v="1899-12-30T21:48:00"/>
    <x v="0"/>
    <d v="1899-12-30T00:22:00"/>
    <n v="0.36666666666666664"/>
    <x v="5"/>
    <x v="3"/>
    <n v="6.2"/>
    <n v="16.90909090909091"/>
    <x v="9"/>
    <x v="9"/>
  </r>
  <r>
    <x v="197"/>
    <x v="645"/>
    <s v="10/29/2016 19:19"/>
    <x v="198"/>
    <d v="1899-12-30T19:19:00"/>
    <x v="0"/>
    <d v="1899-12-30T02:06:00"/>
    <n v="2.1"/>
    <x v="157"/>
    <x v="124"/>
    <n v="75.7"/>
    <n v="36.047619047619044"/>
    <x v="9"/>
    <x v="9"/>
  </r>
  <r>
    <x v="285"/>
    <x v="646"/>
    <s v="10/30/2016 8:30"/>
    <x v="285"/>
    <d v="1899-12-30T08:30:00"/>
    <x v="0"/>
    <d v="1899-12-30T00:41:00"/>
    <n v="0.68333333333333335"/>
    <x v="121"/>
    <x v="168"/>
    <n v="29.8"/>
    <n v="43.609756097560975"/>
    <x v="9"/>
    <x v="9"/>
  </r>
  <r>
    <x v="285"/>
    <x v="260"/>
    <s v="10/30/2016 10:09"/>
    <x v="285"/>
    <d v="1899-12-30T10:09:00"/>
    <x v="0"/>
    <d v="1899-12-30T01:02:00"/>
    <n v="1.0333333333333334"/>
    <x v="158"/>
    <x v="168"/>
    <n v="16.3"/>
    <n v="15.774193548387096"/>
    <x v="9"/>
    <x v="9"/>
  </r>
  <r>
    <x v="285"/>
    <x v="647"/>
    <s v="10/30/2016 10:38"/>
    <x v="285"/>
    <d v="1899-12-30T10:38:00"/>
    <x v="0"/>
    <d v="1899-12-30T00:27:00"/>
    <n v="0.45"/>
    <x v="158"/>
    <x v="168"/>
    <n v="6.5"/>
    <n v="14.444444444444445"/>
    <x v="9"/>
    <x v="9"/>
  </r>
  <r>
    <x v="285"/>
    <x v="518"/>
    <s v="10/30/2016 11:21"/>
    <x v="285"/>
    <d v="1899-12-30T11:21:00"/>
    <x v="0"/>
    <d v="1899-12-30T00:30:00"/>
    <n v="0.5"/>
    <x v="158"/>
    <x v="168"/>
    <n v="6.3"/>
    <n v="12.6"/>
    <x v="9"/>
    <x v="9"/>
  </r>
  <r>
    <x v="285"/>
    <x v="648"/>
    <s v="10/30/2016 12:35"/>
    <x v="285"/>
    <d v="1899-12-30T12:35:00"/>
    <x v="0"/>
    <d v="1899-12-30T00:11:00"/>
    <n v="0.18333333333333332"/>
    <x v="158"/>
    <x v="169"/>
    <n v="6.6"/>
    <n v="36"/>
    <x v="9"/>
    <x v="9"/>
  </r>
  <r>
    <x v="285"/>
    <x v="649"/>
    <s v="10/30/2016 13:18"/>
    <x v="285"/>
    <d v="1899-12-30T13:18:00"/>
    <x v="0"/>
    <d v="1899-12-30T00:20:00"/>
    <n v="0.33333333333333331"/>
    <x v="159"/>
    <x v="168"/>
    <n v="15.2"/>
    <n v="45.6"/>
    <x v="9"/>
    <x v="9"/>
  </r>
  <r>
    <x v="285"/>
    <x v="52"/>
    <s v="10/30/2016 14:37"/>
    <x v="285"/>
    <d v="1899-12-30T14:37:00"/>
    <x v="0"/>
    <d v="1899-12-30T01:13:00"/>
    <n v="1.2166666666666666"/>
    <x v="158"/>
    <x v="123"/>
    <n v="68.400000000000006"/>
    <n v="56.219178082191789"/>
    <x v="9"/>
    <x v="9"/>
  </r>
  <r>
    <x v="285"/>
    <x v="432"/>
    <s v="10/30/2016 18:23"/>
    <x v="285"/>
    <d v="1899-12-30T18:23:00"/>
    <x v="0"/>
    <d v="1899-12-30T03:01:00"/>
    <n v="3.0166666666666666"/>
    <x v="120"/>
    <x v="170"/>
    <n v="195.9"/>
    <n v="64.939226519337026"/>
    <x v="9"/>
    <x v="9"/>
  </r>
  <r>
    <x v="285"/>
    <x v="650"/>
    <s v="10/30/2016 19:39"/>
    <x v="285"/>
    <d v="1899-12-30T19:39:00"/>
    <x v="0"/>
    <d v="1899-12-30T01:13:00"/>
    <n v="1.2166666666666666"/>
    <x v="160"/>
    <x v="3"/>
    <n v="45.2"/>
    <n v="37.150684931506852"/>
    <x v="9"/>
    <x v="9"/>
  </r>
  <r>
    <x v="119"/>
    <x v="651"/>
    <s v="10/31/2016 18:20"/>
    <x v="119"/>
    <d v="1899-12-30T18:20:00"/>
    <x v="0"/>
    <d v="1899-12-30T00:09:00"/>
    <n v="0.15"/>
    <x v="2"/>
    <x v="32"/>
    <n v="3.2"/>
    <n v="21.333333333333336"/>
    <x v="9"/>
    <x v="9"/>
  </r>
  <r>
    <x v="119"/>
    <x v="106"/>
    <s v="10/31/2016 19:16"/>
    <x v="119"/>
    <d v="1899-12-30T19:16:00"/>
    <x v="0"/>
    <d v="1899-12-30T00:29:00"/>
    <n v="0.48333333333333334"/>
    <x v="5"/>
    <x v="2"/>
    <n v="10.3"/>
    <n v="21.31034482758621"/>
    <x v="9"/>
    <x v="9"/>
  </r>
  <r>
    <x v="119"/>
    <x v="271"/>
    <s v="10/31/2016 20:44"/>
    <x v="119"/>
    <d v="1899-12-30T20:44:00"/>
    <x v="0"/>
    <d v="1899-12-30T00:26:00"/>
    <n v="0.43333333333333335"/>
    <x v="3"/>
    <x v="3"/>
    <n v="13.1"/>
    <n v="30.23076923076923"/>
    <x v="9"/>
    <x v="9"/>
  </r>
  <r>
    <x v="160"/>
    <x v="652"/>
    <d v="2016-01-11T12:27:00"/>
    <x v="160"/>
    <d v="1899-12-30T12:27:00"/>
    <x v="0"/>
    <d v="1899-12-30T00:37:00"/>
    <n v="0.6166666666666667"/>
    <x v="2"/>
    <x v="31"/>
    <n v="16.5"/>
    <n v="26.756756756756754"/>
    <x v="9"/>
    <x v="9"/>
  </r>
  <r>
    <x v="160"/>
    <x v="25"/>
    <d v="2016-01-11T17:02:00"/>
    <x v="160"/>
    <d v="1899-12-30T17:02:00"/>
    <x v="0"/>
    <d v="1899-12-30T00:33:00"/>
    <n v="0.55000000000000004"/>
    <x v="24"/>
    <x v="3"/>
    <n v="12.8"/>
    <n v="23.272727272727273"/>
    <x v="9"/>
    <x v="9"/>
  </r>
  <r>
    <x v="160"/>
    <x v="653"/>
    <d v="2016-01-11T17:42:00"/>
    <x v="160"/>
    <d v="1899-12-30T17:42:00"/>
    <x v="0"/>
    <d v="1899-12-30T00:07:00"/>
    <n v="0.11666666666666667"/>
    <x v="4"/>
    <x v="6"/>
    <n v="1.2"/>
    <n v="10.285714285714285"/>
    <x v="9"/>
    <x v="9"/>
  </r>
  <r>
    <x v="160"/>
    <x v="615"/>
    <d v="2016-01-11T19:20:00"/>
    <x v="160"/>
    <d v="1899-12-30T19:20:00"/>
    <x v="0"/>
    <d v="1899-12-30T00:06:00"/>
    <n v="0.1"/>
    <x v="4"/>
    <x v="6"/>
    <n v="1"/>
    <n v="10"/>
    <x v="9"/>
    <x v="9"/>
  </r>
  <r>
    <x v="160"/>
    <x v="654"/>
    <d v="2016-01-11T20:12:00"/>
    <x v="160"/>
    <d v="1899-12-30T20:12:00"/>
    <x v="0"/>
    <d v="1899-12-30T00:13:00"/>
    <n v="0.21666666666666667"/>
    <x v="4"/>
    <x v="6"/>
    <n v="4.0999999999999996"/>
    <n v="18.92307692307692"/>
    <x v="9"/>
    <x v="9"/>
  </r>
  <r>
    <x v="198"/>
    <x v="280"/>
    <d v="2016-02-11T15:18:00"/>
    <x v="199"/>
    <d v="1899-12-30T15:18:00"/>
    <x v="0"/>
    <d v="1899-12-30T00:08:00"/>
    <n v="0.13333333333333333"/>
    <x v="4"/>
    <x v="46"/>
    <n v="1.4"/>
    <n v="10.5"/>
    <x v="9"/>
    <x v="9"/>
  </r>
  <r>
    <x v="198"/>
    <x v="549"/>
    <d v="2016-02-11T15:52:00"/>
    <x v="199"/>
    <d v="1899-12-30T15:52:00"/>
    <x v="0"/>
    <d v="1899-12-30T00:07:00"/>
    <n v="0.11666666666666667"/>
    <x v="55"/>
    <x v="6"/>
    <n v="1.8"/>
    <n v="15.428571428571429"/>
    <x v="9"/>
    <x v="9"/>
  </r>
  <r>
    <x v="198"/>
    <x v="303"/>
    <d v="2016-02-11T17:49:00"/>
    <x v="199"/>
    <d v="1899-12-30T17:49:00"/>
    <x v="0"/>
    <d v="1899-12-30T00:15:00"/>
    <n v="0.25"/>
    <x v="5"/>
    <x v="32"/>
    <n v="5"/>
    <n v="20"/>
    <x v="9"/>
    <x v="9"/>
  </r>
  <r>
    <x v="198"/>
    <x v="561"/>
    <d v="2016-02-11T18:00:00"/>
    <x v="199"/>
    <d v="1899-12-30T18:00:00"/>
    <x v="0"/>
    <d v="1899-12-30T00:07:00"/>
    <n v="0.11666666666666667"/>
    <x v="5"/>
    <x v="3"/>
    <n v="3.8"/>
    <n v="32.571428571428569"/>
    <x v="9"/>
    <x v="9"/>
  </r>
  <r>
    <x v="59"/>
    <x v="346"/>
    <d v="2016-03-11T11:34:00"/>
    <x v="59"/>
    <d v="1899-12-30T11:34:00"/>
    <x v="0"/>
    <d v="1899-12-30T00:06:00"/>
    <n v="0.1"/>
    <x v="4"/>
    <x v="63"/>
    <n v="2.5"/>
    <n v="25"/>
    <x v="9"/>
    <x v="9"/>
  </r>
  <r>
    <x v="59"/>
    <x v="446"/>
    <d v="2016-03-11T12:49:00"/>
    <x v="59"/>
    <d v="1899-12-30T12:49:00"/>
    <x v="0"/>
    <d v="1899-12-30T00:06:00"/>
    <n v="0.1"/>
    <x v="23"/>
    <x v="6"/>
    <n v="2.4"/>
    <n v="23.999999999999996"/>
    <x v="9"/>
    <x v="9"/>
  </r>
  <r>
    <x v="59"/>
    <x v="279"/>
    <d v="2016-03-11T13:47:00"/>
    <x v="59"/>
    <d v="1899-12-30T13:47:00"/>
    <x v="0"/>
    <d v="1899-12-30T00:05:00"/>
    <n v="8.3333333333333329E-2"/>
    <x v="4"/>
    <x v="46"/>
    <n v="1.4"/>
    <n v="16.8"/>
    <x v="9"/>
    <x v="9"/>
  </r>
  <r>
    <x v="59"/>
    <x v="8"/>
    <d v="2016-03-11T14:26:00"/>
    <x v="59"/>
    <d v="1899-12-30T14:26:00"/>
    <x v="0"/>
    <d v="1899-12-30T00:13:00"/>
    <n v="0.21666666666666667"/>
    <x v="55"/>
    <x v="6"/>
    <n v="1.8"/>
    <n v="8.3076923076923084"/>
    <x v="9"/>
    <x v="9"/>
  </r>
  <r>
    <x v="286"/>
    <x v="163"/>
    <d v="2016-04-11T18:21:00"/>
    <x v="286"/>
    <d v="1899-12-30T18:21:00"/>
    <x v="0"/>
    <d v="1899-12-30T00:07:00"/>
    <n v="0.11666666666666667"/>
    <x v="155"/>
    <x v="171"/>
    <n v="3.8"/>
    <n v="32.571428571428569"/>
    <x v="9"/>
    <x v="9"/>
  </r>
  <r>
    <x v="286"/>
    <x v="655"/>
    <d v="2016-04-11T21:20:00"/>
    <x v="286"/>
    <d v="1899-12-30T21:20:00"/>
    <x v="0"/>
    <d v="1899-12-30T00:16:00"/>
    <n v="0.26666666666666666"/>
    <x v="161"/>
    <x v="172"/>
    <n v="4.3"/>
    <n v="16.125"/>
    <x v="9"/>
    <x v="9"/>
  </r>
  <r>
    <x v="286"/>
    <x v="656"/>
    <d v="2016-04-11T22:25:00"/>
    <x v="286"/>
    <d v="1899-12-30T22:25:00"/>
    <x v="0"/>
    <d v="1899-12-30T00:13:00"/>
    <n v="0.21666666666666667"/>
    <x v="162"/>
    <x v="126"/>
    <n v="3.9"/>
    <n v="18"/>
    <x v="9"/>
    <x v="9"/>
  </r>
  <r>
    <x v="287"/>
    <x v="143"/>
    <d v="2016-05-11T08:43:00"/>
    <x v="287"/>
    <d v="1899-12-30T08:43:00"/>
    <x v="0"/>
    <d v="1899-12-30T00:09:00"/>
    <n v="0.15"/>
    <x v="161"/>
    <x v="173"/>
    <n v="2.2000000000000002"/>
    <n v="14.666666666666668"/>
    <x v="9"/>
    <x v="9"/>
  </r>
  <r>
    <x v="287"/>
    <x v="505"/>
    <d v="2016-05-11T17:40:00"/>
    <x v="287"/>
    <d v="1899-12-30T17:40:00"/>
    <x v="0"/>
    <d v="1899-12-30T00:11:00"/>
    <n v="0.18333333333333332"/>
    <x v="122"/>
    <x v="126"/>
    <n v="2.8"/>
    <n v="15.272727272727273"/>
    <x v="9"/>
    <x v="9"/>
  </r>
  <r>
    <x v="287"/>
    <x v="644"/>
    <d v="2016-05-11T19:28:00"/>
    <x v="287"/>
    <d v="1899-12-30T19:28:00"/>
    <x v="0"/>
    <d v="1899-12-30T00:08:00"/>
    <n v="0.13333333333333333"/>
    <x v="161"/>
    <x v="126"/>
    <n v="2.2000000000000002"/>
    <n v="16.5"/>
    <x v="9"/>
    <x v="9"/>
  </r>
  <r>
    <x v="60"/>
    <x v="310"/>
    <d v="2016-06-11T11:04:00"/>
    <x v="60"/>
    <d v="1899-12-30T11:04:00"/>
    <x v="0"/>
    <d v="1899-12-30T00:14:00"/>
    <n v="0.23333333333333334"/>
    <x v="161"/>
    <x v="173"/>
    <n v="2.4"/>
    <n v="10.285714285714285"/>
    <x v="9"/>
    <x v="9"/>
  </r>
  <r>
    <x v="60"/>
    <x v="320"/>
    <d v="2016-06-11T19:12:00"/>
    <x v="60"/>
    <d v="1899-12-30T19:12:00"/>
    <x v="0"/>
    <d v="1899-12-30T00:08:00"/>
    <n v="0.13333333333333333"/>
    <x v="72"/>
    <x v="174"/>
    <n v="1.8"/>
    <n v="13.5"/>
    <x v="9"/>
    <x v="9"/>
  </r>
  <r>
    <x v="60"/>
    <x v="298"/>
    <d v="2016-06-11T20:21:00"/>
    <x v="60"/>
    <d v="1899-12-30T20:21:00"/>
    <x v="0"/>
    <d v="1899-12-30T00:15:00"/>
    <n v="0.25"/>
    <x v="124"/>
    <x v="175"/>
    <n v="3.3"/>
    <n v="13.2"/>
    <x v="9"/>
    <x v="9"/>
  </r>
  <r>
    <x v="14"/>
    <x v="657"/>
    <d v="2016-08-11T14:01:00"/>
    <x v="14"/>
    <d v="1899-12-30T14:01:00"/>
    <x v="0"/>
    <d v="1899-12-30T00:20:00"/>
    <n v="0.33333333333333331"/>
    <x v="11"/>
    <x v="117"/>
    <n v="3.6"/>
    <n v="10.8"/>
    <x v="9"/>
    <x v="9"/>
  </r>
  <r>
    <x v="14"/>
    <x v="128"/>
    <d v="2016-08-11T16:34:00"/>
    <x v="14"/>
    <d v="1899-12-30T16:34:00"/>
    <x v="0"/>
    <d v="1899-12-30T00:13:00"/>
    <n v="0.21666666666666667"/>
    <x v="75"/>
    <x v="13"/>
    <n v="3"/>
    <n v="13.846153846153845"/>
    <x v="9"/>
    <x v="9"/>
  </r>
  <r>
    <x v="61"/>
    <x v="214"/>
    <d v="2016-09-11T13:41:00"/>
    <x v="61"/>
    <d v="1899-12-30T13:41:00"/>
    <x v="0"/>
    <d v="1899-12-30T00:33:00"/>
    <n v="0.55000000000000004"/>
    <x v="11"/>
    <x v="12"/>
    <n v="11.4"/>
    <n v="20.727272727272727"/>
    <x v="9"/>
    <x v="9"/>
  </r>
  <r>
    <x v="61"/>
    <x v="658"/>
    <d v="2016-09-11T16:04:00"/>
    <x v="61"/>
    <d v="1899-12-30T16:04:00"/>
    <x v="0"/>
    <d v="1899-12-30T00:06:00"/>
    <n v="0.1"/>
    <x v="163"/>
    <x v="102"/>
    <n v="0.9"/>
    <n v="9"/>
    <x v="9"/>
    <x v="9"/>
  </r>
  <r>
    <x v="61"/>
    <x v="348"/>
    <d v="2016-09-11T18:03:00"/>
    <x v="61"/>
    <d v="1899-12-30T18:03:00"/>
    <x v="0"/>
    <d v="1899-12-30T00:32:00"/>
    <n v="0.53333333333333333"/>
    <x v="72"/>
    <x v="176"/>
    <n v="6.2"/>
    <n v="11.625"/>
    <x v="9"/>
    <x v="9"/>
  </r>
  <r>
    <x v="61"/>
    <x v="32"/>
    <d v="2016-09-11T18:14:00"/>
    <x v="61"/>
    <d v="1899-12-30T18:14:00"/>
    <x v="0"/>
    <d v="1899-12-30T00:05:00"/>
    <n v="8.3333333333333329E-2"/>
    <x v="164"/>
    <x v="177"/>
    <n v="0.7"/>
    <n v="8.4"/>
    <x v="9"/>
    <x v="9"/>
  </r>
  <r>
    <x v="61"/>
    <x v="316"/>
    <d v="2016-09-11T21:02:00"/>
    <x v="61"/>
    <d v="1899-12-30T21:02:00"/>
    <x v="0"/>
    <d v="1899-12-30T00:10:00"/>
    <n v="0.16666666666666666"/>
    <x v="40"/>
    <x v="13"/>
    <n v="2.6"/>
    <n v="15.600000000000001"/>
    <x v="9"/>
    <x v="9"/>
  </r>
  <r>
    <x v="61"/>
    <x v="438"/>
    <d v="2016-09-11T22:02:00"/>
    <x v="61"/>
    <d v="1899-12-30T22:02:00"/>
    <x v="0"/>
    <d v="1899-12-30T00:06:00"/>
    <n v="0.1"/>
    <x v="165"/>
    <x v="175"/>
    <n v="1.1000000000000001"/>
    <n v="11"/>
    <x v="9"/>
    <x v="9"/>
  </r>
  <r>
    <x v="199"/>
    <x v="659"/>
    <d v="2016-10-11T10:31:00"/>
    <x v="200"/>
    <d v="1899-12-30T10:31:00"/>
    <x v="0"/>
    <d v="1899-12-30T00:11:00"/>
    <n v="0.18333333333333332"/>
    <x v="166"/>
    <x v="178"/>
    <n v="1.2"/>
    <n v="6.5454545454545459"/>
    <x v="9"/>
    <x v="9"/>
  </r>
  <r>
    <x v="199"/>
    <x v="642"/>
    <d v="2016-10-11T15:07:00"/>
    <x v="200"/>
    <d v="1899-12-30T15:07:00"/>
    <x v="0"/>
    <d v="1899-12-30T00:10:00"/>
    <n v="0.16666666666666666"/>
    <x v="153"/>
    <x v="179"/>
    <n v="1.1000000000000001"/>
    <n v="6.6000000000000005"/>
    <x v="9"/>
    <x v="9"/>
  </r>
  <r>
    <x v="199"/>
    <x v="623"/>
    <d v="2016-10-11T19:21:00"/>
    <x v="200"/>
    <d v="1899-12-30T19:21:00"/>
    <x v="0"/>
    <d v="1899-12-30T00:03:00"/>
    <n v="0.05"/>
    <x v="124"/>
    <x v="175"/>
    <n v="0.8"/>
    <n v="16"/>
    <x v="9"/>
    <x v="9"/>
  </r>
  <r>
    <x v="62"/>
    <x v="649"/>
    <d v="2016-11-11T13:13:00"/>
    <x v="62"/>
    <d v="1899-12-30T13:13:00"/>
    <x v="0"/>
    <d v="1899-12-30T00:15:00"/>
    <n v="0.25"/>
    <x v="39"/>
    <x v="8"/>
    <n v="4"/>
    <n v="16"/>
    <x v="9"/>
    <x v="9"/>
  </r>
  <r>
    <x v="62"/>
    <x v="447"/>
    <d v="2016-11-11T14:32:00"/>
    <x v="62"/>
    <d v="1899-12-30T14:32:00"/>
    <x v="0"/>
    <d v="1899-12-30T00:12:00"/>
    <n v="0.2"/>
    <x v="36"/>
    <x v="35"/>
    <n v="2.5"/>
    <n v="12.5"/>
    <x v="9"/>
    <x v="9"/>
  </r>
  <r>
    <x v="62"/>
    <x v="660"/>
    <d v="2016-11-11T18:43:00"/>
    <x v="62"/>
    <d v="1899-12-30T18:43:00"/>
    <x v="0"/>
    <d v="1899-12-30T00:13:00"/>
    <n v="0.21666666666666667"/>
    <x v="165"/>
    <x v="180"/>
    <n v="2.9"/>
    <n v="13.384615384615383"/>
    <x v="9"/>
    <x v="9"/>
  </r>
  <r>
    <x v="62"/>
    <x v="299"/>
    <d v="2016-11-11T21:18:00"/>
    <x v="62"/>
    <d v="1899-12-30T21:18:00"/>
    <x v="0"/>
    <d v="1899-12-30T00:10:00"/>
    <n v="0.16666666666666666"/>
    <x v="167"/>
    <x v="175"/>
    <n v="2.6"/>
    <n v="15.600000000000001"/>
    <x v="9"/>
    <x v="9"/>
  </r>
  <r>
    <x v="120"/>
    <x v="661"/>
    <d v="2016-12-11T10:52:00"/>
    <x v="120"/>
    <d v="1899-12-30T10:52:00"/>
    <x v="0"/>
    <d v="1899-12-30T00:20:00"/>
    <n v="0.33333333333333331"/>
    <x v="165"/>
    <x v="128"/>
    <n v="2.2999999999999998"/>
    <n v="6.8999999999999995"/>
    <x v="9"/>
    <x v="9"/>
  </r>
  <r>
    <x v="120"/>
    <x v="662"/>
    <d v="2016-12-11T11:25:00"/>
    <x v="120"/>
    <d v="1899-12-30T11:25:00"/>
    <x v="0"/>
    <d v="1899-12-30T00:30:00"/>
    <n v="0.5"/>
    <x v="168"/>
    <x v="102"/>
    <n v="6.4"/>
    <n v="12.8"/>
    <x v="9"/>
    <x v="9"/>
  </r>
  <r>
    <x v="120"/>
    <x v="94"/>
    <d v="2016-12-11T13:15:00"/>
    <x v="120"/>
    <d v="1899-12-30T13:15:00"/>
    <x v="0"/>
    <d v="1899-12-30T00:08:00"/>
    <n v="0.13333333333333333"/>
    <x v="72"/>
    <x v="175"/>
    <n v="1.4"/>
    <n v="10.5"/>
    <x v="9"/>
    <x v="9"/>
  </r>
  <r>
    <x v="120"/>
    <x v="663"/>
    <d v="2016-12-11T13:50:00"/>
    <x v="120"/>
    <d v="1899-12-30T13:50:00"/>
    <x v="0"/>
    <d v="1899-12-30T00:04:00"/>
    <n v="6.6666666666666666E-2"/>
    <x v="165"/>
    <x v="174"/>
    <n v="0.6"/>
    <n v="9"/>
    <x v="9"/>
    <x v="9"/>
  </r>
  <r>
    <x v="120"/>
    <x v="583"/>
    <d v="2016-12-11T15:21:00"/>
    <x v="120"/>
    <d v="1899-12-30T15:21:00"/>
    <x v="0"/>
    <d v="1899-12-30T00:07:00"/>
    <n v="0.11666666666666667"/>
    <x v="168"/>
    <x v="181"/>
    <n v="0.8"/>
    <n v="6.8571428571428577"/>
    <x v="9"/>
    <x v="9"/>
  </r>
  <r>
    <x v="120"/>
    <x v="664"/>
    <d v="2016-12-11T15:36:00"/>
    <x v="120"/>
    <d v="1899-12-30T15:36:00"/>
    <x v="0"/>
    <d v="1899-12-30T00:11:00"/>
    <n v="0.18333333333333332"/>
    <x v="11"/>
    <x v="117"/>
    <n v="1.3"/>
    <n v="7.0909090909090917"/>
    <x v="9"/>
    <x v="9"/>
  </r>
  <r>
    <x v="200"/>
    <x v="577"/>
    <s v="11/13/2016 9:02"/>
    <x v="201"/>
    <d v="1899-12-30T09:02:00"/>
    <x v="0"/>
    <d v="1899-12-30T00:08:00"/>
    <n v="0.13333333333333333"/>
    <x v="165"/>
    <x v="175"/>
    <n v="2.2999999999999998"/>
    <n v="17.25"/>
    <x v="9"/>
    <x v="9"/>
  </r>
  <r>
    <x v="200"/>
    <x v="578"/>
    <s v="11/13/2016 9:53"/>
    <x v="201"/>
    <d v="1899-12-30T09:53:00"/>
    <x v="0"/>
    <d v="1899-12-30T00:26:00"/>
    <n v="0.43333333333333335"/>
    <x v="165"/>
    <x v="175"/>
    <n v="2.6"/>
    <n v="6"/>
    <x v="9"/>
    <x v="9"/>
  </r>
  <r>
    <x v="200"/>
    <x v="569"/>
    <s v="11/13/2016 10:37"/>
    <x v="201"/>
    <d v="1899-12-30T10:37:00"/>
    <x v="0"/>
    <d v="1899-12-30T00:06:00"/>
    <n v="0.1"/>
    <x v="165"/>
    <x v="129"/>
    <n v="1.9"/>
    <n v="18.999999999999996"/>
    <x v="9"/>
    <x v="9"/>
  </r>
  <r>
    <x v="200"/>
    <x v="140"/>
    <s v="11/13/2016 11:16"/>
    <x v="201"/>
    <d v="1899-12-30T11:16:00"/>
    <x v="0"/>
    <d v="1899-12-30T00:12:00"/>
    <n v="0.2"/>
    <x v="169"/>
    <x v="174"/>
    <n v="2.1"/>
    <n v="10.5"/>
    <x v="9"/>
    <x v="9"/>
  </r>
  <r>
    <x v="200"/>
    <x v="665"/>
    <s v="11/13/2016 13:11"/>
    <x v="201"/>
    <d v="1899-12-30T13:11:00"/>
    <x v="0"/>
    <d v="1899-12-30T00:06:00"/>
    <n v="0.1"/>
    <x v="169"/>
    <x v="182"/>
    <n v="0.9"/>
    <n v="9"/>
    <x v="9"/>
    <x v="9"/>
  </r>
  <r>
    <x v="200"/>
    <x v="207"/>
    <s v="11/13/2016 13:18"/>
    <x v="201"/>
    <d v="1899-12-30T13:18:00"/>
    <x v="0"/>
    <d v="1899-12-30T00:04:00"/>
    <n v="6.6666666666666666E-2"/>
    <x v="170"/>
    <x v="129"/>
    <n v="0.9"/>
    <n v="13.5"/>
    <x v="9"/>
    <x v="9"/>
  </r>
  <r>
    <x v="200"/>
    <x v="71"/>
    <s v="11/13/2016 14:46"/>
    <x v="201"/>
    <d v="1899-12-30T14:46:00"/>
    <x v="0"/>
    <d v="1899-12-30T00:11:00"/>
    <n v="0.18333333333333332"/>
    <x v="169"/>
    <x v="175"/>
    <n v="2.4"/>
    <n v="13.090909090909092"/>
    <x v="9"/>
    <x v="9"/>
  </r>
  <r>
    <x v="200"/>
    <x v="583"/>
    <s v="11/13/2016 15:24"/>
    <x v="201"/>
    <d v="1899-12-30T15:24:00"/>
    <x v="0"/>
    <d v="1899-12-30T00:10:00"/>
    <n v="0.16666666666666666"/>
    <x v="165"/>
    <x v="129"/>
    <n v="1.9"/>
    <n v="11.4"/>
    <x v="9"/>
    <x v="9"/>
  </r>
  <r>
    <x v="200"/>
    <x v="620"/>
    <s v="11/13/2016 15:59"/>
    <x v="201"/>
    <d v="1899-12-30T15:59:00"/>
    <x v="0"/>
    <d v="1899-12-30T00:12:00"/>
    <n v="0.2"/>
    <x v="169"/>
    <x v="175"/>
    <n v="1.9"/>
    <n v="9.4999999999999982"/>
    <x v="9"/>
    <x v="9"/>
  </r>
  <r>
    <x v="63"/>
    <x v="42"/>
    <s v="11/14/2016 15:36"/>
    <x v="63"/>
    <d v="1899-12-30T15:36:00"/>
    <x v="0"/>
    <d v="1899-12-30T00:09:00"/>
    <n v="0.15"/>
    <x v="11"/>
    <x v="117"/>
    <n v="2.5"/>
    <n v="16.666666666666668"/>
    <x v="9"/>
    <x v="9"/>
  </r>
  <r>
    <x v="288"/>
    <x v="666"/>
    <s v="11/15/2016 14:06"/>
    <x v="288"/>
    <d v="1899-12-30T14:06:00"/>
    <x v="0"/>
    <d v="1899-12-30T00:07:00"/>
    <n v="0.11666666666666667"/>
    <x v="11"/>
    <x v="39"/>
    <n v="5.0999999999999996"/>
    <n v="43.714285714285708"/>
    <x v="9"/>
    <x v="9"/>
  </r>
  <r>
    <x v="65"/>
    <x v="238"/>
    <s v="11/19/2016 16:06"/>
    <x v="65"/>
    <d v="1899-12-30T16:06:00"/>
    <x v="0"/>
    <d v="1899-12-30T00:05:00"/>
    <n v="8.3333333333333329E-2"/>
    <x v="2"/>
    <x v="3"/>
    <n v="1.5"/>
    <n v="18"/>
    <x v="9"/>
    <x v="9"/>
  </r>
  <r>
    <x v="65"/>
    <x v="83"/>
    <s v="11/19/2016 16:41"/>
    <x v="65"/>
    <d v="1899-12-30T16:41:00"/>
    <x v="0"/>
    <d v="1899-12-30T00:14:00"/>
    <n v="0.23333333333333334"/>
    <x v="2"/>
    <x v="3"/>
    <n v="1.8"/>
    <n v="7.7142857142857144"/>
    <x v="9"/>
    <x v="9"/>
  </r>
  <r>
    <x v="163"/>
    <x v="487"/>
    <s v="11/23/2016 16:29"/>
    <x v="163"/>
    <d v="1899-12-30T16:29:00"/>
    <x v="0"/>
    <d v="1899-12-30T00:11:00"/>
    <n v="0.18333333333333332"/>
    <x v="2"/>
    <x v="3"/>
    <n v="1.9"/>
    <n v="10.363636363636363"/>
    <x v="9"/>
    <x v="9"/>
  </r>
  <r>
    <x v="163"/>
    <x v="132"/>
    <s v="11/23/2016 17:00"/>
    <x v="163"/>
    <d v="1899-12-30T17:00:00"/>
    <x v="0"/>
    <d v="1899-12-30T00:11:00"/>
    <n v="0.18333333333333332"/>
    <x v="2"/>
    <x v="3"/>
    <n v="3.3"/>
    <n v="18"/>
    <x v="9"/>
    <x v="9"/>
  </r>
  <r>
    <x v="163"/>
    <x v="562"/>
    <s v="11/23/2016 18:47"/>
    <x v="163"/>
    <d v="1899-12-30T18:47:00"/>
    <x v="0"/>
    <d v="1899-12-30T00:10:00"/>
    <n v="0.16666666666666666"/>
    <x v="2"/>
    <x v="3"/>
    <n v="1.3"/>
    <n v="7.8000000000000007"/>
    <x v="9"/>
    <x v="9"/>
  </r>
  <r>
    <x v="16"/>
    <x v="667"/>
    <s v="11/26/2016 15:59"/>
    <x v="16"/>
    <d v="1899-12-30T15:59:00"/>
    <x v="0"/>
    <d v="1899-12-30T00:05:00"/>
    <n v="8.3333333333333329E-2"/>
    <x v="2"/>
    <x v="3"/>
    <n v="1.4"/>
    <n v="16.8"/>
    <x v="9"/>
    <x v="9"/>
  </r>
  <r>
    <x v="164"/>
    <x v="466"/>
    <s v="11/27/2016 19:09"/>
    <x v="164"/>
    <d v="1899-12-30T19:09:00"/>
    <x v="0"/>
    <d v="1899-12-30T00:14:00"/>
    <n v="0.23333333333333334"/>
    <x v="5"/>
    <x v="3"/>
    <n v="2.9"/>
    <n v="12.428571428571429"/>
    <x v="9"/>
    <x v="9"/>
  </r>
  <r>
    <x v="67"/>
    <x v="446"/>
    <s v="11/30/2016 12:53"/>
    <x v="67"/>
    <d v="1899-12-30T12:53:00"/>
    <x v="0"/>
    <d v="1899-12-30T00:10:00"/>
    <n v="0.16666666666666666"/>
    <x v="5"/>
    <x v="3"/>
    <n v="3.1"/>
    <n v="18.600000000000001"/>
    <x v="9"/>
    <x v="9"/>
  </r>
  <r>
    <x v="70"/>
    <x v="546"/>
    <d v="2016-03-12T19:15:00"/>
    <x v="70"/>
    <d v="1899-12-30T19:15:00"/>
    <x v="0"/>
    <d v="1899-12-30T00:07:00"/>
    <n v="0.11666666666666667"/>
    <x v="171"/>
    <x v="32"/>
    <n v="1.8"/>
    <n v="15.428571428571429"/>
    <x v="9"/>
    <x v="9"/>
  </r>
  <r>
    <x v="165"/>
    <x v="361"/>
    <d v="2016-05-12T18:17:00"/>
    <x v="165"/>
    <d v="1899-12-30T18:17:00"/>
    <x v="0"/>
    <d v="1899-12-30T00:13:00"/>
    <n v="0.21666666666666667"/>
    <x v="2"/>
    <x v="3"/>
    <n v="4.0999999999999996"/>
    <n v="18.92307692307692"/>
    <x v="9"/>
    <x v="9"/>
  </r>
  <r>
    <x v="76"/>
    <x v="53"/>
    <s v="12/14/2016 17:10"/>
    <x v="76"/>
    <d v="1899-12-30T17:10:00"/>
    <x v="0"/>
    <d v="1899-12-30T00:18:00"/>
    <n v="0.3"/>
    <x v="2"/>
    <x v="3"/>
    <n v="3.4"/>
    <n v="11.333333333333334"/>
    <x v="9"/>
    <x v="9"/>
  </r>
  <r>
    <x v="76"/>
    <x v="622"/>
    <s v="12/14/2016 17:34"/>
    <x v="76"/>
    <d v="1899-12-30T17:34:00"/>
    <x v="0"/>
    <d v="1899-12-30T00:12:00"/>
    <n v="0.2"/>
    <x v="2"/>
    <x v="3"/>
    <n v="3.3"/>
    <n v="16.499999999999996"/>
    <x v="9"/>
    <x v="9"/>
  </r>
  <r>
    <x v="125"/>
    <x v="668"/>
    <s v="12/18/2016 21:04"/>
    <x v="125"/>
    <d v="1899-12-30T21:04:00"/>
    <x v="0"/>
    <d v="1899-12-30T00:29:00"/>
    <n v="0.48333333333333334"/>
    <x v="0"/>
    <x v="0"/>
    <n v="9.1999999999999993"/>
    <n v="19.034482758620687"/>
    <x v="9"/>
    <x v="9"/>
  </r>
  <r>
    <x v="77"/>
    <x v="52"/>
    <s v="12/19/2016 13:35"/>
    <x v="77"/>
    <d v="1899-12-30T13:35:00"/>
    <x v="0"/>
    <d v="1899-12-30T00:11:00"/>
    <n v="0.18333333333333332"/>
    <x v="0"/>
    <x v="0"/>
    <n v="1.3"/>
    <n v="7.0909090909090917"/>
    <x v="9"/>
    <x v="9"/>
  </r>
  <r>
    <x v="77"/>
    <x v="365"/>
    <s v="12/19/2016 14:15"/>
    <x v="77"/>
    <d v="1899-12-30T14:15:00"/>
    <x v="0"/>
    <d v="1899-12-30T00:08:00"/>
    <n v="0.13333333333333333"/>
    <x v="0"/>
    <x v="0"/>
    <n v="2.5"/>
    <n v="18.75"/>
    <x v="9"/>
    <x v="9"/>
  </r>
  <r>
    <x v="77"/>
    <x v="669"/>
    <s v="12/19/2016 14:32"/>
    <x v="77"/>
    <d v="1899-12-30T14:32:00"/>
    <x v="0"/>
    <d v="1899-12-30T00:14:00"/>
    <n v="0.23333333333333334"/>
    <x v="0"/>
    <x v="0"/>
    <n v="5.3"/>
    <n v="22.714285714285712"/>
    <x v="9"/>
    <x v="9"/>
  </r>
  <r>
    <x v="77"/>
    <x v="275"/>
    <s v="12/19/2016 14:50"/>
    <x v="77"/>
    <d v="1899-12-30T14:50:00"/>
    <x v="0"/>
    <d v="1899-12-30T00:13:00"/>
    <n v="0.21666666666666667"/>
    <x v="0"/>
    <x v="0"/>
    <n v="5.4"/>
    <n v="24.923076923076923"/>
    <x v="9"/>
    <x v="9"/>
  </r>
  <r>
    <x v="77"/>
    <x v="199"/>
    <s v="12/19/2016 19:17"/>
    <x v="77"/>
    <d v="1899-12-30T19:17:00"/>
    <x v="0"/>
    <d v="1899-12-30T00:12:00"/>
    <n v="0.2"/>
    <x v="46"/>
    <x v="0"/>
    <n v="2.2000000000000002"/>
    <n v="11"/>
    <x v="9"/>
    <x v="9"/>
  </r>
  <r>
    <x v="78"/>
    <x v="617"/>
    <s v="12/20/2016 9:24"/>
    <x v="78"/>
    <d v="1899-12-30T09:24:00"/>
    <x v="0"/>
    <d v="1899-12-30T00:35:00"/>
    <n v="0.58333333333333337"/>
    <x v="0"/>
    <x v="41"/>
    <n v="12"/>
    <n v="20.571428571428569"/>
    <x v="9"/>
    <x v="9"/>
  </r>
  <r>
    <x v="2"/>
    <x v="585"/>
    <s v="12/29/2016 21:42"/>
    <x v="2"/>
    <d v="1899-12-30T21:42:00"/>
    <x v="0"/>
    <d v="1899-12-30T00:49:00"/>
    <n v="0.81666666666666665"/>
    <x v="1"/>
    <x v="0"/>
    <n v="6.4"/>
    <n v="7.8367346938775517"/>
    <x v="9"/>
    <x v="9"/>
  </r>
  <r>
    <x v="85"/>
    <x v="670"/>
    <d v="2016-11-01T09:21:00"/>
    <x v="85"/>
    <d v="1899-12-30T09:21:00"/>
    <x v="0"/>
    <d v="1899-12-30T00:26:00"/>
    <n v="0.43333333333333335"/>
    <x v="172"/>
    <x v="183"/>
    <n v="6.4"/>
    <n v="14.76923076923077"/>
    <x v="10"/>
    <x v="10"/>
  </r>
  <r>
    <x v="204"/>
    <x v="662"/>
    <m/>
    <x v="205"/>
    <d v="1899-12-30T11:09:00"/>
    <x v="0"/>
    <d v="1899-12-30T00:14:00"/>
    <n v="0.23333333333333334"/>
    <x v="173"/>
    <x v="6"/>
    <n v="7.6"/>
    <n v="32.571428571428569"/>
    <x v="10"/>
    <x v="10"/>
  </r>
  <r>
    <x v="169"/>
    <x v="15"/>
    <m/>
    <x v="169"/>
    <d v="1899-12-30T13:00:00"/>
    <x v="0"/>
    <d v="1899-12-30T00:32:00"/>
    <n v="0.53333333333333333"/>
    <x v="2"/>
    <x v="2"/>
    <n v="19"/>
    <n v="35.625"/>
    <x v="10"/>
    <x v="10"/>
  </r>
  <r>
    <x v="27"/>
    <x v="492"/>
    <d v="2016-07-02T18:53:00"/>
    <x v="27"/>
    <d v="1899-12-30T18:53:00"/>
    <x v="0"/>
    <d v="1899-12-30T00:14:00"/>
    <n v="0.23333333333333334"/>
    <x v="2"/>
    <x v="32"/>
    <n v="6.1"/>
    <n v="26.142857142857142"/>
    <x v="10"/>
    <x v="10"/>
  </r>
  <r>
    <x v="134"/>
    <x v="384"/>
    <d v="2016-11-02T18:46:00"/>
    <x v="134"/>
    <d v="1899-12-30T18:46:00"/>
    <x v="0"/>
    <d v="1899-12-30T00:22:00"/>
    <n v="0.36666666666666664"/>
    <x v="3"/>
    <x v="32"/>
    <n v="13.5"/>
    <n v="36.81818181818182"/>
    <x v="10"/>
    <x v="10"/>
  </r>
  <r>
    <x v="134"/>
    <x v="93"/>
    <d v="2016-11-02T20:51:00"/>
    <x v="134"/>
    <d v="1899-12-30T20:51:00"/>
    <x v="0"/>
    <d v="1899-12-30T00:15:00"/>
    <n v="0.25"/>
    <x v="5"/>
    <x v="3"/>
    <n v="6.1"/>
    <n v="24.4"/>
    <x v="10"/>
    <x v="10"/>
  </r>
  <r>
    <x v="28"/>
    <x v="671"/>
    <d v="2016-12-02T08:42:00"/>
    <x v="28"/>
    <d v="1899-12-30T08:42:00"/>
    <x v="0"/>
    <d v="1899-12-30T00:21:00"/>
    <n v="0.35"/>
    <x v="2"/>
    <x v="31"/>
    <n v="8.5"/>
    <n v="24.285714285714288"/>
    <x v="10"/>
    <x v="10"/>
  </r>
  <r>
    <x v="28"/>
    <x v="672"/>
    <d v="2016-12-02T10:52:00"/>
    <x v="28"/>
    <d v="1899-12-30T10:52:00"/>
    <x v="0"/>
    <d v="1899-12-30T00:07:00"/>
    <n v="0.11666666666666667"/>
    <x v="24"/>
    <x v="32"/>
    <n v="2.6"/>
    <n v="22.285714285714285"/>
    <x v="10"/>
    <x v="10"/>
  </r>
  <r>
    <x v="29"/>
    <x v="388"/>
    <s v="2/16/2016 13:55"/>
    <x v="29"/>
    <d v="1899-12-30T13:55:00"/>
    <x v="0"/>
    <d v="1899-12-30T00:12:00"/>
    <n v="0.2"/>
    <x v="83"/>
    <x v="77"/>
    <n v="1.8"/>
    <n v="9"/>
    <x v="10"/>
    <x v="10"/>
  </r>
  <r>
    <x v="91"/>
    <x v="175"/>
    <s v="2/17/2016 14:04"/>
    <x v="91"/>
    <d v="1899-12-30T14:04:00"/>
    <x v="0"/>
    <d v="1899-12-30T00:46:00"/>
    <n v="0.76666666666666672"/>
    <x v="0"/>
    <x v="77"/>
    <n v="14.7"/>
    <n v="19.173913043478258"/>
    <x v="10"/>
    <x v="10"/>
  </r>
  <r>
    <x v="91"/>
    <x v="37"/>
    <s v="2/17/2016 16:17"/>
    <x v="91"/>
    <d v="1899-12-30T16:17:00"/>
    <x v="0"/>
    <d v="1899-12-30T00:44:00"/>
    <n v="0.73333333333333328"/>
    <x v="83"/>
    <x v="48"/>
    <n v="21.4"/>
    <n v="29.181818181818183"/>
    <x v="10"/>
    <x v="10"/>
  </r>
  <r>
    <x v="30"/>
    <x v="673"/>
    <s v="2/18/2016 8:27"/>
    <x v="30"/>
    <d v="1899-12-30T08:27:00"/>
    <x v="0"/>
    <d v="1899-12-30T00:08:00"/>
    <n v="0.13333333333333333"/>
    <x v="0"/>
    <x v="0"/>
    <n v="23.5"/>
    <n v="176.25"/>
    <x v="10"/>
    <x v="10"/>
  </r>
  <r>
    <x v="30"/>
    <x v="72"/>
    <s v="2/18/2016 14:45"/>
    <x v="30"/>
    <d v="1899-12-30T14:45:00"/>
    <x v="0"/>
    <d v="1899-12-30T00:42:00"/>
    <n v="0.7"/>
    <x v="0"/>
    <x v="21"/>
    <n v="12.7"/>
    <n v="18.142857142857142"/>
    <x v="10"/>
    <x v="10"/>
  </r>
  <r>
    <x v="30"/>
    <x v="289"/>
    <s v="2/18/2016 15:31"/>
    <x v="30"/>
    <d v="1899-12-30T15:31:00"/>
    <x v="0"/>
    <d v="1899-12-30T00:15:00"/>
    <n v="0.25"/>
    <x v="46"/>
    <x v="0"/>
    <n v="6"/>
    <n v="24"/>
    <x v="10"/>
    <x v="10"/>
  </r>
  <r>
    <x v="173"/>
    <x v="60"/>
    <s v="2/19/2016 12:27"/>
    <x v="173"/>
    <d v="1899-12-30T12:27:00"/>
    <x v="0"/>
    <d v="1899-12-30T00:18:00"/>
    <n v="0.3"/>
    <x v="46"/>
    <x v="0"/>
    <n v="7.3"/>
    <n v="24.333333333333332"/>
    <x v="10"/>
    <x v="10"/>
  </r>
  <r>
    <x v="93"/>
    <x v="213"/>
    <s v="2/21/2016 13:12"/>
    <x v="93"/>
    <d v="1899-12-30T13:12:00"/>
    <x v="0"/>
    <d v="1899-12-30T00:21:00"/>
    <n v="0.35"/>
    <x v="0"/>
    <x v="0"/>
    <n v="8.3000000000000007"/>
    <n v="23.714285714285719"/>
    <x v="10"/>
    <x v="10"/>
  </r>
  <r>
    <x v="93"/>
    <x v="674"/>
    <s v="2/21/2016 14:30"/>
    <x v="93"/>
    <d v="1899-12-30T14:30:00"/>
    <x v="0"/>
    <d v="1899-12-30T00:57:00"/>
    <n v="0.95"/>
    <x v="0"/>
    <x v="0"/>
    <n v="22.7"/>
    <n v="23.894736842105264"/>
    <x v="10"/>
    <x v="10"/>
  </r>
  <r>
    <x v="93"/>
    <x v="55"/>
    <s v="2/21/2016 15:03"/>
    <x v="93"/>
    <d v="1899-12-30T15:03:00"/>
    <x v="0"/>
    <d v="1899-12-30T00:27:00"/>
    <n v="0.45"/>
    <x v="0"/>
    <x v="21"/>
    <n v="13"/>
    <n v="28.888888888888889"/>
    <x v="10"/>
    <x v="10"/>
  </r>
  <r>
    <x v="93"/>
    <x v="583"/>
    <s v="2/21/2016 15:31"/>
    <x v="93"/>
    <d v="1899-12-30T15:31:00"/>
    <x v="0"/>
    <d v="1899-12-30T00:17:00"/>
    <n v="0.28333333333333333"/>
    <x v="46"/>
    <x v="161"/>
    <n v="8.1"/>
    <n v="28.588235294117645"/>
    <x v="10"/>
    <x v="10"/>
  </r>
  <r>
    <x v="34"/>
    <x v="675"/>
    <d v="2016-04-03T19:08:00"/>
    <x v="34"/>
    <d v="1899-12-30T19:08:00"/>
    <x v="0"/>
    <d v="1899-12-30T00:06:00"/>
    <n v="0.1"/>
    <x v="2"/>
    <x v="32"/>
    <n v="1.9"/>
    <n v="18.999999999999996"/>
    <x v="10"/>
    <x v="10"/>
  </r>
  <r>
    <x v="144"/>
    <x v="551"/>
    <s v="3/31/2016 13:22"/>
    <x v="144"/>
    <d v="1899-12-30T13:22:00"/>
    <x v="0"/>
    <d v="1899-12-30T00:35:00"/>
    <n v="0.58333333333333337"/>
    <x v="32"/>
    <x v="27"/>
    <n v="16.100000000000001"/>
    <n v="27.6"/>
    <x v="10"/>
    <x v="10"/>
  </r>
  <r>
    <x v="289"/>
    <x v="676"/>
    <s v="4/14/2016 8:09"/>
    <x v="289"/>
    <d v="1899-12-30T08:09:00"/>
    <x v="0"/>
    <d v="1899-12-30T00:40:00"/>
    <n v="0.66666666666666663"/>
    <x v="2"/>
    <x v="130"/>
    <n v="15.3"/>
    <n v="22.950000000000003"/>
    <x v="10"/>
    <x v="10"/>
  </r>
  <r>
    <x v="289"/>
    <x v="557"/>
    <s v="4/14/2016 16:43"/>
    <x v="289"/>
    <d v="1899-12-30T16:43:00"/>
    <x v="0"/>
    <d v="1899-12-30T00:43:00"/>
    <n v="0.71666666666666667"/>
    <x v="12"/>
    <x v="3"/>
    <n v="13.7"/>
    <n v="19.11627906976744"/>
    <x v="10"/>
    <x v="10"/>
  </r>
  <r>
    <x v="99"/>
    <x v="677"/>
    <s v="4/15/2016 12:07"/>
    <x v="99"/>
    <d v="1899-12-30T12:07:00"/>
    <x v="0"/>
    <d v="1899-12-30T00:31:00"/>
    <n v="0.51666666666666672"/>
    <x v="2"/>
    <x v="2"/>
    <n v="11.9"/>
    <n v="23.032258064516128"/>
    <x v="10"/>
    <x v="10"/>
  </r>
  <r>
    <x v="112"/>
    <x v="49"/>
    <s v="6/24/2016 14:20"/>
    <x v="112"/>
    <d v="1899-12-30T14:20:00"/>
    <x v="0"/>
    <d v="1899-12-30T00:19:00"/>
    <n v="0.31666666666666665"/>
    <x v="2"/>
    <x v="32"/>
    <n v="8.4"/>
    <n v="26.526315789473685"/>
    <x v="10"/>
    <x v="10"/>
  </r>
  <r>
    <x v="188"/>
    <x v="261"/>
    <d v="2016-04-07T18:49:00"/>
    <x v="189"/>
    <d v="1899-12-30T18:49:00"/>
    <x v="0"/>
    <d v="1899-12-30T00:26:00"/>
    <n v="0.43333333333333335"/>
    <x v="174"/>
    <x v="6"/>
    <n v="8.6999999999999993"/>
    <n v="20.076923076923073"/>
    <x v="10"/>
    <x v="10"/>
  </r>
  <r>
    <x v="216"/>
    <x v="678"/>
    <d v="2016-07-07T08:50:00"/>
    <x v="216"/>
    <d v="1899-12-30T08:50:00"/>
    <x v="0"/>
    <d v="1899-12-30T00:28:00"/>
    <n v="0.46666666666666667"/>
    <x v="2"/>
    <x v="32"/>
    <n v="7.9"/>
    <n v="16.928571428571431"/>
    <x v="10"/>
    <x v="10"/>
  </r>
  <r>
    <x v="238"/>
    <x v="546"/>
    <s v="8/15/2016 20:30"/>
    <x v="238"/>
    <d v="1899-12-30T20:30:00"/>
    <x v="0"/>
    <d v="1899-12-30T01:22:00"/>
    <n v="1.3666666666666667"/>
    <x v="0"/>
    <x v="0"/>
    <n v="25.9"/>
    <n v="18.95121951219512"/>
    <x v="10"/>
    <x v="10"/>
  </r>
  <r>
    <x v="239"/>
    <x v="138"/>
    <s v="8/16/2016 12:03"/>
    <x v="239"/>
    <d v="1899-12-30T12:03:00"/>
    <x v="0"/>
    <d v="1899-12-30T00:16:00"/>
    <n v="0.26666666666666666"/>
    <x v="46"/>
    <x v="0"/>
    <n v="5.7"/>
    <n v="21.375"/>
    <x v="10"/>
    <x v="10"/>
  </r>
  <r>
    <x v="240"/>
    <x v="679"/>
    <s v="8/17/2016 18:57"/>
    <x v="240"/>
    <d v="1899-12-30T18:57:00"/>
    <x v="0"/>
    <d v="1899-12-30T00:19:00"/>
    <n v="0.31666666666666665"/>
    <x v="0"/>
    <x v="0"/>
    <n v="7.7"/>
    <n v="24.315789473684212"/>
    <x v="10"/>
    <x v="10"/>
  </r>
  <r>
    <x v="290"/>
    <x v="84"/>
    <s v="8/18/2016 19:07"/>
    <x v="290"/>
    <d v="1899-12-30T19:07:00"/>
    <x v="0"/>
    <d v="1899-12-30T00:27:00"/>
    <n v="0.45"/>
    <x v="0"/>
    <x v="0"/>
    <n v="7.6"/>
    <n v="16.888888888888889"/>
    <x v="10"/>
    <x v="10"/>
  </r>
  <r>
    <x v="249"/>
    <x v="113"/>
    <s v="8/29/2016 15:04"/>
    <x v="249"/>
    <d v="1899-12-30T15:04:00"/>
    <x v="0"/>
    <d v="1899-12-30T00:15:00"/>
    <n v="0.25"/>
    <x v="46"/>
    <x v="0"/>
    <n v="5.7"/>
    <n v="22.8"/>
    <x v="10"/>
    <x v="10"/>
  </r>
  <r>
    <x v="291"/>
    <x v="680"/>
    <d v="2016-09-10T14:23:00"/>
    <x v="291"/>
    <d v="1899-12-30T14:23:00"/>
    <x v="0"/>
    <d v="1899-12-30T00:19:00"/>
    <n v="0.31666666666666665"/>
    <x v="0"/>
    <x v="0"/>
    <n v="7.7"/>
    <n v="24.315789473684212"/>
    <x v="10"/>
    <x v="10"/>
  </r>
  <r>
    <x v="279"/>
    <x v="239"/>
    <s v="10/18/2016 11:09"/>
    <x v="279"/>
    <d v="1899-12-30T11:09:00"/>
    <x v="0"/>
    <d v="1899-12-30T00:28:00"/>
    <n v="0.46666666666666667"/>
    <x v="2"/>
    <x v="32"/>
    <n v="7.9"/>
    <n v="16.928571428571431"/>
    <x v="10"/>
    <x v="10"/>
  </r>
  <r>
    <x v="286"/>
    <x v="681"/>
    <d v="2016-04-11T10:18:00"/>
    <x v="286"/>
    <d v="1899-12-30T10:18:00"/>
    <x v="0"/>
    <d v="1899-12-30T00:16:00"/>
    <n v="0.26666666666666666"/>
    <x v="2"/>
    <x v="32"/>
    <n v="7.9"/>
    <n v="29.625"/>
    <x v="10"/>
    <x v="10"/>
  </r>
  <r>
    <x v="199"/>
    <x v="43"/>
    <d v="2016-10-11T10:15:00"/>
    <x v="200"/>
    <d v="1899-12-30T10:15:00"/>
    <x v="0"/>
    <d v="1899-12-30T00:29:00"/>
    <n v="0.48333333333333334"/>
    <x v="11"/>
    <x v="12"/>
    <n v="12.6"/>
    <n v="26.068965517241377"/>
    <x v="10"/>
    <x v="10"/>
  </r>
  <r>
    <x v="199"/>
    <x v="250"/>
    <d v="2016-10-11T15:22:00"/>
    <x v="200"/>
    <d v="1899-12-30T15:22:00"/>
    <x v="0"/>
    <d v="1899-12-30T00:05:00"/>
    <n v="8.3333333333333329E-2"/>
    <x v="7"/>
    <x v="39"/>
    <n v="9.9"/>
    <n v="118.80000000000001"/>
    <x v="10"/>
    <x v="10"/>
  </r>
  <r>
    <x v="288"/>
    <x v="682"/>
    <s v="11/15/2016 14:26"/>
    <x v="288"/>
    <d v="1899-12-30T14:26:00"/>
    <x v="0"/>
    <d v="1899-12-30T00:17:00"/>
    <n v="0.28333333333333333"/>
    <x v="40"/>
    <x v="12"/>
    <n v="9.6999999999999993"/>
    <n v="34.235294117647058"/>
    <x v="10"/>
    <x v="10"/>
  </r>
  <r>
    <x v="288"/>
    <x v="512"/>
    <s v="11/15/2016 21:00"/>
    <x v="288"/>
    <d v="1899-12-30T21:00:00"/>
    <x v="0"/>
    <d v="1899-12-30T00:16:00"/>
    <n v="0.26666666666666666"/>
    <x v="7"/>
    <x v="13"/>
    <n v="11.8"/>
    <n v="44.25"/>
    <x v="10"/>
    <x v="10"/>
  </r>
  <r>
    <x v="161"/>
    <x v="683"/>
    <s v="11/16/2016 20:27"/>
    <x v="161"/>
    <d v="1899-12-30T20:27:00"/>
    <x v="0"/>
    <d v="1899-12-30T00:06:00"/>
    <n v="0.1"/>
    <x v="11"/>
    <x v="184"/>
    <n v="2.2999999999999998"/>
    <n v="22.999999999999996"/>
    <x v="10"/>
    <x v="10"/>
  </r>
  <r>
    <x v="67"/>
    <x v="414"/>
    <s v="11/30/2016 12:35"/>
    <x v="67"/>
    <d v="1899-12-30T12:35:00"/>
    <x v="0"/>
    <d v="1899-12-30T00:42:00"/>
    <n v="0.7"/>
    <x v="3"/>
    <x v="32"/>
    <n v="6.7"/>
    <n v="9.571428571428573"/>
    <x v="10"/>
    <x v="10"/>
  </r>
  <r>
    <x v="73"/>
    <x v="157"/>
    <d v="2016-09-12T13:43:00"/>
    <x v="73"/>
    <d v="1899-12-30T13:43:00"/>
    <x v="0"/>
    <d v="1899-12-30T00:28:00"/>
    <n v="0.46666666666666667"/>
    <x v="20"/>
    <x v="3"/>
    <n v="8.8000000000000007"/>
    <n v="18.857142857142858"/>
    <x v="10"/>
    <x v="10"/>
  </r>
  <r>
    <x v="1"/>
    <x v="68"/>
    <s v="12/17/2016 17:59"/>
    <x v="1"/>
    <d v="1899-12-30T17:59:00"/>
    <x v="0"/>
    <d v="1899-12-30T00:40:00"/>
    <n v="0.66666666666666663"/>
    <x v="0"/>
    <x v="0"/>
    <n v="5.3"/>
    <n v="7.95"/>
    <x v="10"/>
    <x v="10"/>
  </r>
  <r>
    <x v="77"/>
    <x v="111"/>
    <s v="12/19/2016 10:34"/>
    <x v="77"/>
    <d v="1899-12-30T10:34:00"/>
    <x v="0"/>
    <d v="1899-12-30T00:19:00"/>
    <n v="0.31666666666666665"/>
    <x v="46"/>
    <x v="41"/>
    <n v="5.9"/>
    <n v="18.631578947368425"/>
    <x v="10"/>
    <x v="10"/>
  </r>
  <r>
    <x v="78"/>
    <x v="354"/>
    <s v="12/20/2016 14:17"/>
    <x v="78"/>
    <d v="1899-12-30T14:17:00"/>
    <x v="0"/>
    <d v="1899-12-30T00:23:00"/>
    <n v="0.38333333333333336"/>
    <x v="0"/>
    <x v="21"/>
    <n v="5.7"/>
    <n v="14.869565217391305"/>
    <x v="10"/>
    <x v="10"/>
  </r>
  <r>
    <x v="80"/>
    <x v="679"/>
    <s v="12/22/2016 18:47"/>
    <x v="80"/>
    <d v="1899-12-30T18:47:00"/>
    <x v="0"/>
    <d v="1899-12-30T00:09:00"/>
    <n v="0.15"/>
    <x v="0"/>
    <x v="0"/>
    <n v="12.3"/>
    <n v="82.000000000000014"/>
    <x v="10"/>
    <x v="10"/>
  </r>
  <r>
    <x v="82"/>
    <x v="684"/>
    <s v="12/27/2016 7:14"/>
    <x v="82"/>
    <d v="1899-12-30T07:14:00"/>
    <x v="0"/>
    <d v="1899-12-30T00:12:00"/>
    <n v="0.2"/>
    <x v="1"/>
    <x v="1"/>
    <n v="4.9000000000000004"/>
    <n v="24.5"/>
    <x v="10"/>
    <x v="10"/>
  </r>
  <r>
    <x v="203"/>
    <x v="52"/>
    <s v="12/31/2016 13:42"/>
    <x v="204"/>
    <d v="1899-12-30T13:42:00"/>
    <x v="0"/>
    <d v="1899-12-30T00:18:00"/>
    <n v="0.3"/>
    <x v="1"/>
    <x v="0"/>
    <n v="3.9"/>
    <n v="13"/>
    <x v="10"/>
    <x v="10"/>
  </r>
  <r>
    <x v="203"/>
    <x v="685"/>
    <s v="12/31/2016 21:50"/>
    <x v="204"/>
    <d v="1899-12-30T21:50:00"/>
    <x v="0"/>
    <d v="1899-12-30T00:18:00"/>
    <n v="0.3"/>
    <x v="175"/>
    <x v="185"/>
    <n v="6.4"/>
    <n v="21.333333333333336"/>
    <x v="10"/>
    <x v="10"/>
  </r>
  <r>
    <x v="203"/>
    <x v="686"/>
    <s v="12/31/2016 23:51"/>
    <x v="204"/>
    <d v="1899-12-30T23:51:00"/>
    <x v="0"/>
    <d v="1899-12-30T01:43:00"/>
    <n v="1.7166666666666666"/>
    <x v="176"/>
    <x v="186"/>
    <n v="48.2"/>
    <n v="28.077669902912625"/>
    <x v="1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A1E04-7B99-4DE4-98EF-8491335EBAC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Most Common Time Of Day">
  <location ref="A3:B11" firstHeaderRow="1" firstDataRow="1" firstDataCol="1"/>
  <pivotFields count="19">
    <pivotField axis="axisRow" dataField="1" numFmtId="169" showAll="0" nonAutoSortDefault="1">
      <items count="293">
        <item x="41"/>
        <item x="160"/>
        <item x="131"/>
        <item x="84"/>
        <item x="190"/>
        <item x="31"/>
        <item x="32"/>
        <item x="113"/>
        <item x="96"/>
        <item x="141"/>
        <item x="209"/>
        <item x="286"/>
        <item x="170"/>
        <item x="253"/>
        <item x="105"/>
        <item x="107"/>
        <item x="52"/>
        <item x="215"/>
        <item x="97"/>
        <item x="13"/>
        <item x="117"/>
        <item x="225"/>
        <item x="57"/>
        <item x="238"/>
        <item x="242"/>
        <item x="249"/>
        <item x="9"/>
        <item x="73"/>
        <item x="261"/>
        <item x="176"/>
        <item x="274"/>
        <item x="278"/>
        <item x="284"/>
        <item x="119"/>
        <item x="63"/>
        <item x="121"/>
        <item x="75"/>
        <item x="77"/>
        <item x="81"/>
        <item n="Tuesday" x="8"/>
        <item x="68"/>
        <item x="204"/>
        <item x="88"/>
        <item x="89"/>
        <item x="252"/>
        <item x="29"/>
        <item x="231"/>
        <item x="139"/>
        <item x="142"/>
        <item x="210"/>
        <item x="102"/>
        <item x="71"/>
        <item x="147"/>
        <item x="136"/>
        <item x="104"/>
        <item x="180"/>
        <item x="54"/>
        <item x="111"/>
        <item x="155"/>
        <item x="53"/>
        <item x="72"/>
        <item x="55"/>
        <item x="157"/>
        <item x="132"/>
        <item x="239"/>
        <item x="243"/>
        <item x="250"/>
        <item x="257"/>
        <item x="262"/>
        <item x="265"/>
        <item x="199"/>
        <item x="279"/>
        <item x="118"/>
        <item x="85"/>
        <item x="236"/>
        <item x="288"/>
        <item x="66"/>
        <item x="110"/>
        <item x="124"/>
        <item x="78"/>
        <item x="82"/>
        <item x="50"/>
        <item x="168"/>
        <item x="22"/>
        <item x="23"/>
        <item x="91"/>
        <item x="94"/>
        <item x="140"/>
        <item x="206"/>
        <item x="143"/>
        <item x="7"/>
        <item x="145"/>
        <item x="287"/>
        <item x="48"/>
        <item x="18"/>
        <item x="233"/>
        <item x="11"/>
        <item x="184"/>
        <item x="181"/>
        <item x="221"/>
        <item x="223"/>
        <item x="226"/>
        <item x="5"/>
        <item x="273"/>
        <item x="240"/>
        <item x="244"/>
        <item x="218"/>
        <item x="258"/>
        <item x="266"/>
        <item x="47"/>
        <item x="74"/>
        <item x="280"/>
        <item x="194"/>
        <item x="134"/>
        <item x="255"/>
        <item x="161"/>
        <item x="163"/>
        <item x="67"/>
        <item x="220"/>
        <item x="76"/>
        <item x="79"/>
        <item x="129"/>
        <item x="186"/>
        <item x="21"/>
        <item x="87"/>
        <item x="169"/>
        <item x="42"/>
        <item x="198"/>
        <item x="30"/>
        <item x="95"/>
        <item x="33"/>
        <item x="269"/>
        <item x="35"/>
        <item x="207"/>
        <item x="144"/>
        <item x="188"/>
        <item x="289"/>
        <item x="44"/>
        <item x="103"/>
        <item x="165"/>
        <item x="152"/>
        <item x="3"/>
        <item x="211"/>
        <item x="185"/>
        <item x="216"/>
        <item x="115"/>
        <item x="224"/>
        <item x="227"/>
        <item x="98"/>
        <item x="14"/>
        <item x="290"/>
        <item x="245"/>
        <item x="234"/>
        <item x="259"/>
        <item x="267"/>
        <item x="182"/>
        <item x="276"/>
        <item x="281"/>
        <item x="195"/>
        <item x="137"/>
        <item x="192"/>
        <item x="64"/>
        <item x="20"/>
        <item x="237"/>
        <item x="202"/>
        <item x="80"/>
        <item x="2"/>
        <item x="130"/>
        <item x="230"/>
        <item x="86"/>
        <item x="24"/>
        <item x="101"/>
        <item x="69"/>
        <item x="173"/>
        <item x="174"/>
        <item x="177"/>
        <item x="59"/>
        <item x="36"/>
        <item x="39"/>
        <item x="99"/>
        <item x="178"/>
        <item x="45"/>
        <item x="51"/>
        <item x="153"/>
        <item x="106"/>
        <item x="271"/>
        <item x="212"/>
        <item x="112"/>
        <item x="167"/>
        <item x="56"/>
        <item x="222"/>
        <item x="156"/>
        <item x="158"/>
        <item x="122"/>
        <item x="241"/>
        <item x="246"/>
        <item x="133"/>
        <item x="263"/>
        <item x="268"/>
        <item x="219"/>
        <item x="193"/>
        <item x="282"/>
        <item x="196"/>
        <item x="62"/>
        <item x="162"/>
        <item x="201"/>
        <item x="28"/>
        <item x="256"/>
        <item x="126"/>
        <item x="83"/>
        <item x="26"/>
        <item x="251"/>
        <item x="25"/>
        <item x="171"/>
        <item x="92"/>
        <item x="150"/>
        <item x="70"/>
        <item x="37"/>
        <item x="208"/>
        <item x="90"/>
        <item x="100"/>
        <item x="148"/>
        <item x="149"/>
        <item x="114"/>
        <item x="151"/>
        <item x="49"/>
        <item x="146"/>
        <item x="60"/>
        <item x="213"/>
        <item x="12"/>
        <item x="27"/>
        <item x="116"/>
        <item x="189"/>
        <item x="228"/>
        <item x="108"/>
        <item x="191"/>
        <item x="247"/>
        <item x="291"/>
        <item x="264"/>
        <item x="19"/>
        <item x="235"/>
        <item x="277"/>
        <item x="283"/>
        <item x="197"/>
        <item x="179"/>
        <item x="123"/>
        <item x="65"/>
        <item x="16"/>
        <item x="205"/>
        <item x="275"/>
        <item x="1"/>
        <item x="127"/>
        <item x="203"/>
        <item x="135"/>
        <item x="187"/>
        <item x="172"/>
        <item x="93"/>
        <item x="175"/>
        <item x="10"/>
        <item x="138"/>
        <item x="38"/>
        <item x="40"/>
        <item x="34"/>
        <item x="270"/>
        <item x="6"/>
        <item x="166"/>
        <item x="232"/>
        <item x="154"/>
        <item x="46"/>
        <item x="214"/>
        <item x="183"/>
        <item x="4"/>
        <item x="272"/>
        <item x="17"/>
        <item x="229"/>
        <item x="217"/>
        <item x="0"/>
        <item x="248"/>
        <item x="61"/>
        <item x="260"/>
        <item x="254"/>
        <item x="159"/>
        <item x="58"/>
        <item x="285"/>
        <item x="109"/>
        <item x="200"/>
        <item x="15"/>
        <item x="164"/>
        <item x="43"/>
        <item x="120"/>
        <item x="125"/>
        <item x="128"/>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showAll="0"/>
    <pivotField numFmtId="167"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numFmtId="167"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axis="axisRow" showAll="0" defaultSubtotal="0">
      <items count="7">
        <item n="Monday" sd="0" x="1"/>
        <item n="Tuesday" sd="0" x="0"/>
        <item n="Wednesday" sd="0" x="2"/>
        <item n="Thursday" sd="0" x="3"/>
        <item n="Friday" sd="0" x="4"/>
        <item n="Saturday" sd="0" x="5"/>
        <item n="Sunday" sd="0" x="6"/>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4">
        <item x="0"/>
        <item x="1"/>
        <item x="2"/>
        <item x="3"/>
        <item x="4"/>
        <item x="5"/>
        <item x="6"/>
        <item x="7"/>
        <item x="8"/>
        <item x="9"/>
        <item x="10"/>
        <item x="11"/>
        <item x="12"/>
        <item x="13"/>
      </items>
    </pivotField>
  </pivotFields>
  <rowFields count="2">
    <field x="16"/>
    <field x="0"/>
  </rowFields>
  <rowItems count="8">
    <i>
      <x/>
    </i>
    <i>
      <x v="1"/>
    </i>
    <i>
      <x v="2"/>
    </i>
    <i>
      <x v="3"/>
    </i>
    <i>
      <x v="4"/>
    </i>
    <i>
      <x v="5"/>
    </i>
    <i>
      <x v="6"/>
    </i>
    <i t="grand">
      <x/>
    </i>
  </rowItems>
  <colItems count="1">
    <i/>
  </colItems>
  <dataFields count="1">
    <dataField name="Count of Start Date" fld="0" subtotal="count" baseField="0" baseItem="0"/>
  </dataFields>
  <chartFormats count="4">
    <chartFormat chart="0" format="3"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6" count="1" selected="0">
            <x v="4"/>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695122-2D90-4153-895E-1438C1ACC09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27"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axis="axisRow" dataField="1"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showAll="0"/>
    <pivotField axis="axisRow"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axis="axisRow" numFmtId="170"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showAll="0" defaultSubtotal="0">
      <items count="7">
        <item x="0"/>
        <item x="1"/>
        <item x="2"/>
        <item x="3"/>
        <item x="4"/>
        <item x="5"/>
        <item x="6"/>
      </items>
    </pivotField>
    <pivotField showAll="0" defaultSubtotal="0"/>
    <pivotField showAll="0" defaultSubtotal="0">
      <items count="14">
        <item x="0"/>
        <item x="1"/>
        <item x="2"/>
        <item x="3"/>
        <item x="4"/>
        <item x="5"/>
        <item x="6"/>
        <item x="7"/>
        <item x="8"/>
        <item x="9"/>
        <item x="10"/>
        <item x="11"/>
        <item x="12"/>
        <item x="13"/>
      </items>
    </pivotField>
  </pivotFields>
  <rowFields count="3">
    <field x="15"/>
    <field x="14"/>
    <field x="1"/>
  </rowFields>
  <rowItems count="24">
    <i>
      <x v="1"/>
    </i>
    <i>
      <x v="2"/>
    </i>
    <i>
      <x v="3"/>
    </i>
    <i>
      <x v="4"/>
    </i>
    <i>
      <x v="6"/>
    </i>
    <i>
      <x v="7"/>
    </i>
    <i>
      <x v="8"/>
    </i>
    <i>
      <x v="9"/>
    </i>
    <i>
      <x v="10"/>
    </i>
    <i>
      <x v="11"/>
    </i>
    <i>
      <x v="12"/>
    </i>
    <i>
      <x v="13"/>
    </i>
    <i>
      <x v="14"/>
    </i>
    <i>
      <x v="15"/>
    </i>
    <i>
      <x v="16"/>
    </i>
    <i>
      <x v="17"/>
    </i>
    <i>
      <x v="18"/>
    </i>
    <i>
      <x v="19"/>
    </i>
    <i>
      <x v="20"/>
    </i>
    <i>
      <x v="21"/>
    </i>
    <i>
      <x v="22"/>
    </i>
    <i>
      <x v="23"/>
    </i>
    <i>
      <x v="24"/>
    </i>
    <i t="grand">
      <x/>
    </i>
  </rowItems>
  <colItems count="1">
    <i/>
  </colItems>
  <dataFields count="1">
    <dataField name="Count of Start Time" fld="1" subtotal="count" baseField="0" baseItem="0"/>
  </dataFields>
  <chartFormats count="3">
    <chartFormat chart="1"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15"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0B4FBB8-980D-4A65-89C5-C591FC77698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Start Point">
  <location ref="A3:B9"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axis="axisRow" dataField="1" showAll="0" measureFilter="1" sortType="ascending">
      <items count="178">
        <item x="161"/>
        <item x="159"/>
        <item x="20"/>
        <item x="101"/>
        <item x="144"/>
        <item x="143"/>
        <item x="120"/>
        <item x="26"/>
        <item x="13"/>
        <item x="115"/>
        <item x="11"/>
        <item x="14"/>
        <item x="30"/>
        <item x="158"/>
        <item x="6"/>
        <item x="93"/>
        <item x="2"/>
        <item x="9"/>
        <item x="165"/>
        <item x="73"/>
        <item x="21"/>
        <item x="60"/>
        <item x="167"/>
        <item x="83"/>
        <item x="149"/>
        <item x="127"/>
        <item x="148"/>
        <item x="130"/>
        <item x="162"/>
        <item x="131"/>
        <item x="136"/>
        <item x="129"/>
        <item x="33"/>
        <item x="72"/>
        <item x="24"/>
        <item x="51"/>
        <item x="156"/>
        <item x="110"/>
        <item x="107"/>
        <item x="172"/>
        <item x="82"/>
        <item x="42"/>
        <item x="103"/>
        <item x="141"/>
        <item x="105"/>
        <item x="75"/>
        <item x="19"/>
        <item x="80"/>
        <item x="25"/>
        <item x="71"/>
        <item x="48"/>
        <item x="114"/>
        <item x="15"/>
        <item x="76"/>
        <item x="29"/>
        <item x="176"/>
        <item x="88"/>
        <item x="106"/>
        <item x="157"/>
        <item x="23"/>
        <item x="50"/>
        <item x="54"/>
        <item x="12"/>
        <item x="18"/>
        <item x="17"/>
        <item x="67"/>
        <item x="123"/>
        <item x="46"/>
        <item x="126"/>
        <item x="34"/>
        <item x="16"/>
        <item x="138"/>
        <item x="146"/>
        <item x="145"/>
        <item x="1"/>
        <item x="152"/>
        <item x="22"/>
        <item x="175"/>
        <item x="111"/>
        <item x="8"/>
        <item x="65"/>
        <item x="32"/>
        <item x="125"/>
        <item x="47"/>
        <item x="58"/>
        <item x="173"/>
        <item x="134"/>
        <item x="31"/>
        <item x="102"/>
        <item x="108"/>
        <item x="41"/>
        <item x="49"/>
        <item x="137"/>
        <item x="135"/>
        <item x="62"/>
        <item x="160"/>
        <item x="68"/>
        <item x="39"/>
        <item x="35"/>
        <item x="59"/>
        <item x="117"/>
        <item x="78"/>
        <item x="79"/>
        <item x="5"/>
        <item x="44"/>
        <item x="10"/>
        <item x="104"/>
        <item x="38"/>
        <item x="142"/>
        <item x="163"/>
        <item x="84"/>
        <item x="89"/>
        <item x="154"/>
        <item x="81"/>
        <item x="52"/>
        <item x="40"/>
        <item x="96"/>
        <item x="91"/>
        <item x="36"/>
        <item x="61"/>
        <item x="74"/>
        <item x="139"/>
        <item x="116"/>
        <item x="57"/>
        <item x="53"/>
        <item x="109"/>
        <item x="3"/>
        <item x="45"/>
        <item x="128"/>
        <item x="63"/>
        <item x="122"/>
        <item x="113"/>
        <item x="99"/>
        <item x="7"/>
        <item x="155"/>
        <item x="132"/>
        <item x="43"/>
        <item x="64"/>
        <item x="98"/>
        <item x="95"/>
        <item x="27"/>
        <item x="133"/>
        <item x="69"/>
        <item x="153"/>
        <item x="168"/>
        <item x="170"/>
        <item x="87"/>
        <item x="169"/>
        <item x="140"/>
        <item x="118"/>
        <item x="100"/>
        <item x="28"/>
        <item x="174"/>
        <item x="164"/>
        <item x="37"/>
        <item x="85"/>
        <item x="166"/>
        <item x="56"/>
        <item x="121"/>
        <item x="66"/>
        <item x="70"/>
        <item x="94"/>
        <item x="0"/>
        <item x="171"/>
        <item x="151"/>
        <item x="150"/>
        <item x="112"/>
        <item x="86"/>
        <item x="92"/>
        <item x="124"/>
        <item x="147"/>
        <item x="77"/>
        <item x="90"/>
        <item x="97"/>
        <item x="55"/>
        <item x="4"/>
        <item x="119"/>
        <item t="default"/>
      </items>
      <autoSortScope>
        <pivotArea dataOnly="0" outline="0" fieldPosition="0">
          <references count="1">
            <reference field="4294967294" count="1" selected="0">
              <x v="0"/>
            </reference>
          </references>
        </pivotArea>
      </autoSortScope>
    </pivotField>
    <pivotField showAll="0">
      <items count="188">
        <item x="126"/>
        <item x="85"/>
        <item x="169"/>
        <item x="47"/>
        <item x="69"/>
        <item x="158"/>
        <item x="152"/>
        <item x="134"/>
        <item x="123"/>
        <item x="71"/>
        <item x="68"/>
        <item x="59"/>
        <item x="13"/>
        <item x="14"/>
        <item x="136"/>
        <item x="168"/>
        <item x="5"/>
        <item x="143"/>
        <item x="58"/>
        <item x="3"/>
        <item x="148"/>
        <item x="30"/>
        <item x="175"/>
        <item x="11"/>
        <item x="20"/>
        <item x="57"/>
        <item x="180"/>
        <item x="77"/>
        <item x="157"/>
        <item x="80"/>
        <item x="81"/>
        <item x="172"/>
        <item x="145"/>
        <item x="84"/>
        <item x="28"/>
        <item x="50"/>
        <item x="102"/>
        <item x="31"/>
        <item x="166"/>
        <item x="133"/>
        <item x="99"/>
        <item x="51"/>
        <item x="184"/>
        <item x="150"/>
        <item x="117"/>
        <item x="159"/>
        <item x="94"/>
        <item x="66"/>
        <item x="112"/>
        <item x="43"/>
        <item x="163"/>
        <item x="131"/>
        <item x="86"/>
        <item x="185"/>
        <item x="92"/>
        <item x="87"/>
        <item x="101"/>
        <item x="56"/>
        <item x="125"/>
        <item x="63"/>
        <item x="17"/>
        <item x="49"/>
        <item x="116"/>
        <item x="130"/>
        <item x="18"/>
        <item x="44"/>
        <item x="167"/>
        <item x="186"/>
        <item x="177"/>
        <item x="21"/>
        <item x="137"/>
        <item x="26"/>
        <item x="108"/>
        <item x="45"/>
        <item x="154"/>
        <item x="155"/>
        <item x="1"/>
        <item x="162"/>
        <item x="48"/>
        <item x="22"/>
        <item x="119"/>
        <item x="141"/>
        <item x="61"/>
        <item x="67"/>
        <item x="88"/>
        <item x="42"/>
        <item x="55"/>
        <item x="132"/>
        <item x="37"/>
        <item x="25"/>
        <item x="104"/>
        <item x="121"/>
        <item x="107"/>
        <item x="10"/>
        <item x="74"/>
        <item x="95"/>
        <item x="146"/>
        <item x="144"/>
        <item x="115"/>
        <item x="170"/>
        <item x="35"/>
        <item x="19"/>
        <item x="96"/>
        <item x="23"/>
        <item x="73"/>
        <item x="106"/>
        <item x="32"/>
        <item x="40"/>
        <item x="9"/>
        <item x="16"/>
        <item x="34"/>
        <item x="151"/>
        <item x="183"/>
        <item x="161"/>
        <item x="82"/>
        <item x="164"/>
        <item x="156"/>
        <item x="79"/>
        <item x="76"/>
        <item x="39"/>
        <item x="27"/>
        <item x="97"/>
        <item x="8"/>
        <item x="113"/>
        <item x="91"/>
        <item x="70"/>
        <item x="147"/>
        <item x="118"/>
        <item x="54"/>
        <item x="127"/>
        <item x="60"/>
        <item x="98"/>
        <item x="100"/>
        <item x="109"/>
        <item x="2"/>
        <item x="41"/>
        <item x="135"/>
        <item x="90"/>
        <item x="173"/>
        <item x="29"/>
        <item x="12"/>
        <item x="165"/>
        <item x="140"/>
        <item x="171"/>
        <item x="36"/>
        <item x="114"/>
        <item x="53"/>
        <item x="139"/>
        <item x="93"/>
        <item x="178"/>
        <item x="128"/>
        <item x="182"/>
        <item x="52"/>
        <item x="129"/>
        <item x="181"/>
        <item x="149"/>
        <item x="38"/>
        <item x="142"/>
        <item x="24"/>
        <item x="120"/>
        <item x="176"/>
        <item x="33"/>
        <item x="7"/>
        <item x="179"/>
        <item x="83"/>
        <item x="124"/>
        <item x="65"/>
        <item x="64"/>
        <item x="103"/>
        <item x="89"/>
        <item x="0"/>
        <item x="138"/>
        <item x="72"/>
        <item x="160"/>
        <item x="75"/>
        <item x="153"/>
        <item x="111"/>
        <item x="4"/>
        <item x="78"/>
        <item x="174"/>
        <item x="15"/>
        <item x="110"/>
        <item x="62"/>
        <item x="46"/>
        <item x="6"/>
        <item x="105"/>
        <item x="122"/>
        <item t="default"/>
      </items>
    </pivotField>
    <pivotField showAll="0"/>
    <pivotField numFmtId="1" showAll="0"/>
    <pivotField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8">
        <item x="1"/>
        <item x="0"/>
        <item x="2"/>
        <item x="3"/>
        <item x="4"/>
        <item x="5"/>
        <item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6">
    <i>
      <x v="67"/>
    </i>
    <i>
      <x v="175"/>
    </i>
    <i>
      <x v="103"/>
    </i>
    <i>
      <x v="162"/>
    </i>
    <i>
      <x v="16"/>
    </i>
    <i t="grand">
      <x/>
    </i>
  </rowItems>
  <colItems count="1">
    <i/>
  </colItems>
  <dataFields count="1">
    <dataField name="Count of START*" fld="8"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16"/>
          </reference>
        </references>
      </pivotArea>
    </chartFormat>
    <chartFormat chart="14" format="8" series="1">
      <pivotArea type="data" outline="0" fieldPosition="0">
        <references count="1">
          <reference field="4294967294" count="1" selected="0">
            <x v="0"/>
          </reference>
        </references>
      </pivotArea>
    </chartFormat>
    <chartFormat chart="14" format="9">
      <pivotArea type="data" outline="0" fieldPosition="0">
        <references count="2">
          <reference field="4294967294" count="1" selected="0">
            <x v="0"/>
          </reference>
          <reference field="8" count="1" selected="0">
            <x v="16"/>
          </reference>
        </references>
      </pivotArea>
    </chartFormat>
  </chartFormats>
  <pivotTableStyleInfo name="PivotStyleLight16" showRowHeaders="1" showColHeaders="1" showRowStripes="0" showColStripes="0" showLastColumn="1"/>
  <filters count="1">
    <filter fld="8" type="count" evalOrder="-1" id="8"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219251-D10E-402D-887E-25459069BCC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Stop Point">
  <location ref="A3:B9"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items count="178">
        <item x="161"/>
        <item x="159"/>
        <item x="20"/>
        <item x="101"/>
        <item x="144"/>
        <item x="143"/>
        <item x="120"/>
        <item x="26"/>
        <item x="13"/>
        <item x="115"/>
        <item x="11"/>
        <item x="14"/>
        <item x="30"/>
        <item x="158"/>
        <item x="6"/>
        <item x="93"/>
        <item x="2"/>
        <item x="9"/>
        <item x="165"/>
        <item x="73"/>
        <item x="21"/>
        <item x="60"/>
        <item x="167"/>
        <item x="83"/>
        <item x="149"/>
        <item x="127"/>
        <item x="148"/>
        <item x="130"/>
        <item x="162"/>
        <item x="131"/>
        <item x="136"/>
        <item x="129"/>
        <item x="33"/>
        <item x="72"/>
        <item x="24"/>
        <item x="51"/>
        <item x="156"/>
        <item x="110"/>
        <item x="107"/>
        <item x="172"/>
        <item x="82"/>
        <item x="42"/>
        <item x="103"/>
        <item x="141"/>
        <item x="105"/>
        <item x="75"/>
        <item x="19"/>
        <item x="80"/>
        <item x="25"/>
        <item x="71"/>
        <item x="48"/>
        <item x="114"/>
        <item x="15"/>
        <item x="76"/>
        <item x="29"/>
        <item x="176"/>
        <item x="88"/>
        <item x="106"/>
        <item x="157"/>
        <item x="23"/>
        <item x="50"/>
        <item x="54"/>
        <item x="12"/>
        <item x="18"/>
        <item x="17"/>
        <item x="67"/>
        <item x="123"/>
        <item x="46"/>
        <item x="126"/>
        <item x="34"/>
        <item x="16"/>
        <item x="138"/>
        <item x="146"/>
        <item x="145"/>
        <item x="1"/>
        <item x="152"/>
        <item x="22"/>
        <item x="175"/>
        <item x="111"/>
        <item x="8"/>
        <item x="65"/>
        <item x="32"/>
        <item x="125"/>
        <item x="47"/>
        <item x="58"/>
        <item x="173"/>
        <item x="134"/>
        <item x="31"/>
        <item x="102"/>
        <item x="108"/>
        <item x="41"/>
        <item x="49"/>
        <item x="137"/>
        <item x="135"/>
        <item x="62"/>
        <item x="160"/>
        <item x="68"/>
        <item x="39"/>
        <item x="35"/>
        <item x="59"/>
        <item x="117"/>
        <item x="78"/>
        <item x="79"/>
        <item x="5"/>
        <item x="44"/>
        <item x="10"/>
        <item x="104"/>
        <item x="38"/>
        <item x="142"/>
        <item x="163"/>
        <item x="84"/>
        <item x="89"/>
        <item x="154"/>
        <item x="81"/>
        <item x="52"/>
        <item x="40"/>
        <item x="96"/>
        <item x="91"/>
        <item x="36"/>
        <item x="61"/>
        <item x="74"/>
        <item x="139"/>
        <item x="116"/>
        <item x="57"/>
        <item x="53"/>
        <item x="109"/>
        <item x="3"/>
        <item x="45"/>
        <item x="128"/>
        <item x="63"/>
        <item x="122"/>
        <item x="113"/>
        <item x="99"/>
        <item x="7"/>
        <item x="155"/>
        <item x="132"/>
        <item x="43"/>
        <item x="64"/>
        <item x="98"/>
        <item x="95"/>
        <item x="27"/>
        <item x="133"/>
        <item x="69"/>
        <item x="153"/>
        <item x="168"/>
        <item x="170"/>
        <item x="87"/>
        <item x="169"/>
        <item x="140"/>
        <item x="118"/>
        <item x="100"/>
        <item x="28"/>
        <item x="174"/>
        <item x="164"/>
        <item x="37"/>
        <item x="85"/>
        <item x="166"/>
        <item x="56"/>
        <item x="121"/>
        <item x="66"/>
        <item x="70"/>
        <item x="94"/>
        <item x="0"/>
        <item x="171"/>
        <item x="151"/>
        <item x="150"/>
        <item x="112"/>
        <item x="86"/>
        <item x="92"/>
        <item x="124"/>
        <item x="147"/>
        <item x="77"/>
        <item x="90"/>
        <item x="97"/>
        <item x="55"/>
        <item x="4"/>
        <item x="119"/>
        <item t="default"/>
      </items>
    </pivotField>
    <pivotField axis="axisRow" dataField="1" showAll="0" measureFilter="1" sortType="ascending">
      <items count="188">
        <item x="126"/>
        <item x="85"/>
        <item x="169"/>
        <item x="47"/>
        <item x="69"/>
        <item x="158"/>
        <item x="152"/>
        <item x="134"/>
        <item x="123"/>
        <item x="71"/>
        <item x="68"/>
        <item x="59"/>
        <item x="13"/>
        <item x="14"/>
        <item x="136"/>
        <item x="168"/>
        <item x="5"/>
        <item x="143"/>
        <item x="58"/>
        <item x="3"/>
        <item x="148"/>
        <item x="30"/>
        <item x="175"/>
        <item x="11"/>
        <item x="20"/>
        <item x="57"/>
        <item x="180"/>
        <item x="77"/>
        <item x="157"/>
        <item x="80"/>
        <item x="81"/>
        <item x="172"/>
        <item x="145"/>
        <item x="84"/>
        <item x="28"/>
        <item x="50"/>
        <item x="102"/>
        <item x="31"/>
        <item x="166"/>
        <item x="133"/>
        <item x="99"/>
        <item x="51"/>
        <item x="184"/>
        <item x="150"/>
        <item x="117"/>
        <item x="159"/>
        <item x="94"/>
        <item x="66"/>
        <item x="112"/>
        <item x="43"/>
        <item x="163"/>
        <item x="131"/>
        <item x="86"/>
        <item x="185"/>
        <item x="92"/>
        <item x="87"/>
        <item x="101"/>
        <item x="56"/>
        <item x="125"/>
        <item x="63"/>
        <item x="17"/>
        <item x="49"/>
        <item x="116"/>
        <item x="130"/>
        <item x="18"/>
        <item x="44"/>
        <item x="167"/>
        <item x="186"/>
        <item x="177"/>
        <item x="21"/>
        <item x="137"/>
        <item x="26"/>
        <item x="108"/>
        <item x="45"/>
        <item x="154"/>
        <item x="155"/>
        <item x="1"/>
        <item x="162"/>
        <item x="48"/>
        <item x="22"/>
        <item x="119"/>
        <item x="141"/>
        <item x="61"/>
        <item x="67"/>
        <item x="88"/>
        <item x="42"/>
        <item x="55"/>
        <item x="132"/>
        <item x="37"/>
        <item x="25"/>
        <item x="104"/>
        <item x="121"/>
        <item x="107"/>
        <item x="10"/>
        <item x="74"/>
        <item x="95"/>
        <item x="146"/>
        <item x="144"/>
        <item x="115"/>
        <item x="170"/>
        <item x="35"/>
        <item x="19"/>
        <item x="96"/>
        <item x="23"/>
        <item x="73"/>
        <item x="106"/>
        <item x="32"/>
        <item x="40"/>
        <item x="9"/>
        <item x="16"/>
        <item x="34"/>
        <item x="151"/>
        <item x="183"/>
        <item x="161"/>
        <item x="82"/>
        <item x="164"/>
        <item x="156"/>
        <item x="79"/>
        <item x="76"/>
        <item x="39"/>
        <item x="27"/>
        <item x="97"/>
        <item x="8"/>
        <item x="113"/>
        <item x="91"/>
        <item x="70"/>
        <item x="147"/>
        <item x="118"/>
        <item x="54"/>
        <item x="127"/>
        <item x="60"/>
        <item x="98"/>
        <item x="100"/>
        <item x="109"/>
        <item x="2"/>
        <item x="41"/>
        <item x="135"/>
        <item x="90"/>
        <item x="173"/>
        <item x="29"/>
        <item x="12"/>
        <item x="165"/>
        <item x="140"/>
        <item x="171"/>
        <item x="36"/>
        <item x="114"/>
        <item x="53"/>
        <item x="139"/>
        <item x="93"/>
        <item x="178"/>
        <item x="128"/>
        <item x="182"/>
        <item x="52"/>
        <item x="129"/>
        <item x="181"/>
        <item x="149"/>
        <item x="38"/>
        <item x="142"/>
        <item x="24"/>
        <item x="120"/>
        <item x="176"/>
        <item x="33"/>
        <item x="7"/>
        <item x="179"/>
        <item x="83"/>
        <item x="124"/>
        <item x="65"/>
        <item x="64"/>
        <item x="103"/>
        <item x="89"/>
        <item x="0"/>
        <item x="138"/>
        <item x="72"/>
        <item x="160"/>
        <item x="75"/>
        <item x="153"/>
        <item x="111"/>
        <item x="4"/>
        <item x="78"/>
        <item x="174"/>
        <item x="15"/>
        <item x="110"/>
        <item x="62"/>
        <item x="46"/>
        <item x="6"/>
        <item x="105"/>
        <item x="122"/>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8">
        <item x="1"/>
        <item x="0"/>
        <item x="2"/>
        <item x="3"/>
        <item x="4"/>
        <item x="5"/>
        <item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6">
    <i>
      <x v="69"/>
    </i>
    <i>
      <x v="184"/>
    </i>
    <i>
      <x v="106"/>
    </i>
    <i>
      <x v="170"/>
    </i>
    <i>
      <x v="19"/>
    </i>
    <i t="grand">
      <x/>
    </i>
  </rowItems>
  <colItems count="1">
    <i/>
  </colItems>
  <dataFields count="1">
    <dataField name="Count of STOP*" fld="9" subtotal="count" baseField="0" baseItem="0"/>
  </dataFields>
  <chartFormats count="4">
    <chartFormat chart="1" format="2" series="1">
      <pivotArea type="data" outline="0" fieldPosition="0">
        <references count="1">
          <reference field="4294967294" count="1" selected="0">
            <x v="0"/>
          </reference>
        </references>
      </pivotArea>
    </chartFormat>
    <chartFormat chart="1" format="3">
      <pivotArea type="data" outline="0" fieldPosition="0">
        <references count="2">
          <reference field="4294967294" count="1" selected="0">
            <x v="0"/>
          </reference>
          <reference field="9" count="1" selected="0">
            <x v="19"/>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9" count="1" selected="0">
            <x v="19"/>
          </reference>
        </references>
      </pivotArea>
    </chartFormat>
  </chartFormats>
  <pivotTableStyleInfo name="PivotStyleLight16" showRowHeaders="1" showColHeaders="1" showRowStripes="0" showColStripes="0" showLastColumn="1"/>
  <filters count="1">
    <filter fld="9"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D6FE5A-6A68-4019-9070-13A454E73A3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Purpose">
  <location ref="A3:B15" firstHeaderRow="1" firstDataRow="1" firstDataCol="1"/>
  <pivotFields count="19">
    <pivotField numFmtId="169" showAll="0" nonAutoSortDefault="1">
      <items count="293">
        <item x="41"/>
        <item x="160"/>
        <item x="131"/>
        <item x="84"/>
        <item x="190"/>
        <item x="31"/>
        <item x="32"/>
        <item x="113"/>
        <item x="96"/>
        <item x="141"/>
        <item x="209"/>
        <item x="286"/>
        <item x="170"/>
        <item x="253"/>
        <item x="105"/>
        <item x="107"/>
        <item x="52"/>
        <item x="215"/>
        <item x="97"/>
        <item x="13"/>
        <item x="117"/>
        <item x="225"/>
        <item x="57"/>
        <item x="238"/>
        <item x="242"/>
        <item x="249"/>
        <item x="9"/>
        <item x="73"/>
        <item x="261"/>
        <item x="176"/>
        <item x="274"/>
        <item x="278"/>
        <item x="284"/>
        <item x="119"/>
        <item x="63"/>
        <item x="121"/>
        <item x="75"/>
        <item x="77"/>
        <item x="81"/>
        <item n="Tuesday" x="8"/>
        <item x="68"/>
        <item x="204"/>
        <item x="88"/>
        <item x="89"/>
        <item x="252"/>
        <item x="29"/>
        <item x="231"/>
        <item x="139"/>
        <item x="142"/>
        <item x="210"/>
        <item x="102"/>
        <item x="71"/>
        <item x="147"/>
        <item x="136"/>
        <item x="104"/>
        <item x="180"/>
        <item x="54"/>
        <item x="111"/>
        <item x="155"/>
        <item x="53"/>
        <item x="72"/>
        <item x="55"/>
        <item x="157"/>
        <item x="132"/>
        <item x="239"/>
        <item x="243"/>
        <item x="250"/>
        <item x="257"/>
        <item x="262"/>
        <item x="265"/>
        <item x="199"/>
        <item x="279"/>
        <item x="118"/>
        <item x="85"/>
        <item x="236"/>
        <item x="288"/>
        <item x="66"/>
        <item x="110"/>
        <item x="124"/>
        <item x="78"/>
        <item x="82"/>
        <item x="50"/>
        <item x="168"/>
        <item x="22"/>
        <item x="23"/>
        <item x="91"/>
        <item x="94"/>
        <item x="140"/>
        <item x="206"/>
        <item x="143"/>
        <item x="7"/>
        <item x="145"/>
        <item x="287"/>
        <item x="48"/>
        <item x="18"/>
        <item x="233"/>
        <item x="11"/>
        <item x="184"/>
        <item x="181"/>
        <item x="221"/>
        <item x="223"/>
        <item x="226"/>
        <item x="5"/>
        <item x="273"/>
        <item x="240"/>
        <item x="244"/>
        <item x="218"/>
        <item x="258"/>
        <item x="266"/>
        <item x="47"/>
        <item x="74"/>
        <item x="280"/>
        <item x="194"/>
        <item x="134"/>
        <item x="255"/>
        <item x="161"/>
        <item x="163"/>
        <item x="67"/>
        <item x="220"/>
        <item x="76"/>
        <item x="79"/>
        <item x="129"/>
        <item x="186"/>
        <item x="21"/>
        <item x="87"/>
        <item x="169"/>
        <item x="42"/>
        <item x="198"/>
        <item x="30"/>
        <item x="95"/>
        <item x="33"/>
        <item x="269"/>
        <item x="35"/>
        <item x="207"/>
        <item x="144"/>
        <item x="188"/>
        <item x="289"/>
        <item x="44"/>
        <item x="103"/>
        <item x="165"/>
        <item x="152"/>
        <item x="3"/>
        <item x="211"/>
        <item x="185"/>
        <item x="216"/>
        <item x="115"/>
        <item x="224"/>
        <item x="227"/>
        <item x="98"/>
        <item x="14"/>
        <item x="290"/>
        <item x="245"/>
        <item x="234"/>
        <item x="259"/>
        <item x="267"/>
        <item x="182"/>
        <item x="276"/>
        <item x="281"/>
        <item x="195"/>
        <item x="137"/>
        <item x="192"/>
        <item x="64"/>
        <item x="20"/>
        <item x="237"/>
        <item x="202"/>
        <item x="80"/>
        <item x="2"/>
        <item x="130"/>
        <item x="230"/>
        <item x="86"/>
        <item x="24"/>
        <item x="101"/>
        <item x="69"/>
        <item x="173"/>
        <item x="174"/>
        <item x="177"/>
        <item x="59"/>
        <item x="36"/>
        <item x="39"/>
        <item x="99"/>
        <item x="178"/>
        <item x="45"/>
        <item x="51"/>
        <item x="153"/>
        <item x="106"/>
        <item x="271"/>
        <item x="212"/>
        <item x="112"/>
        <item x="167"/>
        <item x="56"/>
        <item x="222"/>
        <item x="156"/>
        <item x="158"/>
        <item x="122"/>
        <item x="241"/>
        <item x="246"/>
        <item x="133"/>
        <item x="263"/>
        <item x="268"/>
        <item x="219"/>
        <item x="193"/>
        <item x="282"/>
        <item x="196"/>
        <item x="62"/>
        <item x="162"/>
        <item x="201"/>
        <item x="28"/>
        <item x="256"/>
        <item x="126"/>
        <item x="83"/>
        <item x="26"/>
        <item x="251"/>
        <item x="25"/>
        <item x="171"/>
        <item x="92"/>
        <item x="150"/>
        <item x="70"/>
        <item x="37"/>
        <item x="208"/>
        <item x="90"/>
        <item x="100"/>
        <item x="148"/>
        <item x="149"/>
        <item x="114"/>
        <item x="151"/>
        <item x="49"/>
        <item x="146"/>
        <item x="60"/>
        <item x="213"/>
        <item x="12"/>
        <item x="27"/>
        <item x="116"/>
        <item x="189"/>
        <item x="228"/>
        <item x="108"/>
        <item x="191"/>
        <item x="247"/>
        <item x="291"/>
        <item x="264"/>
        <item x="19"/>
        <item x="235"/>
        <item x="277"/>
        <item x="283"/>
        <item x="197"/>
        <item x="179"/>
        <item x="123"/>
        <item x="65"/>
        <item x="16"/>
        <item x="205"/>
        <item x="275"/>
        <item x="1"/>
        <item x="127"/>
        <item x="203"/>
        <item x="135"/>
        <item x="187"/>
        <item x="172"/>
        <item x="93"/>
        <item x="175"/>
        <item x="10"/>
        <item x="138"/>
        <item x="38"/>
        <item x="40"/>
        <item x="34"/>
        <item x="270"/>
        <item x="6"/>
        <item x="166"/>
        <item x="232"/>
        <item x="154"/>
        <item x="46"/>
        <item x="214"/>
        <item x="183"/>
        <item x="4"/>
        <item x="272"/>
        <item x="17"/>
        <item x="229"/>
        <item x="217"/>
        <item x="0"/>
        <item x="248"/>
        <item x="61"/>
        <item x="260"/>
        <item x="254"/>
        <item x="159"/>
        <item x="58"/>
        <item x="285"/>
        <item x="109"/>
        <item x="200"/>
        <item x="15"/>
        <item x="164"/>
        <item x="43"/>
        <item x="120"/>
        <item x="125"/>
        <item x="128"/>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axis="axisRow" dataField="1" showAll="0">
      <items count="12">
        <item x="0"/>
        <item x="1"/>
        <item x="2"/>
        <item x="3"/>
        <item x="4"/>
        <item x="5"/>
        <item x="6"/>
        <item x="7"/>
        <item x="8"/>
        <item x="9"/>
        <item x="10"/>
        <item t="default"/>
      </items>
    </pivotField>
    <pivotField numFmtId="167"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numFmtId="167"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showAll="0" defaultSubtotal="0">
      <items count="7">
        <item n="Monday" sd="0" x="1"/>
        <item n="Tuesday" sd="0" x="0"/>
        <item n="Wednesday" sd="0" x="2"/>
        <item n="Thursday" sd="0" x="3"/>
        <item n="Friday" sd="0" x="4"/>
        <item n="Saturday" sd="0" x="5"/>
        <item n="Sunday" sd="0" x="6"/>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4">
        <item x="0"/>
        <item x="1"/>
        <item x="2"/>
        <item x="3"/>
        <item x="4"/>
        <item x="5"/>
        <item x="6"/>
        <item x="7"/>
        <item x="8"/>
        <item x="9"/>
        <item x="10"/>
        <item x="11"/>
        <item x="12"/>
        <item x="13"/>
      </items>
    </pivotField>
  </pivotFields>
  <rowFields count="1">
    <field x="13"/>
  </rowFields>
  <rowItems count="12">
    <i>
      <x/>
    </i>
    <i>
      <x v="1"/>
    </i>
    <i>
      <x v="2"/>
    </i>
    <i>
      <x v="3"/>
    </i>
    <i>
      <x v="4"/>
    </i>
    <i>
      <x v="5"/>
    </i>
    <i>
      <x v="6"/>
    </i>
    <i>
      <x v="7"/>
    </i>
    <i>
      <x v="8"/>
    </i>
    <i>
      <x v="9"/>
    </i>
    <i>
      <x v="10"/>
    </i>
    <i t="grand">
      <x/>
    </i>
  </rowItems>
  <colItems count="1">
    <i/>
  </colItems>
  <dataFields count="1">
    <dataField name="Count of PURPOSE" fld="13" subtotal="count" baseField="0" baseItem="0"/>
  </dataFields>
  <chartFormats count="4">
    <chartFormat chart="15"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 chart="17" format="9">
      <pivotArea type="data" outline="0" fieldPosition="0">
        <references count="2">
          <reference field="4294967294" count="1" selected="0">
            <x v="0"/>
          </reference>
          <reference field="1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7E4E32-7199-43A6-9185-429A207394C5}"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Categories">
  <location ref="A3:B6"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numFmtId="167" showAll="0">
      <items count="688">
        <item sd="0" x="179"/>
        <item sd="0" x="628"/>
        <item sd="0" x="548"/>
        <item sd="0" x="420"/>
        <item sd="0" x="217"/>
        <item sd="0" x="162"/>
        <item sd="0" x="276"/>
        <item sd="0" x="177"/>
        <item sd="0" x="509"/>
        <item sd="0" x="146"/>
        <item sd="0" x="419"/>
        <item sd="0" x="311"/>
        <item sd="0" x="121"/>
        <item sd="0" x="76"/>
        <item sd="0" x="222"/>
        <item sd="0" x="467"/>
        <item sd="0" x="641"/>
        <item sd="0" x="458"/>
        <item sd="0" x="273"/>
        <item sd="0" x="463"/>
        <item sd="0" x="426"/>
        <item sd="0" x="12"/>
        <item sd="0" x="390"/>
        <item sd="0" x="510"/>
        <item sd="0" x="178"/>
        <item sd="0" x="38"/>
        <item sd="0" x="382"/>
        <item sd="0" x="374"/>
        <item sd="0" x="304"/>
        <item sd="0" x="400"/>
        <item sd="0" x="511"/>
        <item sd="0" x="64"/>
        <item sd="0" x="272"/>
        <item sd="0" x="611"/>
        <item sd="0" x="558"/>
        <item sd="0" x="684"/>
        <item sd="0" x="267"/>
        <item sd="0" x="676"/>
        <item sd="0" x="386"/>
        <item sd="0" x="449"/>
        <item sd="0" x="338"/>
        <item sd="0" x="443"/>
        <item sd="0" x="378"/>
        <item sd="0" x="646"/>
        <item sd="0" x="565"/>
        <item sd="0" x="477"/>
        <item sd="0" x="351"/>
        <item sd="0" x="606"/>
        <item sd="0" x="586"/>
        <item sd="0" x="425"/>
        <item sd="0" x="631"/>
        <item sd="0" x="566"/>
        <item sd="0" x="673"/>
        <item sd="0" x="671"/>
        <item sd="0" x="678"/>
        <item sd="0" x="300"/>
        <item sd="0" x="576"/>
        <item sd="0" x="394"/>
        <item sd="0" x="468"/>
        <item sd="0" x="343"/>
        <item sd="0" x="614"/>
        <item sd="0" x="143"/>
        <item sd="0" x="268"/>
        <item sd="0" x="194"/>
        <item sd="0" x="130"/>
        <item sd="0" x="264"/>
        <item sd="0" x="567"/>
        <item sd="0" x="501"/>
        <item sd="0" x="617"/>
        <item sd="0" x="625"/>
        <item sd="0" x="515"/>
        <item sd="0" x="632"/>
        <item sd="0" x="577"/>
        <item sd="0" x="670"/>
        <item sd="0" x="520"/>
        <item sd="0" x="368"/>
        <item sd="0" x="67"/>
        <item sd="0" x="110"/>
        <item sd="0" x="421"/>
        <item sd="0" x="260"/>
        <item sd="0" x="204"/>
        <item sd="0" x="464"/>
        <item sd="0" x="142"/>
        <item sd="0" x="69"/>
        <item sd="0" x="490"/>
        <item sd="0" x="14"/>
        <item sd="0" x="339"/>
        <item sd="0" x="369"/>
        <item sd="0" x="45"/>
        <item sd="0" x="358"/>
        <item sd="0" x="375"/>
        <item sd="0" x="578"/>
        <item sd="0" x="31"/>
        <item sd="0" x="635"/>
        <item sd="0" x="392"/>
        <item sd="0" x="85"/>
        <item sd="0" x="242"/>
        <item sd="0" x="516"/>
        <item sd="0" x="345"/>
        <item sd="0" x="485"/>
        <item sd="0" x="43"/>
        <item sd="0" x="259"/>
        <item sd="0" x="525"/>
        <item sd="0" x="604"/>
        <item sd="0" x="527"/>
        <item sd="0" x="636"/>
        <item sd="0" x="596"/>
        <item sd="0" x="0"/>
        <item sd="0" x="681"/>
        <item sd="0" x="568"/>
        <item sd="0" x="383"/>
        <item sd="0" x="395"/>
        <item sd="0" x="647"/>
        <item sd="0" x="87"/>
        <item sd="0" x="210"/>
        <item sd="0" x="111"/>
        <item sd="0" x="626"/>
        <item sd="0" x="570"/>
        <item sd="0" x="176"/>
        <item sd="0" x="27"/>
        <item sd="0" x="659"/>
        <item sd="0" x="370"/>
        <item sd="0" x="517"/>
        <item sd="0" x="602"/>
        <item sd="0" x="243"/>
        <item sd="0" x="18"/>
        <item sd="0" x="603"/>
        <item sd="0" x="17"/>
        <item sd="0" x="206"/>
        <item sd="0" x="569"/>
        <item sd="0" x="661"/>
        <item sd="0" x="340"/>
        <item sd="0" x="33"/>
        <item sd="0" x="356"/>
        <item sd="0" x="460"/>
        <item sd="0" x="239"/>
        <item sd="0" x="537"/>
        <item sd="0" x="672"/>
        <item sd="0" x="545"/>
        <item sd="0" x="478"/>
        <item sd="0" x="310"/>
        <item sd="0" x="518"/>
        <item sd="0" x="461"/>
        <item sd="0" x="662"/>
        <item sd="0" x="360"/>
        <item sd="0" x="571"/>
        <item sd="0" x="59"/>
        <item sd="0" x="502"/>
        <item sd="0" x="92"/>
        <item sd="0" x="140"/>
        <item sd="0" x="482"/>
        <item sd="0" x="519"/>
        <item sd="0" x="484"/>
        <item sd="0" x="538"/>
        <item sd="0" x="36"/>
        <item sd="0" x="607"/>
        <item sd="0" x="471"/>
        <item sd="0" x="21"/>
        <item sd="0" x="86"/>
        <item sd="0" x="413"/>
        <item sd="0" x="640"/>
        <item sd="0" x="618"/>
        <item sd="0" x="346"/>
        <item sd="0" x="112"/>
        <item sd="0" x="314"/>
        <item sd="0" x="226"/>
        <item sd="0" x="469"/>
        <item sd="0" x="453"/>
        <item sd="0" x="265"/>
        <item sd="0" x="337"/>
        <item sd="0" x="677"/>
        <item sd="0" x="539"/>
        <item sd="0" x="137"/>
        <item sd="0" x="462"/>
        <item sd="0" x="218"/>
        <item sd="0" x="233"/>
        <item sd="0" x="256"/>
        <item sd="0" x="472"/>
        <item sd="0" x="379"/>
        <item sd="0" x="138"/>
        <item sd="0" x="357"/>
        <item sd="0" x="521"/>
        <item sd="0" x="652"/>
        <item sd="0" x="554"/>
        <item sd="0" x="414"/>
        <item sd="0" x="309"/>
        <item sd="0" x="608"/>
        <item sd="0" x="118"/>
        <item sd="0" x="488"/>
        <item sd="0" x="89"/>
        <item sd="0" x="598"/>
        <item sd="0" x="444"/>
        <item sd="0" x="167"/>
        <item sd="0" x="590"/>
        <item sd="0" x="496"/>
        <item sd="0" x="579"/>
        <item sd="0" x="396"/>
        <item sd="0" x="60"/>
        <item sd="0" x="34"/>
        <item sd="0" x="522"/>
        <item sd="0" x="328"/>
        <item sd="0" x="251"/>
        <item sd="0" x="540"/>
        <item sd="0" x="434"/>
        <item sd="0" x="23"/>
        <item sd="0" x="174"/>
        <item sd="0" x="22"/>
        <item sd="0" x="56"/>
        <item sd="0" x="393"/>
        <item sd="0" x="648"/>
        <item sd="0" x="223"/>
        <item sd="0" x="15"/>
        <item sd="0" x="149"/>
        <item sd="0" x="391"/>
        <item sd="0" x="123"/>
        <item sd="0" x="28"/>
        <item sd="0" x="445"/>
        <item sd="0" x="376"/>
        <item sd="0" x="470"/>
        <item sd="0" x="479"/>
        <item sd="0" x="446"/>
        <item sd="0" x="555"/>
        <item sd="0" x="551"/>
        <item sd="0" x="524"/>
        <item sd="0" x="48"/>
        <item sd="0" x="213"/>
        <item sd="0" x="46"/>
        <item sd="0" x="232"/>
        <item sd="0" x="241"/>
        <item sd="0" x="246"/>
        <item sd="0" x="649"/>
        <item sd="0" x="150"/>
        <item sd="0" x="70"/>
        <item sd="0" x="373"/>
        <item sd="0" x="363"/>
        <item sd="0" x="203"/>
        <item sd="0" x="205"/>
        <item sd="0" x="665"/>
        <item sd="0" x="429"/>
        <item sd="0" x="94"/>
        <item sd="0" x="214"/>
        <item sd="0" x="455"/>
        <item sd="0" x="403"/>
        <item sd="0" x="301"/>
        <item sd="0" x="397"/>
        <item sd="0" x="207"/>
        <item sd="0" x="157"/>
        <item sd="0" x="224"/>
        <item sd="0" x="175"/>
        <item sd="0" x="587"/>
        <item sd="0" x="422"/>
        <item sd="0" x="201"/>
        <item sd="0" x="52"/>
        <item sd="0" x="26"/>
        <item sd="0" x="234"/>
        <item sd="0" x="350"/>
        <item sd="0" x="552"/>
        <item sd="0" x="7"/>
        <item sd="0" x="230"/>
        <item sd="0" x="674"/>
        <item sd="0" x="278"/>
        <item sd="0" x="334"/>
        <item sd="0" x="326"/>
        <item sd="0" x="599"/>
        <item sd="0" x="44"/>
        <item sd="0" x="657"/>
        <item sd="0" x="279"/>
        <item sd="0" x="388"/>
        <item sd="0" x="286"/>
        <item sd="0" x="663"/>
        <item sd="0" x="526"/>
        <item sd="0" x="588"/>
        <item sd="0" x="129"/>
        <item sd="0" x="553"/>
        <item sd="0" x="219"/>
        <item sd="0" x="354"/>
        <item sd="0" x="148"/>
        <item sd="0" x="2"/>
        <item sd="0" x="381"/>
        <item sd="0" x="465"/>
        <item sd="0" x="666"/>
        <item sd="0" x="247"/>
        <item sd="0" x="49"/>
        <item sd="0" x="637"/>
        <item sd="0" x="72"/>
        <item sd="0" x="680"/>
        <item sd="0" x="29"/>
        <item sd="0" x="365"/>
        <item sd="0" x="486"/>
        <item sd="0" x="682"/>
        <item sd="0" x="528"/>
        <item sd="0" x="8"/>
        <item sd="0" x="154"/>
        <item sd="0" x="454"/>
        <item sd="0" x="411"/>
        <item sd="0" x="669"/>
        <item sd="0" x="196"/>
        <item sd="0" x="447"/>
        <item sd="0" x="364"/>
        <item sd="0" x="437"/>
        <item sd="0" x="122"/>
        <item sd="0" x="101"/>
        <item sd="0" x="315"/>
        <item sd="0" x="619"/>
        <item sd="0" x="231"/>
        <item sd="0" x="168"/>
        <item sd="0" x="158"/>
        <item sd="0" x="71"/>
        <item sd="0" x="55"/>
        <item sd="0" x="275"/>
        <item sd="0" x="5"/>
        <item sd="0" x="10"/>
        <item sd="0" x="612"/>
        <item sd="0" x="20"/>
        <item sd="0" x="237"/>
        <item sd="0" x="253"/>
        <item sd="0" x="572"/>
        <item sd="0" x="30"/>
        <item sd="0" x="542"/>
        <item sd="0" x="113"/>
        <item sd="0" x="371"/>
        <item sd="0" x="197"/>
        <item sd="0" x="235"/>
        <item sd="0" x="642"/>
        <item sd="0" x="439"/>
        <item sd="0" x="556"/>
        <item sd="0" x="355"/>
        <item sd="0" x="459"/>
        <item sd="0" x="344"/>
        <item sd="0" x="225"/>
        <item sd="0" x="73"/>
        <item sd="0" x="589"/>
        <item sd="0" x="352"/>
        <item sd="0" x="104"/>
        <item sd="0" x="280"/>
        <item sd="0" x="359"/>
        <item sd="0" x="440"/>
        <item sd="0" x="24"/>
        <item sd="0" x="583"/>
        <item sd="0" x="543"/>
        <item sd="0" x="289"/>
        <item sd="0" x="250"/>
        <item sd="0" x="4"/>
        <item sd="0" x="564"/>
        <item sd="0" x="432"/>
        <item sd="0" x="593"/>
        <item sd="0" x="664"/>
        <item sd="0" x="13"/>
        <item sd="0" x="42"/>
        <item sd="0" x="533"/>
        <item sd="0" x="436"/>
        <item sd="0" x="54"/>
        <item sd="0" x="573"/>
        <item sd="0" x="37"/>
        <item sd="0" x="269"/>
        <item sd="0" x="258"/>
        <item sd="0" x="166"/>
        <item sd="0" x="287"/>
        <item sd="0" x="1"/>
        <item sd="0" x="295"/>
        <item sd="0" x="187"/>
        <item sd="0" x="227"/>
        <item sd="0" x="119"/>
        <item sd="0" x="294"/>
        <item sd="0" x="638"/>
        <item sd="0" x="549"/>
        <item sd="0" x="620"/>
        <item sd="0" x="541"/>
        <item sd="0" x="544"/>
        <item sd="0" x="90"/>
        <item sd="0" x="430"/>
        <item sd="0" x="667"/>
        <item sd="0" x="211"/>
        <item sd="0" x="254"/>
        <item sd="0" x="296"/>
        <item sd="0" x="658"/>
        <item sd="0" x="244"/>
        <item sd="0" x="557"/>
        <item sd="0" x="238"/>
        <item sd="0" x="353"/>
        <item sd="0" x="181"/>
        <item sd="0" x="481"/>
        <item sd="0" x="270"/>
        <item sd="0" x="333"/>
        <item sd="0" x="624"/>
        <item sd="0" x="412"/>
        <item sd="0" x="530"/>
        <item sd="0" x="508"/>
        <item sd="0" x="236"/>
        <item sd="0" x="208"/>
        <item sd="0" x="595"/>
        <item sd="0" x="141"/>
        <item sd="0" x="559"/>
        <item sd="0" x="487"/>
        <item sd="0" x="3"/>
        <item sd="0" x="128"/>
        <item sd="0" x="212"/>
        <item sd="0" x="124"/>
        <item sd="0" x="473"/>
        <item sd="0" x="83"/>
        <item sd="0" x="248"/>
        <item sd="0" x="25"/>
        <item sd="0" x="580"/>
        <item sd="0" x="639"/>
        <item sd="0" x="456"/>
        <item sd="0" x="245"/>
        <item sd="0" x="591"/>
        <item sd="0" x="75"/>
        <item sd="0" x="134"/>
        <item sd="0" x="532"/>
        <item sd="0" x="41"/>
        <item sd="0" x="380"/>
        <item sd="0" x="401"/>
        <item sd="0" x="433"/>
        <item sd="0" x="139"/>
        <item sd="0" x="180"/>
        <item sd="0" x="132"/>
        <item sd="0" x="105"/>
        <item sd="0" x="53"/>
        <item sd="0" x="574"/>
        <item sd="0" x="302"/>
        <item sd="0" x="209"/>
        <item sd="0" x="57"/>
        <item sd="0" x="480"/>
        <item sd="0" x="441"/>
        <item sd="0" x="483"/>
        <item sd="0" x="79"/>
        <item sd="0" x="283"/>
        <item sd="0" x="108"/>
        <item sd="0" x="575"/>
        <item sd="0" x="366"/>
        <item sd="0" x="171"/>
        <item sd="0" x="474"/>
        <item sd="0" x="308"/>
        <item sd="0" x="215"/>
        <item sd="0" x="645"/>
        <item sd="0" x="184"/>
        <item sd="0" x="229"/>
        <item sd="0" x="169"/>
        <item sd="0" x="125"/>
        <item sd="0" x="63"/>
        <item sd="0" x="68"/>
        <item sd="0" x="266"/>
        <item sd="0" x="601"/>
        <item sd="0" x="622"/>
        <item sd="0" x="257"/>
        <item sd="0" x="600"/>
        <item sd="0" x="126"/>
        <item sd="0" x="78"/>
        <item sd="0" x="505"/>
        <item sd="0" x="349"/>
        <item sd="0" x="348"/>
        <item sd="0" x="9"/>
        <item sd="0" x="303"/>
        <item sd="0" x="653"/>
        <item sd="0" x="442"/>
        <item sd="0" x="145"/>
        <item sd="0" x="616"/>
        <item sd="0" x="133"/>
        <item sd="0" x="189"/>
        <item sd="0" x="536"/>
        <item sd="0" x="415"/>
        <item sd="0" x="281"/>
        <item sd="0" x="190"/>
        <item sd="0" x="249"/>
        <item x="191"/>
        <item sd="0" x="335"/>
        <item sd="0" x="494"/>
        <item sd="0" x="561"/>
        <item sd="0" x="398"/>
        <item sd="0" x="452"/>
        <item sd="0" x="65"/>
        <item sd="0" x="107"/>
        <item sd="0" x="135"/>
        <item sd="0" x="630"/>
        <item sd="0" x="35"/>
        <item sd="0" x="361"/>
        <item sd="0" x="297"/>
        <item sd="0" x="610"/>
        <item sd="0" x="305"/>
        <item sd="0" x="32"/>
        <item sd="0" x="581"/>
        <item sd="0" x="651"/>
        <item sd="0" x="633"/>
        <item sd="0" x="431"/>
        <item sd="0" x="163"/>
        <item sd="0" x="621"/>
        <item sd="0" x="535"/>
        <item sd="0" x="332"/>
        <item sd="0" x="327"/>
        <item sd="0" x="202"/>
        <item sd="0" x="277"/>
        <item sd="0" x="435"/>
        <item sd="0" x="252"/>
        <item sd="0" x="261"/>
        <item sd="0" x="384"/>
        <item sd="0" x="650"/>
        <item sd="0" x="491"/>
        <item sd="0" x="19"/>
        <item sd="0" x="660"/>
        <item sd="0" x="127"/>
        <item sd="0" x="313"/>
        <item sd="0" x="220"/>
        <item sd="0" x="495"/>
        <item sd="0" x="195"/>
        <item sd="0" x="562"/>
        <item sd="0" x="679"/>
        <item sd="0" x="492"/>
        <item sd="0" x="84"/>
        <item sd="0" x="164"/>
        <item sd="0" x="285"/>
        <item sd="0" x="192"/>
        <item sd="0" x="39"/>
        <item sd="0" x="51"/>
        <item sd="0" x="62"/>
        <item sd="0" x="106"/>
        <item sd="0" x="582"/>
        <item sd="0" x="284"/>
        <item sd="0" x="322"/>
        <item sd="0" x="385"/>
        <item sd="0" x="306"/>
        <item sd="0" x="466"/>
        <item sd="0" x="329"/>
        <item sd="0" x="131"/>
        <item sd="0" x="347"/>
        <item sd="0" x="675"/>
        <item sd="0" x="634"/>
        <item sd="0" x="320"/>
        <item sd="0" x="199"/>
        <item sd="0" x="151"/>
        <item sd="0" x="546"/>
        <item sd="0" x="613"/>
        <item sd="0" x="341"/>
        <item sd="0" x="615"/>
        <item sd="0" x="342"/>
        <item sd="0" x="255"/>
        <item sd="0" x="16"/>
        <item sd="0" x="623"/>
        <item sd="0" x="114"/>
        <item sd="0" x="644"/>
        <item sd="0" x="489"/>
        <item sd="0" x="330"/>
        <item sd="0" x="144"/>
        <item sd="0" x="428"/>
        <item sd="0" x="367"/>
        <item sd="0" x="136"/>
        <item sd="0" x="498"/>
        <item sd="0" x="594"/>
        <item sd="0" x="50"/>
        <item sd="0" x="66"/>
        <item sd="0" x="165"/>
        <item sd="0" x="58"/>
        <item sd="0" x="506"/>
        <item sd="0" x="514"/>
        <item sd="0" x="534"/>
        <item sd="0" x="147"/>
        <item sd="0" x="152"/>
        <item sd="0" x="193"/>
        <item sd="0" x="450"/>
        <item sd="0" x="115"/>
        <item sd="0" x="529"/>
        <item sd="0" x="307"/>
        <item sd="0" x="98"/>
        <item sd="0" x="448"/>
        <item sd="0" x="282"/>
        <item sd="0" x="584"/>
        <item sd="0" x="654"/>
        <item sd="0" x="74"/>
        <item sd="0" x="312"/>
        <item sd="0" x="172"/>
        <item sd="0" x="298"/>
        <item sd="0" x="262"/>
        <item sd="0" x="475"/>
        <item sd="0" x="324"/>
        <item sd="0" x="170"/>
        <item sd="0" x="416"/>
        <item sd="0" x="318"/>
        <item sd="0" x="423"/>
        <item sd="0" x="271"/>
        <item sd="0" x="188"/>
        <item sd="0" x="336"/>
        <item sd="0" x="683"/>
        <item sd="0" x="362"/>
        <item sd="0" x="97"/>
        <item sd="0" x="103"/>
        <item sd="0" x="117"/>
        <item sd="0" x="160"/>
        <item sd="0" x="183"/>
        <item sd="0" x="500"/>
        <item sd="0" x="629"/>
        <item sd="0" x="96"/>
        <item sd="0" x="609"/>
        <item sd="0" x="476"/>
        <item sd="0" x="668"/>
        <item sd="0" x="93"/>
        <item sd="0" x="263"/>
        <item sd="0" x="321"/>
        <item sd="0" x="512"/>
        <item sd="0" x="504"/>
        <item sd="0" x="102"/>
        <item sd="0" x="316"/>
        <item sd="0" x="585"/>
        <item sd="0" x="643"/>
        <item sd="0" x="155"/>
        <item sd="0" x="451"/>
        <item sd="0" x="493"/>
        <item sd="0" x="563"/>
        <item sd="0" x="47"/>
        <item sd="0" x="91"/>
        <item sd="0" x="655"/>
        <item sd="0" x="299"/>
        <item sd="0" x="159"/>
        <item sd="0" x="81"/>
        <item sd="0" x="228"/>
        <item sd="0" x="331"/>
        <item sd="0" x="88"/>
        <item sd="0" x="597"/>
        <item sd="0" x="550"/>
        <item sd="0" x="240"/>
        <item sd="0" x="325"/>
        <item sd="0" x="292"/>
        <item sd="0" x="198"/>
        <item sd="0" x="377"/>
        <item sd="0" x="290"/>
        <item sd="0" x="685"/>
        <item sd="0" x="319"/>
        <item sd="0" x="120"/>
        <item sd="0" x="605"/>
        <item sd="0" x="6"/>
        <item sd="0" x="407"/>
        <item sd="0" x="507"/>
        <item sd="0" x="186"/>
        <item sd="0" x="402"/>
        <item sd="0" x="200"/>
        <item sd="0" x="560"/>
        <item sd="0" x="404"/>
        <item sd="0" x="40"/>
        <item sd="0" x="438"/>
        <item sd="0" x="173"/>
        <item sd="0" x="547"/>
        <item sd="0" x="99"/>
        <item sd="0" x="216"/>
        <item sd="0" x="274"/>
        <item sd="0" x="686"/>
        <item sd="0" x="100"/>
        <item sd="0" x="61"/>
        <item sd="0" x="161"/>
        <item sd="0" x="656"/>
        <item sd="0" x="503"/>
        <item sd="0" x="291"/>
        <item sd="0" x="288"/>
        <item sd="0" x="185"/>
        <item sd="0" x="627"/>
        <item sd="0" x="317"/>
        <item sd="0" x="156"/>
        <item sd="0" x="153"/>
        <item sd="0" x="523"/>
        <item sd="0" x="221"/>
        <item sd="0" x="82"/>
        <item sd="0" x="11"/>
        <item sd="0" x="182"/>
        <item sd="0" x="323"/>
        <item sd="0" x="387"/>
        <item sd="0" x="499"/>
        <item sd="0" x="592"/>
        <item sd="0" x="95"/>
        <item sd="0" x="293"/>
        <item sd="0" x="497"/>
        <item sd="0" x="116"/>
        <item sd="0" x="389"/>
        <item sd="0" x="457"/>
        <item sd="0" x="372"/>
        <item sd="0" x="424"/>
        <item sd="0" x="513"/>
        <item sd="0" x="109"/>
        <item sd="0" x="80"/>
        <item sd="0" x="406"/>
        <item sd="0" x="417"/>
        <item sd="0" x="410"/>
        <item sd="0" x="408"/>
        <item sd="0" x="77"/>
        <item sd="0" x="531"/>
        <item sd="0" x="418"/>
        <item sd="0" x="405"/>
        <item sd="0" x="409"/>
        <item sd="0" x="427"/>
        <item sd="0"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axis="axisRow" dataField="1" showAll="0">
      <items count="3">
        <item x="0"/>
        <item x="1"/>
        <item t="default"/>
      </items>
    </pivotField>
    <pivotField numFmtId="165" showAll="0"/>
    <pivotField numFmtId="168" showAll="0"/>
    <pivotField showAll="0"/>
    <pivotField showAll="0"/>
    <pivotField showAll="0"/>
    <pivotField numFmtId="1" showAll="0"/>
    <pivotField showAll="0"/>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8">
        <item x="1"/>
        <item x="0"/>
        <item x="2"/>
        <item x="3"/>
        <item x="4"/>
        <item x="5"/>
        <item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3">
    <i>
      <x/>
    </i>
    <i>
      <x v="1"/>
    </i>
    <i t="grand">
      <x/>
    </i>
  </rowItems>
  <colItems count="1">
    <i/>
  </colItems>
  <dataFields count="1">
    <dataField name="Count of CATEGORY*" fld="5"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5" count="1" selected="0">
            <x v="0"/>
          </reference>
        </references>
      </pivotArea>
    </chartFormat>
    <chartFormat chart="11"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DD03930-016E-4A6B-89B5-B751CD93398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rowHeaderCaption="Month">
  <location ref="A3:B296" firstHeaderRow="1" firstDataRow="1" firstDataCol="1"/>
  <pivotFields count="19">
    <pivotField axis="axisRow" dataField="1" numFmtId="17" showAll="0">
      <items count="293">
        <item sd="0" x="130"/>
        <item sd="0" x="26"/>
        <item sd="0" x="135"/>
        <item sd="0" x="41"/>
        <item sd="0" x="8"/>
        <item sd="0" x="50"/>
        <item sd="0" x="186"/>
        <item sd="0" x="230"/>
        <item sd="0" x="251"/>
        <item sd="0" x="160"/>
        <item sd="0" x="68"/>
        <item sd="0" x="168"/>
        <item sd="0" x="21"/>
        <item sd="0" x="86"/>
        <item sd="0" x="131"/>
        <item sd="0" x="204"/>
        <item sd="0" x="22"/>
        <item sd="0" x="87"/>
        <item sd="0" x="88"/>
        <item sd="0" x="23"/>
        <item sd="0" x="169"/>
        <item sd="0" x="24"/>
        <item sd="0" x="25"/>
        <item sd="0" x="84"/>
        <item sd="0" x="89"/>
        <item sd="0" x="42"/>
        <item sd="0" x="101"/>
        <item sd="0" x="187"/>
        <item sd="0" x="190"/>
        <item sd="0" x="252"/>
        <item sd="0" x="198"/>
        <item sd="0" x="69"/>
        <item sd="0" x="171"/>
        <item sd="0" x="172"/>
        <item sd="0" x="29"/>
        <item sd="0" x="91"/>
        <item sd="0" x="30"/>
        <item sd="0" x="173"/>
        <item sd="0" x="92"/>
        <item sd="0" x="93"/>
        <item sd="0" x="31"/>
        <item sd="0" x="94"/>
        <item sd="0" x="95"/>
        <item sd="0" x="174"/>
        <item sd="0" x="175"/>
        <item sd="0" x="32"/>
        <item sd="0" x="33"/>
        <item sd="0" x="177"/>
        <item sd="0" x="150"/>
        <item sd="0" x="10"/>
        <item sd="0" x="113"/>
        <item sd="0" x="231"/>
        <item sd="0" x="269"/>
        <item sd="0" x="59"/>
        <item sd="0" x="70"/>
        <item sd="0" x="138"/>
        <item sd="0" x="96"/>
        <item sd="0" x="139"/>
        <item sd="0" x="140"/>
        <item sd="0" x="35"/>
        <item sd="0" x="36"/>
        <item sd="0" x="37"/>
        <item sd="0" x="38"/>
        <item sd="0" x="141"/>
        <item sd="0" x="142"/>
        <item sd="0" x="206"/>
        <item sd="0" x="207"/>
        <item sd="0" x="39"/>
        <item sd="0" x="208"/>
        <item sd="0" x="40"/>
        <item sd="0" x="209"/>
        <item sd="0" x="210"/>
        <item sd="0" x="143"/>
        <item sd="0" x="144"/>
        <item sd="0" x="90"/>
        <item sd="0" x="34"/>
        <item sd="0" x="102"/>
        <item sd="0" x="188"/>
        <item sd="0" x="270"/>
        <item sd="0" x="286"/>
        <item sd="0" x="71"/>
        <item sd="0" x="289"/>
        <item sd="0" x="99"/>
        <item sd="0" x="100"/>
        <item sd="0" x="147"/>
        <item sd="0" x="178"/>
        <item sd="0" x="148"/>
        <item sd="0" x="6"/>
        <item sd="0" x="7"/>
        <item sd="0" x="44"/>
        <item sd="0" x="45"/>
        <item sd="0" x="149"/>
        <item sd="0" x="166"/>
        <item sd="0" x="170"/>
        <item sd="0" x="136"/>
        <item sd="0" x="145"/>
        <item sd="0" x="103"/>
        <item sd="0" x="51"/>
        <item sd="0" x="114"/>
        <item sd="0" x="232"/>
        <item sd="0" x="253"/>
        <item sd="0" x="287"/>
        <item sd="0" x="165"/>
        <item sd="0" x="151"/>
        <item sd="0" x="104"/>
        <item sd="0" x="48"/>
        <item sd="0" x="152"/>
        <item sd="0" x="153"/>
        <item sd="0" x="154"/>
        <item sd="0" x="105"/>
        <item sd="0" x="106"/>
        <item sd="0" x="49"/>
        <item sd="0" x="180"/>
        <item sd="0" x="18"/>
        <item sd="0" x="3"/>
        <item sd="0" x="146"/>
        <item sd="0" x="46"/>
        <item sd="0" x="107"/>
        <item sd="0" x="54"/>
        <item sd="0" x="233"/>
        <item sd="0" x="271"/>
        <item sd="0" x="60"/>
        <item sd="0" x="52"/>
        <item sd="0" x="111"/>
        <item sd="0" x="11"/>
        <item sd="0" x="211"/>
        <item sd="0" x="212"/>
        <item sd="0" x="213"/>
        <item sd="0" x="214"/>
        <item sd="0" x="155"/>
        <item sd="0" x="112"/>
        <item sd="0" x="12"/>
        <item sd="0" x="183"/>
        <item sd="0" x="215"/>
        <item sd="0" x="53"/>
        <item sd="0" x="184"/>
        <item sd="0" x="185"/>
        <item sd="0" x="167"/>
        <item sd="0" x="27"/>
        <item sd="0" x="4"/>
        <item sd="0" x="97"/>
        <item sd="0" x="181"/>
        <item sd="0" x="216"/>
        <item sd="0" x="56"/>
        <item sd="0" x="272"/>
        <item sd="0" x="13"/>
        <item sd="0" x="72"/>
        <item sd="0" x="221"/>
        <item sd="0" x="115"/>
        <item sd="0" x="222"/>
        <item sd="0" x="116"/>
        <item sd="0" x="17"/>
        <item sd="0" x="117"/>
        <item sd="0" x="55"/>
        <item sd="0" x="223"/>
        <item sd="0" x="224"/>
        <item sd="0" x="156"/>
        <item sd="0" x="189"/>
        <item sd="0" x="225"/>
        <item sd="0" x="157"/>
        <item sd="0" x="226"/>
        <item sd="0" x="227"/>
        <item sd="0" x="158"/>
        <item sd="0" x="228"/>
        <item sd="0" x="229"/>
        <item sd="0" x="132"/>
        <item sd="0" x="5"/>
        <item sd="0" x="98"/>
        <item sd="0" x="108"/>
        <item sd="0" x="217"/>
        <item sd="0" x="57"/>
        <item sd="0" x="273"/>
        <item sd="0" x="14"/>
        <item sd="0" x="122"/>
        <item sd="0" x="191"/>
        <item sd="0" x="238"/>
        <item sd="0" x="239"/>
        <item sd="0" x="240"/>
        <item sd="0" x="290"/>
        <item sd="0" x="241"/>
        <item sd="0" x="0"/>
        <item sd="0" x="242"/>
        <item sd="0" x="243"/>
        <item sd="0" x="244"/>
        <item sd="0" x="245"/>
        <item sd="0" x="246"/>
        <item sd="0" x="247"/>
        <item sd="0" x="248"/>
        <item sd="0" x="249"/>
        <item sd="0" x="250"/>
        <item sd="0" x="133"/>
        <item sd="0" x="9"/>
        <item sd="0" x="218"/>
        <item sd="0" x="234"/>
        <item sd="0" x="291"/>
        <item sd="0" x="61"/>
        <item sd="0" x="73"/>
        <item sd="0" x="257"/>
        <item sd="0" x="258"/>
        <item sd="0" x="259"/>
        <item sd="0" x="260"/>
        <item sd="0" x="261"/>
        <item sd="0" x="262"/>
        <item sd="0" x="263"/>
        <item sd="0" x="264"/>
        <item sd="0" x="265"/>
        <item sd="0" x="266"/>
        <item sd="0" x="267"/>
        <item sd="0" x="268"/>
        <item sd="0" x="19"/>
        <item sd="0" x="176"/>
        <item sd="0" x="47"/>
        <item sd="0" x="182"/>
        <item sd="0" x="219"/>
        <item sd="0" x="235"/>
        <item sd="0" x="254"/>
        <item sd="0" x="274"/>
        <item sd="0" x="199"/>
        <item sd="0" x="74"/>
        <item sd="0" x="276"/>
        <item sd="0" x="193"/>
        <item sd="0" x="277"/>
        <item sd="0" x="159"/>
        <item sd="0" x="278"/>
        <item sd="0" x="279"/>
        <item sd="0" x="280"/>
        <item sd="0" x="281"/>
        <item sd="0" x="282"/>
        <item sd="0" x="283"/>
        <item sd="0" x="58"/>
        <item sd="0" x="284"/>
        <item sd="0" x="118"/>
        <item sd="0" x="194"/>
        <item sd="0" x="195"/>
        <item sd="0" x="196"/>
        <item sd="0" x="197"/>
        <item sd="0" x="285"/>
        <item sd="0" x="119"/>
        <item sd="0" x="85"/>
        <item sd="0" x="134"/>
        <item sd="0" x="137"/>
        <item sd="0" x="179"/>
        <item sd="0" x="109"/>
        <item sd="0" x="236"/>
        <item sd="0" x="255"/>
        <item sd="0" x="192"/>
        <item sd="0" x="62"/>
        <item sd="0" x="123"/>
        <item sd="0" x="200"/>
        <item sd="0" x="63"/>
        <item sd="0" x="288"/>
        <item sd="0" x="161"/>
        <item sd="0" x="64"/>
        <item sd="0" x="162"/>
        <item sd="0" x="65"/>
        <item sd="0" x="15"/>
        <item sd="0" x="121"/>
        <item sd="0" x="66"/>
        <item sd="0" x="163"/>
        <item sd="0" x="201"/>
        <item sd="0" x="16"/>
        <item sd="0" x="164"/>
        <item sd="0" x="67"/>
        <item sd="0" x="20"/>
        <item sd="0" x="28"/>
        <item sd="0" x="205"/>
        <item sd="0" x="43"/>
        <item sd="0" x="110"/>
        <item sd="0" x="220"/>
        <item sd="0" x="237"/>
        <item sd="0" x="256"/>
        <item sd="0" x="275"/>
        <item sd="0" x="120"/>
        <item sd="0" x="75"/>
        <item sd="0" x="124"/>
        <item sd="0" x="76"/>
        <item sd="0" x="202"/>
        <item sd="0" x="1"/>
        <item sd="0" x="125"/>
        <item sd="0" x="77"/>
        <item sd="0" x="78"/>
        <item sd="0" x="79"/>
        <item sd="0" x="80"/>
        <item sd="0" x="126"/>
        <item sd="0" x="127"/>
        <item sd="0" x="128"/>
        <item sd="0" x="81"/>
        <item sd="0" x="82"/>
        <item sd="0" x="129"/>
        <item sd="0" x="2"/>
        <item sd="0" x="83"/>
        <item sd="0" x="203"/>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showAll="0"/>
    <pivotField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items count="7">
        <item x="1"/>
        <item x="0"/>
        <item x="2"/>
        <item x="3"/>
        <item x="4"/>
        <item x="5"/>
        <item x="6"/>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2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t="grand">
      <x/>
    </i>
  </rowItems>
  <colItems count="1">
    <i/>
  </colItems>
  <dataFields count="1">
    <dataField name="Count of Start Date" fld="0" subtotal="count" baseField="0" baseItem="0"/>
  </dataFields>
  <chartFormats count="2">
    <chartFormat chart="8" format="4"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End_Date" xr10:uid="{C89D475D-41AF-40C2-A7E2-AA5F660CF681}" sourceName="Months (End Date)">
  <pivotTables>
    <pivotTable tabId="17" name="PivotTable1"/>
    <pivotTable tabId="5" name="PivotTable1"/>
    <pivotTable tabId="7" name="PivotTable2"/>
    <pivotTable tabId="8" name="PivotTable2"/>
    <pivotTable tabId="18" name="PivotTable2"/>
    <pivotTable tabId="12" name="PivotTable1"/>
    <pivotTable tabId="21" name="PivotTable1"/>
  </pivotTables>
  <data>
    <tabular pivotCacheId="1734382932">
      <items count="14">
        <i x="1" s="1"/>
        <i x="2" s="1"/>
        <i x="3" s="1"/>
        <i x="4" s="1"/>
        <i x="5" s="1"/>
        <i x="6" s="1"/>
        <i x="7" s="1"/>
        <i x="8" s="1"/>
        <i x="9" s="1"/>
        <i x="10" s="1"/>
        <i x="11" s="1"/>
        <i x="12" s="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rt_Date2" xr10:uid="{E7C658B8-BD24-4113-963A-CB50580E9A64}" sourceName="Start Date2">
  <pivotTables>
    <pivotTable tabId="17" name="PivotTable1"/>
    <pivotTable tabId="5" name="PivotTable1"/>
    <pivotTable tabId="7" name="PivotTable2"/>
    <pivotTable tabId="8" name="PivotTable2"/>
    <pivotTable tabId="18" name="PivotTable2"/>
    <pivotTable tabId="12" name="PivotTable1"/>
    <pivotTable tabId="21" name="PivotTable1"/>
  </pivotTables>
  <data>
    <tabular pivotCacheId="1734382932">
      <items count="7">
        <i x="1" s="1"/>
        <i x="0" s="1"/>
        <i x="2" s="1"/>
        <i x="3" s="1"/>
        <i x="4" s="1"/>
        <i x="5"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End Date)" xr10:uid="{CA81C677-ACDF-4DCD-82BD-E10BD88B2FBE}" cache="Slicer_Months__End_Date" caption="Months " columnCount="4" rowHeight="234950"/>
  <slicer name="Start Date2" xr10:uid="{F0163FA8-3FF0-44CE-B6B9-6DF9F9F0E16E}" cache="Slicer_Start_Date2" caption="Days" columnCount="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1150"/>
  <sheetViews>
    <sheetView zoomScale="102" zoomScaleNormal="102" workbookViewId="0">
      <selection activeCell="O1" sqref="A1:O1150"/>
    </sheetView>
  </sheetViews>
  <sheetFormatPr defaultRowHeight="14.4" x14ac:dyDescent="0.3"/>
  <cols>
    <col min="1" max="1" width="16.6640625" bestFit="1" customWidth="1"/>
    <col min="2" max="2" width="22.109375" bestFit="1" customWidth="1"/>
    <col min="3" max="3" width="12.109375" style="7" bestFit="1" customWidth="1"/>
    <col min="4" max="4" width="16.6640625" bestFit="1" customWidth="1"/>
    <col min="5" max="5" width="22.21875" bestFit="1" customWidth="1"/>
    <col min="6" max="6" width="12" bestFit="1" customWidth="1"/>
    <col min="7" max="7" width="13.21875" bestFit="1" customWidth="1"/>
    <col min="8" max="8" width="11.5546875" bestFit="1" customWidth="1"/>
    <col min="9" max="9" width="13" style="13" bestFit="1" customWidth="1"/>
    <col min="10" max="10" width="24" bestFit="1" customWidth="1"/>
    <col min="11" max="11" width="23.33203125" bestFit="1" customWidth="1"/>
    <col min="12" max="12" width="9.33203125" bestFit="1" customWidth="1"/>
    <col min="13" max="13" width="8.44140625" style="4" bestFit="1" customWidth="1"/>
    <col min="14" max="14" width="14.6640625" bestFit="1" customWidth="1"/>
    <col min="15" max="15" width="13.5546875" bestFit="1" customWidth="1"/>
  </cols>
  <sheetData>
    <row r="1" spans="1:15" s="11" customFormat="1" x14ac:dyDescent="0.3">
      <c r="A1" s="11" t="s">
        <v>0</v>
      </c>
      <c r="B1" s="11" t="s">
        <v>1538</v>
      </c>
      <c r="C1" s="16" t="s">
        <v>1539</v>
      </c>
      <c r="D1" s="11" t="s">
        <v>1</v>
      </c>
      <c r="E1" s="11" t="s">
        <v>1540</v>
      </c>
      <c r="F1" s="11" t="s">
        <v>1541</v>
      </c>
      <c r="G1" s="11" t="s">
        <v>2</v>
      </c>
      <c r="H1" s="11" t="s">
        <v>1550</v>
      </c>
      <c r="I1" s="12" t="s">
        <v>1551</v>
      </c>
      <c r="J1" s="11" t="s">
        <v>3</v>
      </c>
      <c r="K1" s="11" t="s">
        <v>4</v>
      </c>
      <c r="L1" s="11" t="s">
        <v>5</v>
      </c>
      <c r="M1" s="11" t="s">
        <v>1542</v>
      </c>
      <c r="N1" s="11" t="s">
        <v>6</v>
      </c>
      <c r="O1" s="11" t="s">
        <v>1552</v>
      </c>
    </row>
    <row r="2" spans="1:15" x14ac:dyDescent="0.3">
      <c r="A2" t="s">
        <v>835</v>
      </c>
      <c r="B2" s="2">
        <v>42603</v>
      </c>
      <c r="C2" s="7">
        <v>0.41666666666666669</v>
      </c>
      <c r="D2" t="s">
        <v>836</v>
      </c>
      <c r="E2" s="2">
        <v>42603</v>
      </c>
      <c r="F2" s="8">
        <v>0.4368055555555555</v>
      </c>
      <c r="G2" t="s">
        <v>7</v>
      </c>
      <c r="H2" s="7">
        <f t="shared" ref="H2:H65" si="0">IF(F2&gt;C2,F2-C2,F2-C2+1)</f>
        <v>2.0138888888888817E-2</v>
      </c>
      <c r="I2" s="13">
        <f t="shared" ref="I2:I65" si="1">(HOUR(H2)*60+MINUTE(H2))/60</f>
        <v>0.48333333333333334</v>
      </c>
      <c r="J2" t="s">
        <v>72</v>
      </c>
      <c r="K2" t="s">
        <v>72</v>
      </c>
      <c r="L2">
        <v>7.6</v>
      </c>
      <c r="M2" s="5">
        <f t="shared" ref="M2:M65" si="2">L2/I2</f>
        <v>15.724137931034482</v>
      </c>
      <c r="N2" t="s">
        <v>837</v>
      </c>
      <c r="O2" t="str">
        <f t="shared" ref="O2:O65" si="3">IF(ISBLANK($N2),"No Purpose",$N2)</f>
        <v>Airport/Travel</v>
      </c>
    </row>
    <row r="3" spans="1:15" x14ac:dyDescent="0.3">
      <c r="A3" t="s">
        <v>1333</v>
      </c>
      <c r="B3" s="2">
        <v>42721</v>
      </c>
      <c r="C3" s="7">
        <v>0.65138888888888891</v>
      </c>
      <c r="D3" t="s">
        <v>1334</v>
      </c>
      <c r="E3" s="2">
        <v>42721</v>
      </c>
      <c r="F3" s="8">
        <v>0.67499999999999993</v>
      </c>
      <c r="G3" t="s">
        <v>7</v>
      </c>
      <c r="H3" s="7">
        <f t="shared" si="0"/>
        <v>2.3611111111111027E-2</v>
      </c>
      <c r="I3" s="13">
        <f t="shared" si="1"/>
        <v>0.56666666666666665</v>
      </c>
      <c r="J3" t="s">
        <v>72</v>
      </c>
      <c r="K3" t="s">
        <v>72</v>
      </c>
      <c r="L3">
        <v>4.8</v>
      </c>
      <c r="M3" s="5">
        <f t="shared" si="2"/>
        <v>8.4705882352941178</v>
      </c>
      <c r="N3" t="s">
        <v>837</v>
      </c>
      <c r="O3" t="str">
        <f t="shared" si="3"/>
        <v>Airport/Travel</v>
      </c>
    </row>
    <row r="4" spans="1:15" x14ac:dyDescent="0.3">
      <c r="A4" t="s">
        <v>1499</v>
      </c>
      <c r="B4" s="2">
        <v>42733</v>
      </c>
      <c r="C4" s="7">
        <v>0.5805555555555556</v>
      </c>
      <c r="D4" t="s">
        <v>1500</v>
      </c>
      <c r="E4" s="2">
        <v>42733</v>
      </c>
      <c r="F4" s="8">
        <v>0.59097222222222223</v>
      </c>
      <c r="G4" t="s">
        <v>7</v>
      </c>
      <c r="H4" s="7">
        <f t="shared" si="0"/>
        <v>1.041666666666663E-2</v>
      </c>
      <c r="I4" s="13">
        <f t="shared" si="1"/>
        <v>0.25</v>
      </c>
      <c r="J4" t="s">
        <v>1464</v>
      </c>
      <c r="K4" t="s">
        <v>1464</v>
      </c>
      <c r="L4">
        <v>4.0999999999999996</v>
      </c>
      <c r="M4" s="5">
        <f t="shared" si="2"/>
        <v>16.399999999999999</v>
      </c>
      <c r="N4" t="s">
        <v>837</v>
      </c>
      <c r="O4" t="str">
        <f t="shared" si="3"/>
        <v>Airport/Travel</v>
      </c>
    </row>
    <row r="5" spans="1:15" x14ac:dyDescent="0.3">
      <c r="A5" s="1">
        <v>42523.680555555555</v>
      </c>
      <c r="B5" s="6">
        <f>INT(A5:A42)</f>
        <v>42523</v>
      </c>
      <c r="C5" s="7">
        <f>(A5-B5)</f>
        <v>0.68055555555474712</v>
      </c>
      <c r="D5" s="1">
        <v>42523.703472222223</v>
      </c>
      <c r="E5" s="6">
        <f>INT(D5:D42)</f>
        <v>42523</v>
      </c>
      <c r="F5" s="8">
        <f>(D5-E5)</f>
        <v>0.70347222222335404</v>
      </c>
      <c r="G5" t="s">
        <v>7</v>
      </c>
      <c r="H5" s="7">
        <f t="shared" si="0"/>
        <v>2.2916666668606922E-2</v>
      </c>
      <c r="I5" s="13">
        <f t="shared" si="1"/>
        <v>0.55000000000000004</v>
      </c>
      <c r="J5" t="s">
        <v>15</v>
      </c>
      <c r="K5" t="s">
        <v>40</v>
      </c>
      <c r="L5">
        <v>11.4</v>
      </c>
      <c r="M5" s="5">
        <f t="shared" si="2"/>
        <v>20.727272727272727</v>
      </c>
      <c r="N5" t="s">
        <v>53</v>
      </c>
      <c r="O5" t="str">
        <f t="shared" si="3"/>
        <v>Between Offices</v>
      </c>
    </row>
    <row r="6" spans="1:15" x14ac:dyDescent="0.3">
      <c r="A6" s="1">
        <v>42554.638194444444</v>
      </c>
      <c r="B6" s="6">
        <f>INT(A6:A45)</f>
        <v>42554</v>
      </c>
      <c r="C6" s="7">
        <f>(A6-B6)</f>
        <v>0.63819444444379769</v>
      </c>
      <c r="D6" s="1">
        <v>42554.65625</v>
      </c>
      <c r="E6" s="6">
        <f>INT(D6)</f>
        <v>42554</v>
      </c>
      <c r="F6" s="8">
        <f>D6-E6</f>
        <v>0.65625</v>
      </c>
      <c r="G6" t="s">
        <v>7</v>
      </c>
      <c r="H6" s="7">
        <f t="shared" si="0"/>
        <v>1.8055555556202307E-2</v>
      </c>
      <c r="I6" s="13">
        <f t="shared" si="1"/>
        <v>0.43333333333333335</v>
      </c>
      <c r="J6" t="s">
        <v>40</v>
      </c>
      <c r="K6" t="s">
        <v>15</v>
      </c>
      <c r="L6">
        <v>11.9</v>
      </c>
      <c r="M6" s="5">
        <f t="shared" si="2"/>
        <v>27.46153846153846</v>
      </c>
      <c r="N6" t="s">
        <v>53</v>
      </c>
      <c r="O6" t="str">
        <f t="shared" si="3"/>
        <v>Between Offices</v>
      </c>
    </row>
    <row r="7" spans="1:15" x14ac:dyDescent="0.3">
      <c r="A7" s="1">
        <v>42585.609722222223</v>
      </c>
      <c r="B7" s="6">
        <f>INT(A7:A46)</f>
        <v>42585</v>
      </c>
      <c r="C7" s="7">
        <f>(A7-B7)</f>
        <v>0.60972222222335404</v>
      </c>
      <c r="D7" s="1">
        <v>42585.621527777781</v>
      </c>
      <c r="E7" s="6">
        <f>INT(D7)</f>
        <v>42585</v>
      </c>
      <c r="F7" s="8">
        <f>D7-E7</f>
        <v>0.62152777778101154</v>
      </c>
      <c r="G7" t="s">
        <v>7</v>
      </c>
      <c r="H7" s="7">
        <f t="shared" si="0"/>
        <v>1.1805555557657499E-2</v>
      </c>
      <c r="I7" s="13">
        <f t="shared" si="1"/>
        <v>0.28333333333333333</v>
      </c>
      <c r="J7" t="s">
        <v>38</v>
      </c>
      <c r="K7" t="s">
        <v>139</v>
      </c>
      <c r="L7">
        <v>7.2</v>
      </c>
      <c r="M7" s="5">
        <f t="shared" si="2"/>
        <v>25.411764705882355</v>
      </c>
      <c r="N7" t="s">
        <v>53</v>
      </c>
      <c r="O7" t="str">
        <f t="shared" si="3"/>
        <v>Between Offices</v>
      </c>
    </row>
    <row r="8" spans="1:15" x14ac:dyDescent="0.3">
      <c r="A8" t="s">
        <v>364</v>
      </c>
      <c r="B8" s="2">
        <v>42484</v>
      </c>
      <c r="C8" s="7">
        <v>0.90347222222222223</v>
      </c>
      <c r="D8" t="s">
        <v>365</v>
      </c>
      <c r="E8" s="2">
        <v>42484</v>
      </c>
      <c r="F8" s="8">
        <v>0.90972222222222221</v>
      </c>
      <c r="G8" t="s">
        <v>7</v>
      </c>
      <c r="H8" s="7">
        <f t="shared" si="0"/>
        <v>6.2499999999999778E-3</v>
      </c>
      <c r="I8" s="13">
        <f t="shared" si="1"/>
        <v>0.15</v>
      </c>
      <c r="J8" t="s">
        <v>16</v>
      </c>
      <c r="K8" t="s">
        <v>15</v>
      </c>
      <c r="L8">
        <v>4.2</v>
      </c>
      <c r="M8" s="5">
        <f t="shared" si="2"/>
        <v>28.000000000000004</v>
      </c>
      <c r="N8" t="s">
        <v>53</v>
      </c>
      <c r="O8" t="str">
        <f t="shared" si="3"/>
        <v>Between Offices</v>
      </c>
    </row>
    <row r="9" spans="1:15" x14ac:dyDescent="0.3">
      <c r="A9" t="s">
        <v>366</v>
      </c>
      <c r="B9" s="2">
        <v>42487</v>
      </c>
      <c r="C9" s="7">
        <v>0.5625</v>
      </c>
      <c r="D9" t="s">
        <v>367</v>
      </c>
      <c r="E9" s="2">
        <v>42487</v>
      </c>
      <c r="F9" s="8">
        <v>0.56944444444444442</v>
      </c>
      <c r="G9" t="s">
        <v>7</v>
      </c>
      <c r="H9" s="7">
        <f t="shared" si="0"/>
        <v>6.9444444444444198E-3</v>
      </c>
      <c r="I9" s="13">
        <f t="shared" si="1"/>
        <v>0.16666666666666666</v>
      </c>
      <c r="J9" t="s">
        <v>38</v>
      </c>
      <c r="K9" t="s">
        <v>368</v>
      </c>
      <c r="L9">
        <v>4.9000000000000004</v>
      </c>
      <c r="M9" s="5">
        <f t="shared" si="2"/>
        <v>29.400000000000002</v>
      </c>
      <c r="N9" t="s">
        <v>53</v>
      </c>
      <c r="O9" t="str">
        <f t="shared" si="3"/>
        <v>Between Offices</v>
      </c>
    </row>
    <row r="10" spans="1:15" x14ac:dyDescent="0.3">
      <c r="A10" t="s">
        <v>369</v>
      </c>
      <c r="B10" s="2">
        <v>42487</v>
      </c>
      <c r="C10" s="7">
        <v>0.59236111111111112</v>
      </c>
      <c r="D10" t="s">
        <v>370</v>
      </c>
      <c r="E10" s="2">
        <v>42487</v>
      </c>
      <c r="F10" s="8">
        <v>0.60069444444444442</v>
      </c>
      <c r="G10" t="s">
        <v>7</v>
      </c>
      <c r="H10" s="7">
        <f t="shared" si="0"/>
        <v>8.3333333333333037E-3</v>
      </c>
      <c r="I10" s="13">
        <f t="shared" si="1"/>
        <v>0.2</v>
      </c>
      <c r="J10" t="s">
        <v>368</v>
      </c>
      <c r="K10" t="s">
        <v>38</v>
      </c>
      <c r="L10">
        <v>4.8</v>
      </c>
      <c r="M10" s="5">
        <f t="shared" si="2"/>
        <v>23.999999999999996</v>
      </c>
      <c r="N10" t="s">
        <v>53</v>
      </c>
      <c r="O10" t="str">
        <f t="shared" si="3"/>
        <v>Between Offices</v>
      </c>
    </row>
    <row r="11" spans="1:15" x14ac:dyDescent="0.3">
      <c r="A11" s="1">
        <v>42374.731249999997</v>
      </c>
      <c r="B11" s="6">
        <f>INT(A11:A50)</f>
        <v>42374</v>
      </c>
      <c r="C11" s="7">
        <f>(A11-B11)</f>
        <v>0.73124999999708962</v>
      </c>
      <c r="D11" s="1">
        <v>42374.739583333336</v>
      </c>
      <c r="E11" s="6">
        <f>INT(D11)</f>
        <v>42374</v>
      </c>
      <c r="F11" s="8">
        <f>D11-E11</f>
        <v>0.73958333333575865</v>
      </c>
      <c r="G11" t="s">
        <v>7</v>
      </c>
      <c r="H11" s="7">
        <f t="shared" si="0"/>
        <v>8.3333333386690356E-3</v>
      </c>
      <c r="I11" s="13">
        <f t="shared" si="1"/>
        <v>0.2</v>
      </c>
      <c r="J11" t="s">
        <v>38</v>
      </c>
      <c r="K11" t="s">
        <v>56</v>
      </c>
      <c r="L11">
        <v>6.2</v>
      </c>
      <c r="M11" s="5">
        <f t="shared" si="2"/>
        <v>31</v>
      </c>
      <c r="N11" t="s">
        <v>53</v>
      </c>
      <c r="O11" t="str">
        <f t="shared" si="3"/>
        <v>Between Offices</v>
      </c>
    </row>
    <row r="12" spans="1:15" x14ac:dyDescent="0.3">
      <c r="A12" s="1">
        <v>42618.61041666667</v>
      </c>
      <c r="B12" s="6">
        <f>INT(A12:A51)</f>
        <v>42618</v>
      </c>
      <c r="C12" s="7">
        <f>(A12-B12)</f>
        <v>0.61041666667006211</v>
      </c>
      <c r="D12" s="1">
        <v>42618.629166666666</v>
      </c>
      <c r="E12" s="6">
        <f>INT(D12)</f>
        <v>42618</v>
      </c>
      <c r="F12" s="8">
        <f>D12-E12</f>
        <v>0.62916666666569654</v>
      </c>
      <c r="G12" t="s">
        <v>7</v>
      </c>
      <c r="H12" s="7">
        <f t="shared" si="0"/>
        <v>1.8749999995634425E-2</v>
      </c>
      <c r="I12" s="13">
        <f t="shared" si="1"/>
        <v>0.45</v>
      </c>
      <c r="J12" t="s">
        <v>396</v>
      </c>
      <c r="K12" t="s">
        <v>397</v>
      </c>
      <c r="L12">
        <v>20.5</v>
      </c>
      <c r="M12" s="5">
        <f t="shared" si="2"/>
        <v>45.555555555555557</v>
      </c>
      <c r="N12" t="s">
        <v>53</v>
      </c>
      <c r="O12" t="str">
        <f t="shared" si="3"/>
        <v>Between Offices</v>
      </c>
    </row>
    <row r="13" spans="1:15" x14ac:dyDescent="0.3">
      <c r="A13" s="1">
        <v>42435.949305555558</v>
      </c>
      <c r="B13" s="6">
        <f>INT(A13:A52)</f>
        <v>42435</v>
      </c>
      <c r="C13" s="7">
        <f>(A13-B13)</f>
        <v>0.9493055555576575</v>
      </c>
      <c r="D13" s="1">
        <v>42435.962500000001</v>
      </c>
      <c r="E13" s="6">
        <f>INT(D13)</f>
        <v>42435</v>
      </c>
      <c r="F13" s="8">
        <f>D13-E13</f>
        <v>0.96250000000145519</v>
      </c>
      <c r="G13" t="s">
        <v>7</v>
      </c>
      <c r="H13" s="7">
        <f t="shared" si="0"/>
        <v>1.3194444443797693E-2</v>
      </c>
      <c r="I13" s="13">
        <f t="shared" si="1"/>
        <v>0.31666666666666665</v>
      </c>
      <c r="J13" t="s">
        <v>16</v>
      </c>
      <c r="K13" t="s">
        <v>15</v>
      </c>
      <c r="L13">
        <v>4</v>
      </c>
      <c r="M13" s="5">
        <f t="shared" si="2"/>
        <v>12.631578947368421</v>
      </c>
      <c r="N13" t="s">
        <v>53</v>
      </c>
      <c r="O13" t="str">
        <f t="shared" si="3"/>
        <v>Between Offices</v>
      </c>
    </row>
    <row r="14" spans="1:15" x14ac:dyDescent="0.3">
      <c r="A14" t="s">
        <v>486</v>
      </c>
      <c r="B14" s="2">
        <v>42536</v>
      </c>
      <c r="C14" s="7">
        <v>7.3611111111111113E-2</v>
      </c>
      <c r="D14" t="s">
        <v>487</v>
      </c>
      <c r="E14" s="2">
        <v>42536</v>
      </c>
      <c r="F14" s="8">
        <v>8.7500000000000008E-2</v>
      </c>
      <c r="G14" t="s">
        <v>7</v>
      </c>
      <c r="H14" s="7">
        <f t="shared" si="0"/>
        <v>1.3888888888888895E-2</v>
      </c>
      <c r="I14" s="13">
        <f t="shared" si="1"/>
        <v>0.33333333333333331</v>
      </c>
      <c r="J14" t="s">
        <v>488</v>
      </c>
      <c r="K14" t="s">
        <v>489</v>
      </c>
      <c r="L14">
        <v>12.4</v>
      </c>
      <c r="M14" s="5">
        <f t="shared" si="2"/>
        <v>37.200000000000003</v>
      </c>
      <c r="N14" t="s">
        <v>53</v>
      </c>
      <c r="O14" t="str">
        <f t="shared" si="3"/>
        <v>Between Offices</v>
      </c>
    </row>
    <row r="15" spans="1:15" x14ac:dyDescent="0.3">
      <c r="A15" t="s">
        <v>490</v>
      </c>
      <c r="B15" s="2">
        <v>42536</v>
      </c>
      <c r="C15" s="7">
        <v>0.6430555555555556</v>
      </c>
      <c r="D15" t="s">
        <v>491</v>
      </c>
      <c r="E15" s="2">
        <v>42536</v>
      </c>
      <c r="F15" s="8">
        <v>0.64861111111111114</v>
      </c>
      <c r="G15" t="s">
        <v>7</v>
      </c>
      <c r="H15" s="7">
        <f t="shared" si="0"/>
        <v>5.5555555555555358E-3</v>
      </c>
      <c r="I15" s="13">
        <f t="shared" si="1"/>
        <v>0.13333333333333333</v>
      </c>
      <c r="J15" t="s">
        <v>492</v>
      </c>
      <c r="K15" t="s">
        <v>493</v>
      </c>
      <c r="L15">
        <v>1.9</v>
      </c>
      <c r="M15" s="5">
        <f t="shared" si="2"/>
        <v>14.25</v>
      </c>
      <c r="N15" t="s">
        <v>53</v>
      </c>
      <c r="O15" t="str">
        <f t="shared" si="3"/>
        <v>Between Offices</v>
      </c>
    </row>
    <row r="16" spans="1:15" x14ac:dyDescent="0.3">
      <c r="A16" t="s">
        <v>543</v>
      </c>
      <c r="B16" s="2">
        <v>42546</v>
      </c>
      <c r="C16" s="7">
        <v>0.38541666666666669</v>
      </c>
      <c r="D16" t="s">
        <v>544</v>
      </c>
      <c r="E16" s="2">
        <v>42546</v>
      </c>
      <c r="F16" s="8">
        <v>0.42222222222222222</v>
      </c>
      <c r="G16" t="s">
        <v>7</v>
      </c>
      <c r="H16" s="7">
        <f t="shared" si="0"/>
        <v>3.6805555555555536E-2</v>
      </c>
      <c r="I16" s="13">
        <f t="shared" si="1"/>
        <v>0.8833333333333333</v>
      </c>
      <c r="J16" t="s">
        <v>489</v>
      </c>
      <c r="K16" t="s">
        <v>545</v>
      </c>
      <c r="L16">
        <v>11.8</v>
      </c>
      <c r="M16" s="5">
        <f t="shared" si="2"/>
        <v>13.358490566037737</v>
      </c>
      <c r="N16" t="s">
        <v>53</v>
      </c>
      <c r="O16" t="str">
        <f t="shared" si="3"/>
        <v>Between Offices</v>
      </c>
    </row>
    <row r="17" spans="1:15" x14ac:dyDescent="0.3">
      <c r="A17" s="1">
        <v>42562.519444444442</v>
      </c>
      <c r="B17" s="6">
        <f>INT(A17:A56)</f>
        <v>42562</v>
      </c>
      <c r="C17" s="7">
        <f>(A17-B17)</f>
        <v>0.5194444444423425</v>
      </c>
      <c r="D17" s="1">
        <v>42562.539583333331</v>
      </c>
      <c r="E17" s="6">
        <f>INT(D17)</f>
        <v>42562</v>
      </c>
      <c r="F17" s="8">
        <f>D17-E17</f>
        <v>0.53958333333139308</v>
      </c>
      <c r="G17" t="s">
        <v>7</v>
      </c>
      <c r="H17" s="7">
        <f t="shared" si="0"/>
        <v>2.0138888889050577E-2</v>
      </c>
      <c r="I17" s="13">
        <f t="shared" si="1"/>
        <v>0.48333333333333334</v>
      </c>
      <c r="J17" t="s">
        <v>472</v>
      </c>
      <c r="K17" t="s">
        <v>396</v>
      </c>
      <c r="L17">
        <v>11.8</v>
      </c>
      <c r="M17" s="5">
        <f t="shared" si="2"/>
        <v>24.413793103448278</v>
      </c>
      <c r="N17" t="s">
        <v>53</v>
      </c>
      <c r="O17" t="str">
        <f t="shared" si="3"/>
        <v>Between Offices</v>
      </c>
    </row>
    <row r="18" spans="1:15" x14ac:dyDescent="0.3">
      <c r="A18" s="1">
        <v>42562.803472222222</v>
      </c>
      <c r="B18" s="6">
        <f>INT(A18:A57)</f>
        <v>42562</v>
      </c>
      <c r="C18" s="7">
        <f>(A18-B18)</f>
        <v>0.80347222222189885</v>
      </c>
      <c r="D18" s="1">
        <v>42562.831250000003</v>
      </c>
      <c r="E18" s="6">
        <f>INT(D18)</f>
        <v>42562</v>
      </c>
      <c r="F18" s="8">
        <f>D18-E18</f>
        <v>0.83125000000291038</v>
      </c>
      <c r="G18" t="s">
        <v>7</v>
      </c>
      <c r="H18" s="7">
        <f t="shared" si="0"/>
        <v>2.7777777781011537E-2</v>
      </c>
      <c r="I18" s="13">
        <f t="shared" si="1"/>
        <v>0.66666666666666663</v>
      </c>
      <c r="J18" t="s">
        <v>396</v>
      </c>
      <c r="K18" t="s">
        <v>472</v>
      </c>
      <c r="L18">
        <v>13.2</v>
      </c>
      <c r="M18" s="5">
        <f t="shared" si="2"/>
        <v>19.8</v>
      </c>
      <c r="N18" t="s">
        <v>53</v>
      </c>
      <c r="O18" t="str">
        <f t="shared" si="3"/>
        <v>Between Offices</v>
      </c>
    </row>
    <row r="19" spans="1:15" x14ac:dyDescent="0.3">
      <c r="A19" s="1">
        <v>42593.436805555553</v>
      </c>
      <c r="B19" s="6">
        <f>INT(A19:A58)</f>
        <v>42593</v>
      </c>
      <c r="C19" s="7">
        <f>(A19-B19)</f>
        <v>0.43680555555329192</v>
      </c>
      <c r="D19" s="1">
        <v>42593.456250000003</v>
      </c>
      <c r="E19" s="6">
        <f>INT(D19)</f>
        <v>42593</v>
      </c>
      <c r="F19" s="8">
        <f>D19-E19</f>
        <v>0.45625000000291038</v>
      </c>
      <c r="G19" t="s">
        <v>7</v>
      </c>
      <c r="H19" s="7">
        <f t="shared" si="0"/>
        <v>1.9444444449618459E-2</v>
      </c>
      <c r="I19" s="13">
        <f t="shared" si="1"/>
        <v>0.46666666666666667</v>
      </c>
      <c r="J19" t="s">
        <v>472</v>
      </c>
      <c r="K19" t="s">
        <v>396</v>
      </c>
      <c r="L19">
        <v>12.2</v>
      </c>
      <c r="M19" s="5">
        <f t="shared" si="2"/>
        <v>26.142857142857142</v>
      </c>
      <c r="N19" t="s">
        <v>53</v>
      </c>
      <c r="O19" t="str">
        <f t="shared" si="3"/>
        <v>Between Offices</v>
      </c>
    </row>
    <row r="20" spans="1:15" x14ac:dyDescent="0.3">
      <c r="A20" t="s">
        <v>1257</v>
      </c>
      <c r="B20" s="2">
        <v>42694</v>
      </c>
      <c r="C20" s="7">
        <v>0.43541666666666662</v>
      </c>
      <c r="D20" t="s">
        <v>1258</v>
      </c>
      <c r="E20" s="2">
        <v>42694</v>
      </c>
      <c r="F20" s="8">
        <v>0.48055555555555557</v>
      </c>
      <c r="G20" t="s">
        <v>7</v>
      </c>
      <c r="H20" s="7">
        <f t="shared" si="0"/>
        <v>4.5138888888888951E-2</v>
      </c>
      <c r="I20" s="13">
        <f t="shared" si="1"/>
        <v>1.0833333333333333</v>
      </c>
      <c r="J20" t="s">
        <v>15</v>
      </c>
      <c r="K20" t="s">
        <v>15</v>
      </c>
      <c r="L20">
        <v>39.200000000000003</v>
      </c>
      <c r="M20" s="5">
        <f t="shared" si="2"/>
        <v>36.184615384615391</v>
      </c>
      <c r="N20" t="s">
        <v>53</v>
      </c>
      <c r="O20" t="str">
        <f t="shared" si="3"/>
        <v>Between Offices</v>
      </c>
    </row>
    <row r="21" spans="1:15" x14ac:dyDescent="0.3">
      <c r="A21" t="s">
        <v>1303</v>
      </c>
      <c r="B21" s="2">
        <v>42700</v>
      </c>
      <c r="C21" s="7">
        <v>0.77013888888888893</v>
      </c>
      <c r="D21" t="s">
        <v>1304</v>
      </c>
      <c r="E21" s="2">
        <v>42700</v>
      </c>
      <c r="F21" s="8">
        <v>0.7944444444444444</v>
      </c>
      <c r="G21" t="s">
        <v>7</v>
      </c>
      <c r="H21" s="7">
        <f t="shared" si="0"/>
        <v>2.4305555555555469E-2</v>
      </c>
      <c r="I21" s="13">
        <f t="shared" si="1"/>
        <v>0.58333333333333337</v>
      </c>
      <c r="J21" t="s">
        <v>329</v>
      </c>
      <c r="K21" t="s">
        <v>15</v>
      </c>
      <c r="L21">
        <v>13.3</v>
      </c>
      <c r="M21" s="5">
        <f t="shared" si="2"/>
        <v>22.8</v>
      </c>
      <c r="N21" t="s">
        <v>53</v>
      </c>
      <c r="O21" t="str">
        <f t="shared" si="3"/>
        <v>Between Offices</v>
      </c>
    </row>
    <row r="22" spans="1:15" x14ac:dyDescent="0.3">
      <c r="A22" t="s">
        <v>1501</v>
      </c>
      <c r="B22" s="2">
        <v>42733</v>
      </c>
      <c r="C22" s="7">
        <v>0.61249999999999993</v>
      </c>
      <c r="D22" t="s">
        <v>1502</v>
      </c>
      <c r="E22" s="2">
        <v>42733</v>
      </c>
      <c r="F22" s="8">
        <v>0.62361111111111112</v>
      </c>
      <c r="G22" t="s">
        <v>7</v>
      </c>
      <c r="H22" s="7">
        <f t="shared" si="0"/>
        <v>1.1111111111111183E-2</v>
      </c>
      <c r="I22" s="13">
        <f t="shared" si="1"/>
        <v>0.26666666666666666</v>
      </c>
      <c r="J22" t="s">
        <v>1464</v>
      </c>
      <c r="K22" t="s">
        <v>1464</v>
      </c>
      <c r="L22">
        <v>6.1</v>
      </c>
      <c r="M22" s="5">
        <f t="shared" si="2"/>
        <v>22.875</v>
      </c>
      <c r="N22" t="s">
        <v>53</v>
      </c>
      <c r="O22" t="str">
        <f t="shared" si="3"/>
        <v>Between Offices</v>
      </c>
    </row>
    <row r="23" spans="1:15" x14ac:dyDescent="0.3">
      <c r="A23" t="s">
        <v>656</v>
      </c>
      <c r="B23" s="2">
        <v>42568</v>
      </c>
      <c r="C23" s="7">
        <v>0.47430555555555554</v>
      </c>
      <c r="D23" t="s">
        <v>657</v>
      </c>
      <c r="E23" s="2">
        <v>42568</v>
      </c>
      <c r="F23" s="8">
        <v>0.49305555555555558</v>
      </c>
      <c r="G23" t="s">
        <v>55</v>
      </c>
      <c r="H23" s="7">
        <f t="shared" si="0"/>
        <v>1.8750000000000044E-2</v>
      </c>
      <c r="I23" s="13">
        <f t="shared" si="1"/>
        <v>0.45</v>
      </c>
      <c r="J23" t="s">
        <v>630</v>
      </c>
      <c r="K23" t="s">
        <v>649</v>
      </c>
      <c r="L23">
        <v>15.1</v>
      </c>
      <c r="M23" s="5">
        <f t="shared" si="2"/>
        <v>33.555555555555557</v>
      </c>
      <c r="N23" t="s">
        <v>658</v>
      </c>
      <c r="O23" t="str">
        <f t="shared" si="3"/>
        <v>Charity ($)</v>
      </c>
    </row>
    <row r="24" spans="1:15" x14ac:dyDescent="0.3">
      <c r="A24" t="s">
        <v>659</v>
      </c>
      <c r="B24" s="2">
        <v>42568</v>
      </c>
      <c r="C24" s="7">
        <v>0.51388888888888895</v>
      </c>
      <c r="D24" t="s">
        <v>660</v>
      </c>
      <c r="E24" s="2">
        <v>42568</v>
      </c>
      <c r="F24" s="8">
        <v>0.64236111111111105</v>
      </c>
      <c r="G24" t="s">
        <v>55</v>
      </c>
      <c r="H24" s="7">
        <f t="shared" si="0"/>
        <v>0.1284722222222221</v>
      </c>
      <c r="I24" s="13">
        <f t="shared" si="1"/>
        <v>3.0833333333333335</v>
      </c>
      <c r="J24" t="s">
        <v>649</v>
      </c>
      <c r="K24" t="s">
        <v>15</v>
      </c>
      <c r="L24">
        <v>180.2</v>
      </c>
      <c r="M24" s="5">
        <f t="shared" si="2"/>
        <v>58.443243243243238</v>
      </c>
      <c r="N24" t="s">
        <v>661</v>
      </c>
      <c r="O24" t="str">
        <f t="shared" si="3"/>
        <v>Commute</v>
      </c>
    </row>
    <row r="25" spans="1:15" x14ac:dyDescent="0.3">
      <c r="A25" s="1">
        <v>42522.612500000003</v>
      </c>
      <c r="B25" s="6">
        <f>INT(A25)</f>
        <v>42522</v>
      </c>
      <c r="C25" s="7">
        <f>(A25-B25)</f>
        <v>0.61250000000291038</v>
      </c>
      <c r="D25" s="1">
        <v>42522.65902777778</v>
      </c>
      <c r="E25" s="6">
        <f>INT(D25)</f>
        <v>42522</v>
      </c>
      <c r="F25" s="8">
        <f>D25-E25</f>
        <v>0.65902777777955635</v>
      </c>
      <c r="G25" t="s">
        <v>7</v>
      </c>
      <c r="H25" s="7">
        <f t="shared" si="0"/>
        <v>4.6527777776645962E-2</v>
      </c>
      <c r="I25" s="13">
        <f t="shared" si="1"/>
        <v>1.1166666666666667</v>
      </c>
      <c r="J25" t="s">
        <v>8</v>
      </c>
      <c r="K25" t="s">
        <v>12</v>
      </c>
      <c r="L25">
        <v>63.7</v>
      </c>
      <c r="M25" s="5">
        <f t="shared" si="2"/>
        <v>57.044776119402989</v>
      </c>
      <c r="N25" t="s">
        <v>13</v>
      </c>
      <c r="O25" t="str">
        <f t="shared" si="3"/>
        <v>Customer Visit</v>
      </c>
    </row>
    <row r="26" spans="1:15" x14ac:dyDescent="0.3">
      <c r="A26" s="1">
        <v>42644.511805555558</v>
      </c>
      <c r="B26" s="6">
        <f>INT(A26)</f>
        <v>42644</v>
      </c>
      <c r="C26" s="7">
        <f>(A26-B26)</f>
        <v>0.5118055555576575</v>
      </c>
      <c r="D26" s="1">
        <v>42644.530555555553</v>
      </c>
      <c r="E26" s="6">
        <f>INT(D26)</f>
        <v>42644</v>
      </c>
      <c r="F26" s="8">
        <f>D26-E26</f>
        <v>0.53055555555329192</v>
      </c>
      <c r="G26" t="s">
        <v>7</v>
      </c>
      <c r="H26" s="7">
        <f t="shared" si="0"/>
        <v>1.8749999995634425E-2</v>
      </c>
      <c r="I26" s="13">
        <f t="shared" si="1"/>
        <v>0.45</v>
      </c>
      <c r="J26" t="s">
        <v>17</v>
      </c>
      <c r="K26" t="s">
        <v>18</v>
      </c>
      <c r="L26">
        <v>16.5</v>
      </c>
      <c r="M26" s="5">
        <f t="shared" si="2"/>
        <v>36.666666666666664</v>
      </c>
      <c r="N26" t="s">
        <v>13</v>
      </c>
      <c r="O26" t="str">
        <f t="shared" si="3"/>
        <v>Customer Visit</v>
      </c>
    </row>
    <row r="27" spans="1:15" x14ac:dyDescent="0.3">
      <c r="A27" s="1">
        <v>42705.634027777778</v>
      </c>
      <c r="B27" s="6">
        <f>INT(A27)</f>
        <v>42705</v>
      </c>
      <c r="C27" s="7">
        <f>(A27-B27)</f>
        <v>0.63402777777810115</v>
      </c>
      <c r="D27" s="1">
        <v>42705.644444444442</v>
      </c>
      <c r="E27" s="6">
        <f>INT(D27)</f>
        <v>42705</v>
      </c>
      <c r="F27" s="8">
        <f>D27-E27</f>
        <v>0.6444444444423425</v>
      </c>
      <c r="G27" t="s">
        <v>7</v>
      </c>
      <c r="H27" s="7">
        <f t="shared" si="0"/>
        <v>1.0416666664241347E-2</v>
      </c>
      <c r="I27" s="13">
        <f t="shared" si="1"/>
        <v>0.25</v>
      </c>
      <c r="J27" t="s">
        <v>27</v>
      </c>
      <c r="K27" t="s">
        <v>29</v>
      </c>
      <c r="L27">
        <v>2.4</v>
      </c>
      <c r="M27" s="5">
        <f t="shared" si="2"/>
        <v>9.6</v>
      </c>
      <c r="N27" t="s">
        <v>13</v>
      </c>
      <c r="O27" t="str">
        <f t="shared" si="3"/>
        <v>Customer Visit</v>
      </c>
    </row>
    <row r="28" spans="1:15" x14ac:dyDescent="0.3">
      <c r="B28" s="2">
        <v>42383</v>
      </c>
      <c r="C28" s="7">
        <v>0.68680555555555556</v>
      </c>
      <c r="E28" s="2">
        <v>42383</v>
      </c>
      <c r="F28" s="8">
        <v>0.71180555555555547</v>
      </c>
      <c r="G28" t="s">
        <v>7</v>
      </c>
      <c r="H28" s="7">
        <f t="shared" si="0"/>
        <v>2.4999999999999911E-2</v>
      </c>
      <c r="I28" s="13">
        <f t="shared" si="1"/>
        <v>0.6</v>
      </c>
      <c r="J28" t="s">
        <v>33</v>
      </c>
      <c r="K28" t="s">
        <v>33</v>
      </c>
      <c r="L28">
        <v>21.9</v>
      </c>
      <c r="M28" s="5">
        <f t="shared" si="2"/>
        <v>36.5</v>
      </c>
      <c r="N28" t="s">
        <v>13</v>
      </c>
      <c r="O28" t="str">
        <f t="shared" si="3"/>
        <v>Customer Visit</v>
      </c>
    </row>
    <row r="29" spans="1:15" x14ac:dyDescent="0.3">
      <c r="B29" s="2">
        <v>42389</v>
      </c>
      <c r="C29" s="7">
        <v>0.55902777777777779</v>
      </c>
      <c r="E29" s="2">
        <v>42389</v>
      </c>
      <c r="F29" s="8">
        <v>0.59652777777777777</v>
      </c>
      <c r="G29" t="s">
        <v>7</v>
      </c>
      <c r="H29" s="7">
        <f t="shared" si="0"/>
        <v>3.7499999999999978E-2</v>
      </c>
      <c r="I29" s="13">
        <f t="shared" si="1"/>
        <v>0.9</v>
      </c>
      <c r="J29" t="s">
        <v>40</v>
      </c>
      <c r="K29" t="s">
        <v>15</v>
      </c>
      <c r="L29">
        <v>40.200000000000003</v>
      </c>
      <c r="M29" s="5">
        <f t="shared" si="2"/>
        <v>44.666666666666671</v>
      </c>
      <c r="N29" t="s">
        <v>13</v>
      </c>
      <c r="O29" t="str">
        <f t="shared" si="3"/>
        <v>Customer Visit</v>
      </c>
    </row>
    <row r="30" spans="1:15" x14ac:dyDescent="0.3">
      <c r="B30" s="2">
        <v>42396</v>
      </c>
      <c r="C30" s="7">
        <v>0.42986111111111108</v>
      </c>
      <c r="E30" s="2">
        <v>42396</v>
      </c>
      <c r="F30" s="8">
        <v>0.45</v>
      </c>
      <c r="G30" t="s">
        <v>7</v>
      </c>
      <c r="H30" s="7">
        <f t="shared" si="0"/>
        <v>2.0138888888888928E-2</v>
      </c>
      <c r="I30" s="13">
        <f t="shared" si="1"/>
        <v>0.48333333333333334</v>
      </c>
      <c r="J30" t="s">
        <v>15</v>
      </c>
      <c r="K30" t="s">
        <v>40</v>
      </c>
      <c r="L30">
        <v>18.7</v>
      </c>
      <c r="M30" s="5">
        <f t="shared" si="2"/>
        <v>38.689655172413794</v>
      </c>
      <c r="N30" t="s">
        <v>13</v>
      </c>
      <c r="O30" t="str">
        <f t="shared" si="3"/>
        <v>Customer Visit</v>
      </c>
    </row>
    <row r="31" spans="1:15" x14ac:dyDescent="0.3">
      <c r="B31" s="2">
        <v>42396</v>
      </c>
      <c r="C31" s="7">
        <v>0.52361111111111114</v>
      </c>
      <c r="E31" s="2">
        <v>42396</v>
      </c>
      <c r="F31" s="8">
        <v>0.53055555555555556</v>
      </c>
      <c r="G31" t="s">
        <v>7</v>
      </c>
      <c r="H31" s="7">
        <f t="shared" si="0"/>
        <v>6.9444444444444198E-3</v>
      </c>
      <c r="I31" s="13">
        <f t="shared" si="1"/>
        <v>0.16666666666666666</v>
      </c>
      <c r="J31" t="s">
        <v>45</v>
      </c>
      <c r="K31" t="s">
        <v>46</v>
      </c>
      <c r="L31">
        <v>3.4</v>
      </c>
      <c r="M31" s="5">
        <f t="shared" si="2"/>
        <v>20.400000000000002</v>
      </c>
      <c r="N31" t="s">
        <v>13</v>
      </c>
      <c r="O31" t="str">
        <f t="shared" si="3"/>
        <v>Customer Visit</v>
      </c>
    </row>
    <row r="32" spans="1:15" x14ac:dyDescent="0.3">
      <c r="B32" s="2">
        <v>42396</v>
      </c>
      <c r="C32" s="7">
        <v>0.58680555555555558</v>
      </c>
      <c r="E32" s="2">
        <v>42396</v>
      </c>
      <c r="F32" s="8">
        <v>0.59236111111111112</v>
      </c>
      <c r="G32" t="s">
        <v>7</v>
      </c>
      <c r="H32" s="7">
        <f t="shared" si="0"/>
        <v>5.5555555555555358E-3</v>
      </c>
      <c r="I32" s="13">
        <f t="shared" si="1"/>
        <v>0.13333333333333333</v>
      </c>
      <c r="J32" t="s">
        <v>40</v>
      </c>
      <c r="K32" t="s">
        <v>40</v>
      </c>
      <c r="L32">
        <v>2.7</v>
      </c>
      <c r="M32" s="5">
        <f t="shared" si="2"/>
        <v>20.25</v>
      </c>
      <c r="N32" t="s">
        <v>13</v>
      </c>
      <c r="O32" t="str">
        <f t="shared" si="3"/>
        <v>Customer Visit</v>
      </c>
    </row>
    <row r="33" spans="1:15" x14ac:dyDescent="0.3">
      <c r="B33" s="2">
        <v>42396</v>
      </c>
      <c r="C33" s="7">
        <v>0.61527777777777781</v>
      </c>
      <c r="E33" s="2">
        <v>42396</v>
      </c>
      <c r="F33" s="8">
        <v>0.63055555555555554</v>
      </c>
      <c r="G33" t="s">
        <v>7</v>
      </c>
      <c r="H33" s="7">
        <f t="shared" si="0"/>
        <v>1.5277777777777724E-2</v>
      </c>
      <c r="I33" s="13">
        <f t="shared" si="1"/>
        <v>0.36666666666666664</v>
      </c>
      <c r="J33" t="s">
        <v>40</v>
      </c>
      <c r="K33" t="s">
        <v>15</v>
      </c>
      <c r="L33">
        <v>12.9</v>
      </c>
      <c r="M33" s="5">
        <f t="shared" si="2"/>
        <v>35.181818181818187</v>
      </c>
      <c r="N33" t="s">
        <v>13</v>
      </c>
      <c r="O33" t="str">
        <f t="shared" si="3"/>
        <v>Customer Visit</v>
      </c>
    </row>
    <row r="34" spans="1:15" x14ac:dyDescent="0.3">
      <c r="B34" s="2">
        <v>42398</v>
      </c>
      <c r="C34" s="7">
        <v>0.39652777777777781</v>
      </c>
      <c r="E34" s="2">
        <v>42398</v>
      </c>
      <c r="F34" s="8">
        <v>0.40625</v>
      </c>
      <c r="G34" t="s">
        <v>7</v>
      </c>
      <c r="H34" s="7">
        <f t="shared" si="0"/>
        <v>9.7222222222221877E-3</v>
      </c>
      <c r="I34" s="13">
        <f t="shared" si="1"/>
        <v>0.23333333333333334</v>
      </c>
      <c r="J34" t="s">
        <v>15</v>
      </c>
      <c r="K34" t="s">
        <v>15</v>
      </c>
      <c r="L34">
        <v>4.5999999999999996</v>
      </c>
      <c r="M34" s="5">
        <f t="shared" si="2"/>
        <v>19.714285714285712</v>
      </c>
      <c r="N34" t="s">
        <v>13</v>
      </c>
      <c r="O34" t="str">
        <f t="shared" si="3"/>
        <v>Customer Visit</v>
      </c>
    </row>
    <row r="35" spans="1:15" x14ac:dyDescent="0.3">
      <c r="B35" s="2">
        <v>42399</v>
      </c>
      <c r="C35" s="7">
        <v>0.75624999999999998</v>
      </c>
      <c r="E35" s="2">
        <v>42399</v>
      </c>
      <c r="F35" s="8">
        <v>0.76666666666666661</v>
      </c>
      <c r="G35" t="s">
        <v>7</v>
      </c>
      <c r="H35" s="7">
        <f t="shared" si="0"/>
        <v>1.041666666666663E-2</v>
      </c>
      <c r="I35" s="13">
        <f t="shared" si="1"/>
        <v>0.25</v>
      </c>
      <c r="J35" t="s">
        <v>48</v>
      </c>
      <c r="K35" t="s">
        <v>15</v>
      </c>
      <c r="L35">
        <v>5.7</v>
      </c>
      <c r="M35" s="5">
        <f t="shared" si="2"/>
        <v>22.8</v>
      </c>
      <c r="N35" t="s">
        <v>13</v>
      </c>
      <c r="O35" t="str">
        <f t="shared" si="3"/>
        <v>Customer Visit</v>
      </c>
    </row>
    <row r="36" spans="1:15" x14ac:dyDescent="0.3">
      <c r="A36" s="1">
        <v>42371.440972222219</v>
      </c>
      <c r="B36" s="6">
        <f>INT(A36:A75)</f>
        <v>42371</v>
      </c>
      <c r="C36" s="7">
        <f>(A36-B36)</f>
        <v>0.44097222221898846</v>
      </c>
      <c r="D36" s="1">
        <v>42371.46875</v>
      </c>
      <c r="E36" s="6">
        <f>INT(D36:D75)</f>
        <v>42371</v>
      </c>
      <c r="F36" s="8">
        <f>(D36-E36)</f>
        <v>0.46875</v>
      </c>
      <c r="G36" t="s">
        <v>7</v>
      </c>
      <c r="H36" s="7">
        <f t="shared" si="0"/>
        <v>2.7777777781011537E-2</v>
      </c>
      <c r="I36" s="13">
        <f t="shared" si="1"/>
        <v>0.66666666666666663</v>
      </c>
      <c r="J36" t="s">
        <v>15</v>
      </c>
      <c r="K36" t="s">
        <v>49</v>
      </c>
      <c r="L36">
        <v>19.399999999999999</v>
      </c>
      <c r="M36" s="5">
        <f t="shared" si="2"/>
        <v>29.099999999999998</v>
      </c>
      <c r="N36" t="s">
        <v>13</v>
      </c>
      <c r="O36" t="str">
        <f t="shared" si="3"/>
        <v>Customer Visit</v>
      </c>
    </row>
    <row r="37" spans="1:15" x14ac:dyDescent="0.3">
      <c r="A37" s="1">
        <v>42371.506944444445</v>
      </c>
      <c r="B37" s="6">
        <f>INT(A37:A76)</f>
        <v>42371</v>
      </c>
      <c r="C37" s="7">
        <f>(A37-B37)</f>
        <v>0.50694444444525288</v>
      </c>
      <c r="D37" s="1">
        <v>42371.529861111114</v>
      </c>
      <c r="E37" s="6">
        <f>INT(D37:D76)</f>
        <v>42371</v>
      </c>
      <c r="F37" s="8">
        <f>(D37-E37)</f>
        <v>0.52986111111385981</v>
      </c>
      <c r="G37" t="s">
        <v>7</v>
      </c>
      <c r="H37" s="7">
        <f t="shared" si="0"/>
        <v>2.2916666668606922E-2</v>
      </c>
      <c r="I37" s="13">
        <f t="shared" si="1"/>
        <v>0.55000000000000004</v>
      </c>
      <c r="J37" t="s">
        <v>49</v>
      </c>
      <c r="K37" t="s">
        <v>15</v>
      </c>
      <c r="L37">
        <v>23.3</v>
      </c>
      <c r="M37" s="5">
        <f t="shared" si="2"/>
        <v>42.36363636363636</v>
      </c>
      <c r="N37" t="s">
        <v>13</v>
      </c>
      <c r="O37" t="str">
        <f t="shared" si="3"/>
        <v>Customer Visit</v>
      </c>
    </row>
    <row r="38" spans="1:15" x14ac:dyDescent="0.3">
      <c r="A38" s="1">
        <v>42553.752083333333</v>
      </c>
      <c r="B38" s="6">
        <f>INT(A38:A75)</f>
        <v>42553</v>
      </c>
      <c r="C38" s="7">
        <f>(A38-B38)</f>
        <v>0.75208333333284827</v>
      </c>
      <c r="D38" s="1">
        <v>42553.761805555558</v>
      </c>
      <c r="E38" s="6">
        <f>INT(D38:D75)</f>
        <v>42553</v>
      </c>
      <c r="F38" s="8">
        <f>(D38-E38)</f>
        <v>0.7618055555576575</v>
      </c>
      <c r="G38" t="s">
        <v>7</v>
      </c>
      <c r="H38" s="7">
        <f t="shared" si="0"/>
        <v>9.7222222248092294E-3</v>
      </c>
      <c r="I38" s="13">
        <f t="shared" si="1"/>
        <v>0.23333333333333334</v>
      </c>
      <c r="J38" t="s">
        <v>48</v>
      </c>
      <c r="K38" t="s">
        <v>15</v>
      </c>
      <c r="L38">
        <v>5.7</v>
      </c>
      <c r="M38" s="5">
        <f t="shared" si="2"/>
        <v>24.428571428571431</v>
      </c>
      <c r="N38" t="s">
        <v>13</v>
      </c>
      <c r="O38" t="str">
        <f t="shared" si="3"/>
        <v>Customer Visit</v>
      </c>
    </row>
    <row r="39" spans="1:15" x14ac:dyDescent="0.3">
      <c r="A39" s="1">
        <v>42706.468055555553</v>
      </c>
      <c r="B39" s="6">
        <f>INT(A39:A76)</f>
        <v>42706</v>
      </c>
      <c r="C39" s="7">
        <f>(A39-B39)</f>
        <v>0.46805555555329192</v>
      </c>
      <c r="D39" s="1">
        <v>42706.482638888891</v>
      </c>
      <c r="E39" s="6">
        <f>INT(D39:D76)</f>
        <v>42706</v>
      </c>
      <c r="F39" s="8">
        <f>(D39-E39)</f>
        <v>0.48263888889050577</v>
      </c>
      <c r="G39" t="s">
        <v>7</v>
      </c>
      <c r="H39" s="7">
        <f t="shared" si="0"/>
        <v>1.4583333337213844E-2</v>
      </c>
      <c r="I39" s="13">
        <f t="shared" si="1"/>
        <v>0.35</v>
      </c>
      <c r="J39" t="s">
        <v>16</v>
      </c>
      <c r="K39" t="s">
        <v>40</v>
      </c>
      <c r="L39">
        <v>17</v>
      </c>
      <c r="M39" s="5">
        <f t="shared" si="2"/>
        <v>48.571428571428577</v>
      </c>
      <c r="N39" t="s">
        <v>13</v>
      </c>
      <c r="O39" t="str">
        <f t="shared" si="3"/>
        <v>Customer Visit</v>
      </c>
    </row>
    <row r="40" spans="1:15" x14ac:dyDescent="0.3">
      <c r="A40" s="1">
        <v>42706.647916666669</v>
      </c>
      <c r="B40" s="6">
        <f>INT(A40:A77)</f>
        <v>42706</v>
      </c>
      <c r="C40" s="7">
        <f>(A40-B40)</f>
        <v>0.64791666666860692</v>
      </c>
      <c r="D40" s="1">
        <v>42706.67083333333</v>
      </c>
      <c r="E40" s="6">
        <f>INT(D40:D77)</f>
        <v>42706</v>
      </c>
      <c r="F40" s="8">
        <f>(D40-E40)</f>
        <v>0.67083333332993789</v>
      </c>
      <c r="G40" t="s">
        <v>7</v>
      </c>
      <c r="H40" s="7">
        <f t="shared" si="0"/>
        <v>2.2916666661330964E-2</v>
      </c>
      <c r="I40" s="13">
        <f t="shared" si="1"/>
        <v>0.55000000000000004</v>
      </c>
      <c r="J40" t="s">
        <v>16</v>
      </c>
      <c r="K40" t="s">
        <v>15</v>
      </c>
      <c r="L40">
        <v>11.5</v>
      </c>
      <c r="M40" s="5">
        <f t="shared" si="2"/>
        <v>20.909090909090907</v>
      </c>
      <c r="N40" t="s">
        <v>13</v>
      </c>
      <c r="O40" t="str">
        <f t="shared" si="3"/>
        <v>Customer Visit</v>
      </c>
    </row>
    <row r="41" spans="1:15" x14ac:dyDescent="0.3">
      <c r="A41" t="s">
        <v>1548</v>
      </c>
      <c r="B41" s="2">
        <v>42416</v>
      </c>
      <c r="C41" s="7">
        <v>0.13958333333333334</v>
      </c>
      <c r="D41" t="s">
        <v>70</v>
      </c>
      <c r="E41" s="2">
        <v>42416</v>
      </c>
      <c r="F41" s="8">
        <v>0.17569444444444446</v>
      </c>
      <c r="G41" t="s">
        <v>7</v>
      </c>
      <c r="H41" s="7">
        <f t="shared" si="0"/>
        <v>3.6111111111111122E-2</v>
      </c>
      <c r="I41" s="13">
        <f t="shared" si="1"/>
        <v>0.8666666666666667</v>
      </c>
      <c r="J41" t="s">
        <v>71</v>
      </c>
      <c r="K41" t="s">
        <v>72</v>
      </c>
      <c r="L41">
        <v>43.7</v>
      </c>
      <c r="M41" s="5">
        <f t="shared" si="2"/>
        <v>50.423076923076927</v>
      </c>
      <c r="N41" t="s">
        <v>13</v>
      </c>
      <c r="O41" t="str">
        <f t="shared" si="3"/>
        <v>Customer Visit</v>
      </c>
    </row>
    <row r="42" spans="1:15" x14ac:dyDescent="0.3">
      <c r="B42" s="2">
        <v>42418</v>
      </c>
      <c r="C42" s="7">
        <v>0.78055555555555556</v>
      </c>
      <c r="D42" t="s">
        <v>90</v>
      </c>
      <c r="E42" s="2">
        <v>42418</v>
      </c>
      <c r="F42" s="8">
        <v>0.79027777777777775</v>
      </c>
      <c r="G42" t="s">
        <v>7</v>
      </c>
      <c r="H42" s="7">
        <f t="shared" si="0"/>
        <v>9.7222222222221877E-3</v>
      </c>
      <c r="I42" s="13">
        <f t="shared" si="1"/>
        <v>0.23333333333333334</v>
      </c>
      <c r="J42" t="s">
        <v>72</v>
      </c>
      <c r="K42" t="s">
        <v>88</v>
      </c>
      <c r="L42">
        <v>5.2</v>
      </c>
      <c r="M42" s="5">
        <f t="shared" si="2"/>
        <v>22.285714285714285</v>
      </c>
      <c r="N42" t="s">
        <v>13</v>
      </c>
      <c r="O42" t="str">
        <f t="shared" si="3"/>
        <v>Customer Visit</v>
      </c>
    </row>
    <row r="43" spans="1:15" x14ac:dyDescent="0.3">
      <c r="B43" s="2">
        <v>42422</v>
      </c>
      <c r="C43" s="7">
        <v>0.91249999999999998</v>
      </c>
      <c r="D43" t="s">
        <v>123</v>
      </c>
      <c r="E43" s="2">
        <v>42422</v>
      </c>
      <c r="F43" s="8">
        <v>0.92291666666666661</v>
      </c>
      <c r="G43" t="s">
        <v>7</v>
      </c>
      <c r="H43" s="7">
        <f t="shared" si="0"/>
        <v>1.041666666666663E-2</v>
      </c>
      <c r="I43" s="13">
        <f t="shared" si="1"/>
        <v>0.25</v>
      </c>
      <c r="J43" t="s">
        <v>16</v>
      </c>
      <c r="K43" t="s">
        <v>15</v>
      </c>
      <c r="L43">
        <v>8.1</v>
      </c>
      <c r="M43" s="5">
        <f t="shared" si="2"/>
        <v>32.4</v>
      </c>
      <c r="N43" t="s">
        <v>13</v>
      </c>
      <c r="O43" t="str">
        <f t="shared" si="3"/>
        <v>Customer Visit</v>
      </c>
    </row>
    <row r="44" spans="1:15" x14ac:dyDescent="0.3">
      <c r="B44" s="2">
        <v>42429</v>
      </c>
      <c r="C44" s="7">
        <v>0.69444444444444453</v>
      </c>
      <c r="D44" t="s">
        <v>145</v>
      </c>
      <c r="E44" s="2">
        <v>42429</v>
      </c>
      <c r="F44" s="8">
        <v>0.70833333333333337</v>
      </c>
      <c r="G44" t="s">
        <v>7</v>
      </c>
      <c r="H44" s="7">
        <f t="shared" si="0"/>
        <v>1.388888888888884E-2</v>
      </c>
      <c r="I44" s="13">
        <f t="shared" si="1"/>
        <v>0.33333333333333331</v>
      </c>
      <c r="J44" t="s">
        <v>43</v>
      </c>
      <c r="K44" t="s">
        <v>38</v>
      </c>
      <c r="L44">
        <v>6.6</v>
      </c>
      <c r="M44" s="5">
        <f t="shared" si="2"/>
        <v>19.8</v>
      </c>
      <c r="N44" t="s">
        <v>13</v>
      </c>
      <c r="O44" t="str">
        <f t="shared" si="3"/>
        <v>Customer Visit</v>
      </c>
    </row>
    <row r="45" spans="1:15" x14ac:dyDescent="0.3">
      <c r="A45" s="1">
        <v>42432.643750000003</v>
      </c>
      <c r="B45" s="6">
        <f>INT(A45:A84)</f>
        <v>42432</v>
      </c>
      <c r="C45" s="7">
        <f>(A45-B45)</f>
        <v>0.64375000000291038</v>
      </c>
      <c r="D45" s="1">
        <v>42432.658333333333</v>
      </c>
      <c r="E45" s="6">
        <f>INT(D45)</f>
        <v>42432</v>
      </c>
      <c r="F45" s="8">
        <f>D45-E45</f>
        <v>0.65833333333284827</v>
      </c>
      <c r="G45" t="s">
        <v>7</v>
      </c>
      <c r="H45" s="7">
        <f t="shared" si="0"/>
        <v>1.4583333329937886E-2</v>
      </c>
      <c r="I45" s="13">
        <f t="shared" si="1"/>
        <v>0.35</v>
      </c>
      <c r="J45" t="s">
        <v>15</v>
      </c>
      <c r="K45" t="s">
        <v>40</v>
      </c>
      <c r="L45">
        <v>7.6</v>
      </c>
      <c r="M45" s="5">
        <f t="shared" si="2"/>
        <v>21.714285714285715</v>
      </c>
      <c r="N45" t="s">
        <v>13</v>
      </c>
      <c r="O45" t="str">
        <f t="shared" si="3"/>
        <v>Customer Visit</v>
      </c>
    </row>
    <row r="46" spans="1:15" x14ac:dyDescent="0.3">
      <c r="A46" s="1">
        <v>42463.406944444447</v>
      </c>
      <c r="B46" s="6">
        <f>INT(A46:A85)</f>
        <v>42463</v>
      </c>
      <c r="C46" s="7">
        <f>(A46-B46)</f>
        <v>0.40694444444670808</v>
      </c>
      <c r="D46" s="1">
        <v>42463.418749999997</v>
      </c>
      <c r="E46" s="6">
        <f>INT(D46)</f>
        <v>42463</v>
      </c>
      <c r="F46" s="8">
        <f>D46-E46</f>
        <v>0.41874999999708962</v>
      </c>
      <c r="G46" t="s">
        <v>7</v>
      </c>
      <c r="H46" s="7">
        <f t="shared" si="0"/>
        <v>1.1805555550381541E-2</v>
      </c>
      <c r="I46" s="13">
        <f t="shared" si="1"/>
        <v>0.28333333333333333</v>
      </c>
      <c r="J46" t="s">
        <v>36</v>
      </c>
      <c r="K46" t="s">
        <v>15</v>
      </c>
      <c r="L46">
        <v>9.9</v>
      </c>
      <c r="M46" s="5">
        <f t="shared" si="2"/>
        <v>34.941176470588239</v>
      </c>
      <c r="N46" t="s">
        <v>13</v>
      </c>
      <c r="O46" t="str">
        <f t="shared" si="3"/>
        <v>Customer Visit</v>
      </c>
    </row>
    <row r="47" spans="1:15" x14ac:dyDescent="0.3">
      <c r="A47" s="1">
        <v>42463.569444444445</v>
      </c>
      <c r="B47" s="6">
        <f>INT(A47:A86)</f>
        <v>42463</v>
      </c>
      <c r="C47" s="7">
        <f>(A47-B47)</f>
        <v>0.56944444444525288</v>
      </c>
      <c r="D47" s="1">
        <v>42463.589583333334</v>
      </c>
      <c r="E47" s="6">
        <f>INT(D47)</f>
        <v>42463</v>
      </c>
      <c r="F47" s="8">
        <f>D47-E47</f>
        <v>0.58958333333430346</v>
      </c>
      <c r="G47" t="s">
        <v>7</v>
      </c>
      <c r="H47" s="7">
        <f t="shared" si="0"/>
        <v>2.0138888889050577E-2</v>
      </c>
      <c r="I47" s="13">
        <f t="shared" si="1"/>
        <v>0.48333333333333334</v>
      </c>
      <c r="J47" t="s">
        <v>15</v>
      </c>
      <c r="K47" t="s">
        <v>40</v>
      </c>
      <c r="L47">
        <v>15.7</v>
      </c>
      <c r="M47" s="5">
        <f t="shared" si="2"/>
        <v>32.482758620689651</v>
      </c>
      <c r="N47" t="s">
        <v>13</v>
      </c>
      <c r="O47" t="str">
        <f t="shared" si="3"/>
        <v>Customer Visit</v>
      </c>
    </row>
    <row r="48" spans="1:15" x14ac:dyDescent="0.3">
      <c r="A48" s="1">
        <v>42554.390972222223</v>
      </c>
      <c r="B48" s="6">
        <f>INT(A48:A87)</f>
        <v>42554</v>
      </c>
      <c r="C48" s="7">
        <f>(A48-B48)</f>
        <v>0.39097222222335404</v>
      </c>
      <c r="D48" s="1">
        <v>42554.407638888886</v>
      </c>
      <c r="E48" s="6">
        <f>INT(D48)</f>
        <v>42554</v>
      </c>
      <c r="F48" s="8">
        <f>D48-E48</f>
        <v>0.40763888888614019</v>
      </c>
      <c r="G48" t="s">
        <v>7</v>
      </c>
      <c r="H48" s="7">
        <f t="shared" si="0"/>
        <v>1.6666666662786156E-2</v>
      </c>
      <c r="I48" s="13">
        <f t="shared" si="1"/>
        <v>0.4</v>
      </c>
      <c r="J48" t="s">
        <v>15</v>
      </c>
      <c r="K48" t="s">
        <v>40</v>
      </c>
      <c r="L48">
        <v>12.4</v>
      </c>
      <c r="M48" s="5">
        <f t="shared" si="2"/>
        <v>31</v>
      </c>
      <c r="N48" t="s">
        <v>13</v>
      </c>
      <c r="O48" t="str">
        <f t="shared" si="3"/>
        <v>Customer Visit</v>
      </c>
    </row>
    <row r="49" spans="1:15" x14ac:dyDescent="0.3">
      <c r="A49" s="1">
        <v>42554.506944444445</v>
      </c>
      <c r="B49" s="6">
        <f>INT(A49:A88)</f>
        <v>42554</v>
      </c>
      <c r="C49" s="7">
        <f>(A49-B49)</f>
        <v>0.50694444444525288</v>
      </c>
      <c r="D49" s="1">
        <v>42554.518055555556</v>
      </c>
      <c r="E49" s="6">
        <f>INT(D49)</f>
        <v>42554</v>
      </c>
      <c r="F49" s="8">
        <f>D49-E49</f>
        <v>0.51805555555620231</v>
      </c>
      <c r="G49" t="s">
        <v>7</v>
      </c>
      <c r="H49" s="7">
        <f t="shared" si="0"/>
        <v>1.1111111110949423E-2</v>
      </c>
      <c r="I49" s="13">
        <f t="shared" si="1"/>
        <v>0.26666666666666666</v>
      </c>
      <c r="J49" t="s">
        <v>41</v>
      </c>
      <c r="K49" t="s">
        <v>46</v>
      </c>
      <c r="L49">
        <v>5.9</v>
      </c>
      <c r="M49" s="5">
        <f t="shared" si="2"/>
        <v>22.125</v>
      </c>
      <c r="N49" t="s">
        <v>13</v>
      </c>
      <c r="O49" t="str">
        <f t="shared" si="3"/>
        <v>Customer Visit</v>
      </c>
    </row>
    <row r="50" spans="1:15" x14ac:dyDescent="0.3">
      <c r="A50" t="s">
        <v>188</v>
      </c>
      <c r="B50" s="2">
        <v>42446</v>
      </c>
      <c r="C50" s="7">
        <v>0.53611111111111109</v>
      </c>
      <c r="D50" t="s">
        <v>189</v>
      </c>
      <c r="E50" s="2">
        <v>42446</v>
      </c>
      <c r="F50" s="8">
        <v>0.63263888888888886</v>
      </c>
      <c r="G50" t="s">
        <v>7</v>
      </c>
      <c r="H50" s="7">
        <f t="shared" si="0"/>
        <v>9.6527777777777768E-2</v>
      </c>
      <c r="I50" s="13">
        <f t="shared" si="1"/>
        <v>2.3166666666666669</v>
      </c>
      <c r="J50" t="s">
        <v>190</v>
      </c>
      <c r="K50" t="s">
        <v>191</v>
      </c>
      <c r="L50">
        <v>136</v>
      </c>
      <c r="M50" s="5">
        <f t="shared" si="2"/>
        <v>58.705035971223019</v>
      </c>
      <c r="N50" t="s">
        <v>13</v>
      </c>
      <c r="O50" t="str">
        <f t="shared" si="3"/>
        <v>Customer Visit</v>
      </c>
    </row>
    <row r="51" spans="1:15" x14ac:dyDescent="0.3">
      <c r="A51" t="s">
        <v>212</v>
      </c>
      <c r="B51" s="2">
        <v>42447</v>
      </c>
      <c r="C51" s="7">
        <v>0.87569444444444444</v>
      </c>
      <c r="D51" t="s">
        <v>213</v>
      </c>
      <c r="E51" s="2">
        <v>42447</v>
      </c>
      <c r="F51" s="8">
        <v>0.88541666666666663</v>
      </c>
      <c r="G51" t="s">
        <v>7</v>
      </c>
      <c r="H51" s="7">
        <f t="shared" si="0"/>
        <v>9.7222222222221877E-3</v>
      </c>
      <c r="I51" s="13">
        <f t="shared" si="1"/>
        <v>0.23333333333333334</v>
      </c>
      <c r="J51" t="s">
        <v>203</v>
      </c>
      <c r="K51" t="s">
        <v>21</v>
      </c>
      <c r="L51">
        <v>9.1999999999999993</v>
      </c>
      <c r="M51" s="5">
        <f t="shared" si="2"/>
        <v>39.428571428571423</v>
      </c>
      <c r="N51" t="s">
        <v>13</v>
      </c>
      <c r="O51" t="str">
        <f t="shared" si="3"/>
        <v>Customer Visit</v>
      </c>
    </row>
    <row r="52" spans="1:15" x14ac:dyDescent="0.3">
      <c r="A52" t="s">
        <v>216</v>
      </c>
      <c r="B52" s="2">
        <v>42448</v>
      </c>
      <c r="C52" s="7">
        <v>0.53472222222222221</v>
      </c>
      <c r="D52" t="s">
        <v>217</v>
      </c>
      <c r="E52" s="2">
        <v>42448</v>
      </c>
      <c r="F52" s="8">
        <v>0.55069444444444449</v>
      </c>
      <c r="G52" t="s">
        <v>7</v>
      </c>
      <c r="H52" s="7">
        <f t="shared" si="0"/>
        <v>1.5972222222222276E-2</v>
      </c>
      <c r="I52" s="13">
        <f t="shared" si="1"/>
        <v>0.38333333333333336</v>
      </c>
      <c r="J52" t="s">
        <v>33</v>
      </c>
      <c r="K52" t="s">
        <v>218</v>
      </c>
      <c r="L52">
        <v>12</v>
      </c>
      <c r="M52" s="5">
        <f t="shared" si="2"/>
        <v>31.304347826086953</v>
      </c>
      <c r="N52" t="s">
        <v>13</v>
      </c>
      <c r="O52" t="str">
        <f t="shared" si="3"/>
        <v>Customer Visit</v>
      </c>
    </row>
    <row r="53" spans="1:15" x14ac:dyDescent="0.3">
      <c r="A53" t="s">
        <v>219</v>
      </c>
      <c r="B53" s="2">
        <v>42448</v>
      </c>
      <c r="C53" s="7">
        <v>0.58402777777777781</v>
      </c>
      <c r="D53" t="s">
        <v>220</v>
      </c>
      <c r="E53" s="2">
        <v>42448</v>
      </c>
      <c r="F53" s="8">
        <v>0.62291666666666667</v>
      </c>
      <c r="G53" t="s">
        <v>7</v>
      </c>
      <c r="H53" s="7">
        <f t="shared" si="0"/>
        <v>3.8888888888888862E-2</v>
      </c>
      <c r="I53" s="13">
        <f t="shared" si="1"/>
        <v>0.93333333333333335</v>
      </c>
      <c r="J53" t="s">
        <v>218</v>
      </c>
      <c r="K53" t="s">
        <v>33</v>
      </c>
      <c r="L53">
        <v>35.1</v>
      </c>
      <c r="M53" s="5">
        <f t="shared" si="2"/>
        <v>37.607142857142861</v>
      </c>
      <c r="N53" t="s">
        <v>13</v>
      </c>
      <c r="O53" t="str">
        <f t="shared" si="3"/>
        <v>Customer Visit</v>
      </c>
    </row>
    <row r="54" spans="1:15" x14ac:dyDescent="0.3">
      <c r="A54" t="s">
        <v>233</v>
      </c>
      <c r="B54" s="2">
        <v>42448</v>
      </c>
      <c r="C54" s="7">
        <v>0.81458333333333333</v>
      </c>
      <c r="D54" t="s">
        <v>234</v>
      </c>
      <c r="E54" s="2">
        <v>42448</v>
      </c>
      <c r="F54" s="8">
        <v>0.86041666666666661</v>
      </c>
      <c r="G54" t="s">
        <v>7</v>
      </c>
      <c r="H54" s="7">
        <f t="shared" si="0"/>
        <v>4.5833333333333282E-2</v>
      </c>
      <c r="I54" s="13">
        <f t="shared" si="1"/>
        <v>1.1000000000000001</v>
      </c>
      <c r="J54" t="s">
        <v>223</v>
      </c>
      <c r="K54" t="s">
        <v>33</v>
      </c>
      <c r="L54">
        <v>57</v>
      </c>
      <c r="M54" s="5">
        <f t="shared" si="2"/>
        <v>51.818181818181813</v>
      </c>
      <c r="N54" t="s">
        <v>13</v>
      </c>
      <c r="O54" t="str">
        <f t="shared" si="3"/>
        <v>Customer Visit</v>
      </c>
    </row>
    <row r="55" spans="1:15" x14ac:dyDescent="0.3">
      <c r="A55" t="s">
        <v>245</v>
      </c>
      <c r="B55" s="2">
        <v>42449</v>
      </c>
      <c r="C55" s="7">
        <v>0.78125</v>
      </c>
      <c r="D55" t="s">
        <v>246</v>
      </c>
      <c r="E55" s="2">
        <v>42449</v>
      </c>
      <c r="F55" s="8">
        <v>0.79583333333333339</v>
      </c>
      <c r="G55" t="s">
        <v>7</v>
      </c>
      <c r="H55" s="7">
        <f t="shared" si="0"/>
        <v>1.4583333333333393E-2</v>
      </c>
      <c r="I55" s="13">
        <f t="shared" si="1"/>
        <v>0.35</v>
      </c>
      <c r="J55" t="s">
        <v>244</v>
      </c>
      <c r="K55" t="s">
        <v>21</v>
      </c>
      <c r="L55">
        <v>9.6</v>
      </c>
      <c r="M55" s="5">
        <f t="shared" si="2"/>
        <v>27.428571428571431</v>
      </c>
      <c r="N55" t="s">
        <v>13</v>
      </c>
      <c r="O55" t="str">
        <f t="shared" si="3"/>
        <v>Customer Visit</v>
      </c>
    </row>
    <row r="56" spans="1:15" x14ac:dyDescent="0.3">
      <c r="A56" t="s">
        <v>270</v>
      </c>
      <c r="B56" s="2">
        <v>42454</v>
      </c>
      <c r="C56" s="7">
        <v>0.55833333333333335</v>
      </c>
      <c r="D56" t="s">
        <v>271</v>
      </c>
      <c r="E56" s="2">
        <v>42454</v>
      </c>
      <c r="F56" s="8">
        <v>0.68194444444444446</v>
      </c>
      <c r="G56" t="s">
        <v>7</v>
      </c>
      <c r="H56" s="7">
        <f t="shared" si="0"/>
        <v>0.12361111111111112</v>
      </c>
      <c r="I56" s="13">
        <f t="shared" si="1"/>
        <v>2.9666666666666668</v>
      </c>
      <c r="J56" t="s">
        <v>15</v>
      </c>
      <c r="K56" t="s">
        <v>272</v>
      </c>
      <c r="L56">
        <v>144</v>
      </c>
      <c r="M56" s="5">
        <f t="shared" si="2"/>
        <v>48.539325842696627</v>
      </c>
      <c r="N56" t="s">
        <v>13</v>
      </c>
      <c r="O56" t="str">
        <f t="shared" si="3"/>
        <v>Customer Visit</v>
      </c>
    </row>
    <row r="57" spans="1:15" x14ac:dyDescent="0.3">
      <c r="A57" t="s">
        <v>273</v>
      </c>
      <c r="B57" s="2">
        <v>42454</v>
      </c>
      <c r="C57" s="7">
        <v>0.70277777777777783</v>
      </c>
      <c r="D57" t="s">
        <v>274</v>
      </c>
      <c r="E57" s="2">
        <v>42454</v>
      </c>
      <c r="F57" s="8">
        <v>0.93194444444444446</v>
      </c>
      <c r="G57" t="s">
        <v>7</v>
      </c>
      <c r="H57" s="7">
        <f t="shared" si="0"/>
        <v>0.22916666666666663</v>
      </c>
      <c r="I57" s="13">
        <f t="shared" si="1"/>
        <v>5.5</v>
      </c>
      <c r="J57" t="s">
        <v>272</v>
      </c>
      <c r="K57" t="s">
        <v>275</v>
      </c>
      <c r="L57">
        <v>310.3</v>
      </c>
      <c r="M57" s="5">
        <f t="shared" si="2"/>
        <v>56.418181818181822</v>
      </c>
      <c r="N57" t="s">
        <v>13</v>
      </c>
      <c r="O57" t="str">
        <f t="shared" si="3"/>
        <v>Customer Visit</v>
      </c>
    </row>
    <row r="58" spans="1:15" x14ac:dyDescent="0.3">
      <c r="A58" t="s">
        <v>293</v>
      </c>
      <c r="B58" s="2">
        <v>42456</v>
      </c>
      <c r="C58" s="7">
        <v>0.64652777777777781</v>
      </c>
      <c r="D58" t="s">
        <v>294</v>
      </c>
      <c r="E58" s="2">
        <v>42456</v>
      </c>
      <c r="F58" s="8">
        <v>0.66388888888888886</v>
      </c>
      <c r="G58" t="s">
        <v>7</v>
      </c>
      <c r="H58" s="7">
        <f t="shared" si="0"/>
        <v>1.7361111111111049E-2</v>
      </c>
      <c r="I58" s="13">
        <f t="shared" si="1"/>
        <v>0.41666666666666669</v>
      </c>
      <c r="J58" t="s">
        <v>278</v>
      </c>
      <c r="K58" t="s">
        <v>285</v>
      </c>
      <c r="L58">
        <v>6.1</v>
      </c>
      <c r="M58" s="5">
        <f t="shared" si="2"/>
        <v>14.639999999999999</v>
      </c>
      <c r="N58" t="s">
        <v>13</v>
      </c>
      <c r="O58" t="str">
        <f t="shared" si="3"/>
        <v>Customer Visit</v>
      </c>
    </row>
    <row r="59" spans="1:15" x14ac:dyDescent="0.3">
      <c r="A59" s="1">
        <v>42373.60833333333</v>
      </c>
      <c r="B59" s="6">
        <f>INT(A59:A98)</f>
        <v>42373</v>
      </c>
      <c r="C59" s="7">
        <f>(A59-B59)</f>
        <v>0.60833333332993789</v>
      </c>
      <c r="D59" s="1">
        <v>42373.64166666667</v>
      </c>
      <c r="E59" s="6">
        <f>INT(D59)</f>
        <v>42373</v>
      </c>
      <c r="F59" s="8">
        <f>D59-E59</f>
        <v>0.64166666667006211</v>
      </c>
      <c r="G59" t="s">
        <v>7</v>
      </c>
      <c r="H59" s="7">
        <f t="shared" si="0"/>
        <v>3.3333333340124227E-2</v>
      </c>
      <c r="I59" s="13">
        <f t="shared" si="1"/>
        <v>0.8</v>
      </c>
      <c r="J59" t="s">
        <v>278</v>
      </c>
      <c r="K59" t="s">
        <v>285</v>
      </c>
      <c r="L59">
        <v>15.5</v>
      </c>
      <c r="M59" s="5">
        <f t="shared" si="2"/>
        <v>19.375</v>
      </c>
      <c r="N59" t="s">
        <v>13</v>
      </c>
      <c r="O59" t="str">
        <f t="shared" si="3"/>
        <v>Customer Visit</v>
      </c>
    </row>
    <row r="60" spans="1:15" x14ac:dyDescent="0.3">
      <c r="A60" s="1">
        <v>42404.51458333333</v>
      </c>
      <c r="B60" s="6">
        <f>INT(A60:A99)</f>
        <v>42404</v>
      </c>
      <c r="C60" s="7">
        <f>(A60-B60)</f>
        <v>0.51458333332993789</v>
      </c>
      <c r="D60" s="1">
        <v>42404.615972222222</v>
      </c>
      <c r="E60" s="6">
        <f>INT(D60)</f>
        <v>42404</v>
      </c>
      <c r="F60" s="8">
        <f>D60-E60</f>
        <v>0.61597222222189885</v>
      </c>
      <c r="G60" t="s">
        <v>7</v>
      </c>
      <c r="H60" s="7">
        <f t="shared" si="0"/>
        <v>0.10138888889196096</v>
      </c>
      <c r="I60" s="13">
        <f t="shared" si="1"/>
        <v>2.4333333333333331</v>
      </c>
      <c r="J60" t="s">
        <v>278</v>
      </c>
      <c r="K60" t="s">
        <v>322</v>
      </c>
      <c r="L60">
        <v>77.3</v>
      </c>
      <c r="M60" s="5">
        <f t="shared" si="2"/>
        <v>31.767123287671236</v>
      </c>
      <c r="N60" t="s">
        <v>13</v>
      </c>
      <c r="O60" t="str">
        <f t="shared" si="3"/>
        <v>Customer Visit</v>
      </c>
    </row>
    <row r="61" spans="1:15" x14ac:dyDescent="0.3">
      <c r="A61" s="1">
        <v>42404.706250000003</v>
      </c>
      <c r="B61" s="6">
        <f>INT(A61:A100)</f>
        <v>42404</v>
      </c>
      <c r="C61" s="7">
        <f>(A61-B61)</f>
        <v>0.70625000000291038</v>
      </c>
      <c r="D61" s="1">
        <v>42404.756249999999</v>
      </c>
      <c r="E61" s="6">
        <f>INT(D61)</f>
        <v>42404</v>
      </c>
      <c r="F61" s="8">
        <f>D61-E61</f>
        <v>0.75624999999854481</v>
      </c>
      <c r="G61" t="s">
        <v>7</v>
      </c>
      <c r="H61" s="7">
        <f t="shared" si="0"/>
        <v>4.9999999995634425E-2</v>
      </c>
      <c r="I61" s="13">
        <f t="shared" si="1"/>
        <v>1.2</v>
      </c>
      <c r="J61" t="s">
        <v>322</v>
      </c>
      <c r="K61" t="s">
        <v>275</v>
      </c>
      <c r="L61">
        <v>80.5</v>
      </c>
      <c r="M61" s="5">
        <f t="shared" si="2"/>
        <v>67.083333333333343</v>
      </c>
      <c r="N61" t="s">
        <v>13</v>
      </c>
      <c r="O61" t="str">
        <f t="shared" si="3"/>
        <v>Customer Visit</v>
      </c>
    </row>
    <row r="62" spans="1:15" x14ac:dyDescent="0.3">
      <c r="A62" s="1">
        <v>42404.818055555559</v>
      </c>
      <c r="B62" s="6">
        <f>INT(A62:A101)</f>
        <v>42404</v>
      </c>
      <c r="C62" s="7">
        <f>(A62-B62)</f>
        <v>0.81805555555911269</v>
      </c>
      <c r="D62" s="1">
        <v>42404.941666666666</v>
      </c>
      <c r="E62" s="6">
        <f>INT(D62)</f>
        <v>42404</v>
      </c>
      <c r="F62" s="8">
        <f>D62-E62</f>
        <v>0.94166666666569654</v>
      </c>
      <c r="G62" t="s">
        <v>7</v>
      </c>
      <c r="H62" s="7">
        <f t="shared" si="0"/>
        <v>0.12361111110658385</v>
      </c>
      <c r="I62" s="13">
        <f t="shared" si="1"/>
        <v>2.9666666666666668</v>
      </c>
      <c r="J62" t="s">
        <v>275</v>
      </c>
      <c r="K62" t="s">
        <v>323</v>
      </c>
      <c r="L62">
        <v>174.2</v>
      </c>
      <c r="M62" s="5">
        <f t="shared" si="2"/>
        <v>58.7191011235955</v>
      </c>
      <c r="N62" t="s">
        <v>13</v>
      </c>
      <c r="O62" t="str">
        <f t="shared" si="3"/>
        <v>Customer Visit</v>
      </c>
    </row>
    <row r="63" spans="1:15" x14ac:dyDescent="0.3">
      <c r="A63" s="1">
        <v>42708.456944444442</v>
      </c>
      <c r="B63" s="6">
        <f>INT(A63:A102)</f>
        <v>42708</v>
      </c>
      <c r="C63" s="7">
        <f>(A63-B63)</f>
        <v>0.4569444444423425</v>
      </c>
      <c r="D63" s="1">
        <v>42708.470833333333</v>
      </c>
      <c r="E63" s="6">
        <f>INT(D63)</f>
        <v>42708</v>
      </c>
      <c r="F63" s="8">
        <f>D63-E63</f>
        <v>0.47083333333284827</v>
      </c>
      <c r="G63" t="s">
        <v>7</v>
      </c>
      <c r="H63" s="7">
        <f t="shared" si="0"/>
        <v>1.3888888890505768E-2</v>
      </c>
      <c r="I63" s="13">
        <f t="shared" si="1"/>
        <v>0.33333333333333331</v>
      </c>
      <c r="J63" t="s">
        <v>325</v>
      </c>
      <c r="K63" t="s">
        <v>326</v>
      </c>
      <c r="L63">
        <v>7.5</v>
      </c>
      <c r="M63" s="5">
        <f t="shared" si="2"/>
        <v>22.5</v>
      </c>
      <c r="N63" t="s">
        <v>13</v>
      </c>
      <c r="O63" t="str">
        <f t="shared" si="3"/>
        <v>Customer Visit</v>
      </c>
    </row>
    <row r="64" spans="1:15" x14ac:dyDescent="0.3">
      <c r="A64" t="s">
        <v>371</v>
      </c>
      <c r="B64" s="2">
        <v>42488</v>
      </c>
      <c r="C64" s="7">
        <v>0.50624999999999998</v>
      </c>
      <c r="D64" t="s">
        <v>372</v>
      </c>
      <c r="E64" s="2">
        <v>42488</v>
      </c>
      <c r="F64" s="8">
        <v>0.52361111111111114</v>
      </c>
      <c r="G64" t="s">
        <v>7</v>
      </c>
      <c r="H64" s="7">
        <f t="shared" si="0"/>
        <v>1.736111111111116E-2</v>
      </c>
      <c r="I64" s="13">
        <f t="shared" si="1"/>
        <v>0.41666666666666669</v>
      </c>
      <c r="J64" t="s">
        <v>15</v>
      </c>
      <c r="K64" t="s">
        <v>40</v>
      </c>
      <c r="L64">
        <v>12.4</v>
      </c>
      <c r="M64" s="5">
        <f t="shared" si="2"/>
        <v>29.759999999999998</v>
      </c>
      <c r="N64" t="s">
        <v>13</v>
      </c>
      <c r="O64" t="str">
        <f t="shared" si="3"/>
        <v>Customer Visit</v>
      </c>
    </row>
    <row r="65" spans="1:15" x14ac:dyDescent="0.3">
      <c r="A65" t="s">
        <v>373</v>
      </c>
      <c r="B65" s="2">
        <v>42488</v>
      </c>
      <c r="C65" s="7">
        <v>0.5625</v>
      </c>
      <c r="D65" t="s">
        <v>374</v>
      </c>
      <c r="E65" s="2">
        <v>42488</v>
      </c>
      <c r="F65" s="8">
        <v>0.5756944444444444</v>
      </c>
      <c r="G65" t="s">
        <v>7</v>
      </c>
      <c r="H65" s="7">
        <f t="shared" si="0"/>
        <v>1.3194444444444398E-2</v>
      </c>
      <c r="I65" s="13">
        <f t="shared" si="1"/>
        <v>0.31666666666666665</v>
      </c>
      <c r="J65" t="s">
        <v>40</v>
      </c>
      <c r="K65" t="s">
        <v>15</v>
      </c>
      <c r="L65">
        <v>32.799999999999997</v>
      </c>
      <c r="M65" s="5">
        <f t="shared" si="2"/>
        <v>103.57894736842105</v>
      </c>
      <c r="N65" t="s">
        <v>13</v>
      </c>
      <c r="O65" t="str">
        <f t="shared" si="3"/>
        <v>Customer Visit</v>
      </c>
    </row>
    <row r="66" spans="1:15" x14ac:dyDescent="0.3">
      <c r="A66" t="s">
        <v>375</v>
      </c>
      <c r="B66" s="2">
        <v>42488</v>
      </c>
      <c r="C66" s="7">
        <v>0.92361111111111116</v>
      </c>
      <c r="D66" t="s">
        <v>376</v>
      </c>
      <c r="E66" s="2">
        <v>42488</v>
      </c>
      <c r="F66" s="8">
        <v>0.93611111111111101</v>
      </c>
      <c r="G66" t="s">
        <v>7</v>
      </c>
      <c r="H66" s="7">
        <f t="shared" ref="H66:H129" si="4">IF(F66&gt;C66,F66-C66,F66-C66+1)</f>
        <v>1.2499999999999845E-2</v>
      </c>
      <c r="I66" s="13">
        <f t="shared" ref="I66:I129" si="5">(HOUR(H66)*60+MINUTE(H66))/60</f>
        <v>0.3</v>
      </c>
      <c r="J66" t="s">
        <v>16</v>
      </c>
      <c r="K66" t="s">
        <v>15</v>
      </c>
      <c r="L66">
        <v>5.5</v>
      </c>
      <c r="M66" s="5">
        <f t="shared" ref="M66:M129" si="6">L66/I66</f>
        <v>18.333333333333336</v>
      </c>
      <c r="N66" t="s">
        <v>13</v>
      </c>
      <c r="O66" t="str">
        <f t="shared" ref="O66:O129" si="7">IF(ISBLANK($N66),"No Purpose",$N66)</f>
        <v>Customer Visit</v>
      </c>
    </row>
    <row r="67" spans="1:15" x14ac:dyDescent="0.3">
      <c r="A67" t="s">
        <v>381</v>
      </c>
      <c r="B67" s="2">
        <v>42489</v>
      </c>
      <c r="C67" s="7">
        <v>0.78194444444444444</v>
      </c>
      <c r="D67" t="s">
        <v>382</v>
      </c>
      <c r="E67" s="2">
        <v>42489</v>
      </c>
      <c r="F67" s="8">
        <v>0.8041666666666667</v>
      </c>
      <c r="G67" t="s">
        <v>7</v>
      </c>
      <c r="H67" s="7">
        <f t="shared" si="4"/>
        <v>2.2222222222222254E-2</v>
      </c>
      <c r="I67" s="13">
        <f t="shared" si="5"/>
        <v>0.53333333333333333</v>
      </c>
      <c r="J67" t="s">
        <v>15</v>
      </c>
      <c r="K67" t="s">
        <v>36</v>
      </c>
      <c r="L67">
        <v>14.2</v>
      </c>
      <c r="M67" s="5">
        <f t="shared" si="6"/>
        <v>26.625</v>
      </c>
      <c r="N67" t="s">
        <v>13</v>
      </c>
      <c r="O67" t="str">
        <f t="shared" si="7"/>
        <v>Customer Visit</v>
      </c>
    </row>
    <row r="68" spans="1:15" x14ac:dyDescent="0.3">
      <c r="A68" s="1">
        <v>42526.720833333333</v>
      </c>
      <c r="B68" s="6">
        <f t="shared" ref="B68:B73" si="8">INT(A68:A107)</f>
        <v>42526</v>
      </c>
      <c r="C68" s="7">
        <f t="shared" ref="C68:C73" si="9">(A68-B68)</f>
        <v>0.72083333333284827</v>
      </c>
      <c r="D68" s="1">
        <v>42526.738888888889</v>
      </c>
      <c r="E68" s="6">
        <f t="shared" ref="E68:E73" si="10">INT(D68)</f>
        <v>42526</v>
      </c>
      <c r="F68" s="8">
        <f t="shared" ref="F68:F73" si="11">D68-E68</f>
        <v>0.73888888888905058</v>
      </c>
      <c r="G68" t="s">
        <v>7</v>
      </c>
      <c r="H68" s="7">
        <f t="shared" si="4"/>
        <v>1.8055555556202307E-2</v>
      </c>
      <c r="I68" s="13">
        <f t="shared" si="5"/>
        <v>0.43333333333333335</v>
      </c>
      <c r="J68" t="s">
        <v>16</v>
      </c>
      <c r="K68" t="s">
        <v>15</v>
      </c>
      <c r="L68">
        <v>7.9</v>
      </c>
      <c r="M68" s="5">
        <f t="shared" si="6"/>
        <v>18.23076923076923</v>
      </c>
      <c r="N68" t="s">
        <v>13</v>
      </c>
      <c r="O68" t="str">
        <f t="shared" si="7"/>
        <v>Customer Visit</v>
      </c>
    </row>
    <row r="69" spans="1:15" x14ac:dyDescent="0.3">
      <c r="A69" s="1">
        <v>42618.255555555559</v>
      </c>
      <c r="B69" s="6">
        <f t="shared" si="8"/>
        <v>42618</v>
      </c>
      <c r="C69" s="7">
        <f t="shared" si="9"/>
        <v>0.25555555555911269</v>
      </c>
      <c r="D69" s="1">
        <v>42618.267361111109</v>
      </c>
      <c r="E69" s="6">
        <f t="shared" si="10"/>
        <v>42618</v>
      </c>
      <c r="F69" s="8">
        <f t="shared" si="11"/>
        <v>0.26736111110949423</v>
      </c>
      <c r="G69" t="s">
        <v>7</v>
      </c>
      <c r="H69" s="7">
        <f t="shared" si="4"/>
        <v>1.1805555550381541E-2</v>
      </c>
      <c r="I69" s="13">
        <f t="shared" si="5"/>
        <v>0.28333333333333333</v>
      </c>
      <c r="J69" t="s">
        <v>15</v>
      </c>
      <c r="K69" t="s">
        <v>16</v>
      </c>
      <c r="L69">
        <v>8.4</v>
      </c>
      <c r="M69" s="5">
        <f t="shared" si="6"/>
        <v>29.647058823529413</v>
      </c>
      <c r="N69" t="s">
        <v>13</v>
      </c>
      <c r="O69" t="str">
        <f t="shared" si="7"/>
        <v>Customer Visit</v>
      </c>
    </row>
    <row r="70" spans="1:15" x14ac:dyDescent="0.3">
      <c r="A70" s="1">
        <v>42618.748611111114</v>
      </c>
      <c r="B70" s="6">
        <f t="shared" si="8"/>
        <v>42618</v>
      </c>
      <c r="C70" s="7">
        <f t="shared" si="9"/>
        <v>0.74861111111385981</v>
      </c>
      <c r="D70" s="1">
        <v>42618.768055555556</v>
      </c>
      <c r="E70" s="6">
        <f t="shared" si="10"/>
        <v>42618</v>
      </c>
      <c r="F70" s="8">
        <f t="shared" si="11"/>
        <v>0.76805555555620231</v>
      </c>
      <c r="G70" t="s">
        <v>7</v>
      </c>
      <c r="H70" s="7">
        <f t="shared" si="4"/>
        <v>1.9444444442342501E-2</v>
      </c>
      <c r="I70" s="13">
        <f t="shared" si="5"/>
        <v>0.46666666666666667</v>
      </c>
      <c r="J70" t="s">
        <v>397</v>
      </c>
      <c r="K70" t="s">
        <v>398</v>
      </c>
      <c r="L70">
        <v>9.8000000000000007</v>
      </c>
      <c r="M70" s="5">
        <f t="shared" si="6"/>
        <v>21</v>
      </c>
      <c r="N70" t="s">
        <v>13</v>
      </c>
      <c r="O70" t="str">
        <f t="shared" si="7"/>
        <v>Customer Visit</v>
      </c>
    </row>
    <row r="71" spans="1:15" x14ac:dyDescent="0.3">
      <c r="A71" s="1">
        <v>42618.815972222219</v>
      </c>
      <c r="B71" s="6">
        <f t="shared" si="8"/>
        <v>42618</v>
      </c>
      <c r="C71" s="7">
        <f t="shared" si="9"/>
        <v>0.81597222221898846</v>
      </c>
      <c r="D71" s="1">
        <v>42618.832638888889</v>
      </c>
      <c r="E71" s="6">
        <f t="shared" si="10"/>
        <v>42618</v>
      </c>
      <c r="F71" s="8">
        <f t="shared" si="11"/>
        <v>0.83263888888905058</v>
      </c>
      <c r="G71" t="s">
        <v>7</v>
      </c>
      <c r="H71" s="7">
        <f t="shared" si="4"/>
        <v>1.6666666670062114E-2</v>
      </c>
      <c r="I71" s="13">
        <f t="shared" si="5"/>
        <v>0.4</v>
      </c>
      <c r="J71" t="s">
        <v>398</v>
      </c>
      <c r="K71" t="s">
        <v>399</v>
      </c>
      <c r="L71">
        <v>17.600000000000001</v>
      </c>
      <c r="M71" s="5">
        <f t="shared" si="6"/>
        <v>44</v>
      </c>
      <c r="N71" t="s">
        <v>13</v>
      </c>
      <c r="O71" t="str">
        <f t="shared" si="7"/>
        <v>Customer Visit</v>
      </c>
    </row>
    <row r="72" spans="1:15" x14ac:dyDescent="0.3">
      <c r="A72" s="1">
        <v>42648.377083333333</v>
      </c>
      <c r="B72" s="6">
        <f t="shared" si="8"/>
        <v>42648</v>
      </c>
      <c r="C72" s="7">
        <f t="shared" si="9"/>
        <v>0.37708333333284827</v>
      </c>
      <c r="D72" s="1">
        <v>42648.388888888891</v>
      </c>
      <c r="E72" s="6">
        <f t="shared" si="10"/>
        <v>42648</v>
      </c>
      <c r="F72" s="8">
        <f t="shared" si="11"/>
        <v>0.38888888889050577</v>
      </c>
      <c r="G72" t="s">
        <v>7</v>
      </c>
      <c r="H72" s="7">
        <f t="shared" si="4"/>
        <v>1.1805555557657499E-2</v>
      </c>
      <c r="I72" s="13">
        <f t="shared" si="5"/>
        <v>0.28333333333333333</v>
      </c>
      <c r="J72" t="s">
        <v>399</v>
      </c>
      <c r="K72" t="s">
        <v>400</v>
      </c>
      <c r="L72">
        <v>9.3000000000000007</v>
      </c>
      <c r="M72" s="5">
        <f t="shared" si="6"/>
        <v>32.82352941176471</v>
      </c>
      <c r="N72" t="s">
        <v>13</v>
      </c>
      <c r="O72" t="str">
        <f t="shared" si="7"/>
        <v>Customer Visit</v>
      </c>
    </row>
    <row r="73" spans="1:15" x14ac:dyDescent="0.3">
      <c r="A73" s="1">
        <v>42648.72152777778</v>
      </c>
      <c r="B73" s="6">
        <f t="shared" si="8"/>
        <v>42648</v>
      </c>
      <c r="C73" s="7">
        <f t="shared" si="9"/>
        <v>0.72152777777955635</v>
      </c>
      <c r="D73" s="1">
        <v>42648.729861111111</v>
      </c>
      <c r="E73" s="6">
        <f t="shared" si="10"/>
        <v>42648</v>
      </c>
      <c r="F73" s="8">
        <f t="shared" si="11"/>
        <v>0.72986111111094942</v>
      </c>
      <c r="G73" t="s">
        <v>7</v>
      </c>
      <c r="H73" s="7">
        <f t="shared" si="4"/>
        <v>8.333333331393078E-3</v>
      </c>
      <c r="I73" s="13">
        <f t="shared" si="5"/>
        <v>0.2</v>
      </c>
      <c r="J73" t="s">
        <v>400</v>
      </c>
      <c r="K73" t="s">
        <v>399</v>
      </c>
      <c r="L73">
        <v>7.9</v>
      </c>
      <c r="M73" s="5">
        <f t="shared" si="6"/>
        <v>39.5</v>
      </c>
      <c r="N73" t="s">
        <v>13</v>
      </c>
      <c r="O73" t="str">
        <f t="shared" si="7"/>
        <v>Customer Visit</v>
      </c>
    </row>
    <row r="74" spans="1:15" x14ac:dyDescent="0.3">
      <c r="A74" t="s">
        <v>411</v>
      </c>
      <c r="B74" s="2">
        <v>42508</v>
      </c>
      <c r="C74" s="7">
        <v>0.38263888888888892</v>
      </c>
      <c r="D74" t="s">
        <v>412</v>
      </c>
      <c r="E74" s="2">
        <v>42508</v>
      </c>
      <c r="F74" s="8">
        <v>0.40347222222222223</v>
      </c>
      <c r="G74" t="s">
        <v>7</v>
      </c>
      <c r="H74" s="7">
        <f t="shared" si="4"/>
        <v>2.0833333333333315E-2</v>
      </c>
      <c r="I74" s="13">
        <f t="shared" si="5"/>
        <v>0.5</v>
      </c>
      <c r="J74" t="s">
        <v>15</v>
      </c>
      <c r="K74" t="s">
        <v>16</v>
      </c>
      <c r="L74">
        <v>8.4</v>
      </c>
      <c r="M74" s="5">
        <f t="shared" si="6"/>
        <v>16.8</v>
      </c>
      <c r="N74" t="s">
        <v>13</v>
      </c>
      <c r="O74" t="str">
        <f t="shared" si="7"/>
        <v>Customer Visit</v>
      </c>
    </row>
    <row r="75" spans="1:15" x14ac:dyDescent="0.3">
      <c r="A75" t="s">
        <v>413</v>
      </c>
      <c r="B75" s="2">
        <v>42508</v>
      </c>
      <c r="C75" s="7">
        <v>0.54166666666666663</v>
      </c>
      <c r="D75" t="s">
        <v>414</v>
      </c>
      <c r="E75" s="2">
        <v>42508</v>
      </c>
      <c r="F75" s="8">
        <v>0.54305555555555551</v>
      </c>
      <c r="G75" t="s">
        <v>7</v>
      </c>
      <c r="H75" s="7">
        <f t="shared" si="4"/>
        <v>1.388888888888884E-3</v>
      </c>
      <c r="I75" s="13">
        <f t="shared" si="5"/>
        <v>3.3333333333333333E-2</v>
      </c>
      <c r="J75" t="s">
        <v>16</v>
      </c>
      <c r="K75" t="s">
        <v>40</v>
      </c>
      <c r="L75">
        <v>7.6</v>
      </c>
      <c r="M75" s="5">
        <f t="shared" si="6"/>
        <v>228</v>
      </c>
      <c r="N75" t="s">
        <v>13</v>
      </c>
      <c r="O75" t="str">
        <f t="shared" si="7"/>
        <v>Customer Visit</v>
      </c>
    </row>
    <row r="76" spans="1:15" x14ac:dyDescent="0.3">
      <c r="A76" t="s">
        <v>445</v>
      </c>
      <c r="B76" s="2">
        <v>42518</v>
      </c>
      <c r="C76" s="7">
        <v>0.60763888888888895</v>
      </c>
      <c r="D76" t="s">
        <v>446</v>
      </c>
      <c r="E76" s="2">
        <v>42518</v>
      </c>
      <c r="F76" s="8">
        <v>0.62777777777777777</v>
      </c>
      <c r="G76" t="s">
        <v>7</v>
      </c>
      <c r="H76" s="7">
        <f t="shared" si="4"/>
        <v>2.0138888888888817E-2</v>
      </c>
      <c r="I76" s="13">
        <f t="shared" si="5"/>
        <v>0.48333333333333334</v>
      </c>
      <c r="J76" t="s">
        <v>16</v>
      </c>
      <c r="K76" t="s">
        <v>15</v>
      </c>
      <c r="L76">
        <v>11.3</v>
      </c>
      <c r="M76" s="5">
        <f t="shared" si="6"/>
        <v>23.379310344827587</v>
      </c>
      <c r="N76" t="s">
        <v>13</v>
      </c>
      <c r="O76" t="str">
        <f t="shared" si="7"/>
        <v>Customer Visit</v>
      </c>
    </row>
    <row r="77" spans="1:15" x14ac:dyDescent="0.3">
      <c r="A77" s="1">
        <v>42375.429861111108</v>
      </c>
      <c r="B77" s="6">
        <f>INT(A77:A116)</f>
        <v>42375</v>
      </c>
      <c r="C77" s="7">
        <f>(A77-B77)</f>
        <v>0.42986111110803904</v>
      </c>
      <c r="D77" s="1">
        <v>42375.449305555558</v>
      </c>
      <c r="E77" s="6">
        <f>INT(D77)</f>
        <v>42375</v>
      </c>
      <c r="F77" s="8">
        <f>D77-E77</f>
        <v>0.4493055555576575</v>
      </c>
      <c r="G77" t="s">
        <v>7</v>
      </c>
      <c r="H77" s="7">
        <f t="shared" si="4"/>
        <v>1.9444444449618459E-2</v>
      </c>
      <c r="I77" s="13">
        <f t="shared" si="5"/>
        <v>0.46666666666666667</v>
      </c>
      <c r="J77" t="s">
        <v>15</v>
      </c>
      <c r="K77" t="s">
        <v>16</v>
      </c>
      <c r="L77">
        <v>6.7</v>
      </c>
      <c r="M77" s="5">
        <f t="shared" si="6"/>
        <v>14.357142857142858</v>
      </c>
      <c r="N77" t="s">
        <v>13</v>
      </c>
      <c r="O77" t="str">
        <f t="shared" si="7"/>
        <v>Customer Visit</v>
      </c>
    </row>
    <row r="78" spans="1:15" x14ac:dyDescent="0.3">
      <c r="A78" s="1">
        <v>42496.585416666669</v>
      </c>
      <c r="B78" s="6">
        <f>INT(A78:A117)</f>
        <v>42496</v>
      </c>
      <c r="C78" s="7">
        <f>(A78-B78)</f>
        <v>0.58541666666860692</v>
      </c>
      <c r="D78" s="1">
        <v>42496.606249999997</v>
      </c>
      <c r="E78" s="6">
        <f>INT(D78)</f>
        <v>42496</v>
      </c>
      <c r="F78" s="8">
        <f>D78-E78</f>
        <v>0.60624999999708962</v>
      </c>
      <c r="G78" t="s">
        <v>7</v>
      </c>
      <c r="H78" s="7">
        <f t="shared" si="4"/>
        <v>2.0833333328482695E-2</v>
      </c>
      <c r="I78" s="13">
        <f t="shared" si="5"/>
        <v>0.5</v>
      </c>
      <c r="J78" t="s">
        <v>38</v>
      </c>
      <c r="K78" t="s">
        <v>430</v>
      </c>
      <c r="L78">
        <v>7.8</v>
      </c>
      <c r="M78" s="5">
        <f t="shared" si="6"/>
        <v>15.6</v>
      </c>
      <c r="N78" t="s">
        <v>13</v>
      </c>
      <c r="O78" t="str">
        <f t="shared" si="7"/>
        <v>Customer Visit</v>
      </c>
    </row>
    <row r="79" spans="1:15" x14ac:dyDescent="0.3">
      <c r="A79" s="1">
        <v>42496.629166666666</v>
      </c>
      <c r="B79" s="6">
        <f>INT(A79:A118)</f>
        <v>42496</v>
      </c>
      <c r="C79" s="7">
        <f>(A79-B79)</f>
        <v>0.62916666666569654</v>
      </c>
      <c r="D79" s="1">
        <v>42496.640277777777</v>
      </c>
      <c r="E79" s="6">
        <f>INT(D79)</f>
        <v>42496</v>
      </c>
      <c r="F79" s="8">
        <f>D79-E79</f>
        <v>0.64027777777664596</v>
      </c>
      <c r="G79" t="s">
        <v>7</v>
      </c>
      <c r="H79" s="7">
        <f t="shared" si="4"/>
        <v>1.1111111110949423E-2</v>
      </c>
      <c r="I79" s="13">
        <f t="shared" si="5"/>
        <v>0.26666666666666666</v>
      </c>
      <c r="J79" t="s">
        <v>15</v>
      </c>
      <c r="K79" t="s">
        <v>16</v>
      </c>
      <c r="L79">
        <v>7.8</v>
      </c>
      <c r="M79" s="5">
        <f t="shared" si="6"/>
        <v>29.25</v>
      </c>
      <c r="N79" t="s">
        <v>13</v>
      </c>
      <c r="O79" t="str">
        <f t="shared" si="7"/>
        <v>Customer Visit</v>
      </c>
    </row>
    <row r="80" spans="1:15" x14ac:dyDescent="0.3">
      <c r="A80" t="s">
        <v>475</v>
      </c>
      <c r="B80" s="2">
        <v>42534</v>
      </c>
      <c r="C80" s="7">
        <v>0.83333333333333337</v>
      </c>
      <c r="D80" t="s">
        <v>476</v>
      </c>
      <c r="E80" s="2">
        <v>42534</v>
      </c>
      <c r="F80" s="8">
        <v>0.83680555555555547</v>
      </c>
      <c r="G80" t="s">
        <v>7</v>
      </c>
      <c r="H80" s="7">
        <f t="shared" si="4"/>
        <v>3.4722222222220989E-3</v>
      </c>
      <c r="I80" s="13">
        <f t="shared" si="5"/>
        <v>8.3333333333333329E-2</v>
      </c>
      <c r="J80" t="s">
        <v>468</v>
      </c>
      <c r="K80" t="s">
        <v>72</v>
      </c>
      <c r="L80">
        <v>5.2</v>
      </c>
      <c r="M80" s="5">
        <f t="shared" si="6"/>
        <v>62.400000000000006</v>
      </c>
      <c r="N80" t="s">
        <v>13</v>
      </c>
      <c r="O80" t="str">
        <f t="shared" si="7"/>
        <v>Customer Visit</v>
      </c>
    </row>
    <row r="81" spans="1:15" x14ac:dyDescent="0.3">
      <c r="A81" t="s">
        <v>494</v>
      </c>
      <c r="B81" s="2">
        <v>42536</v>
      </c>
      <c r="C81" s="7">
        <v>0.69236111111111109</v>
      </c>
      <c r="D81" t="s">
        <v>495</v>
      </c>
      <c r="E81" s="2">
        <v>42536</v>
      </c>
      <c r="F81" s="8">
        <v>0.70972222222222225</v>
      </c>
      <c r="G81" t="s">
        <v>7</v>
      </c>
      <c r="H81" s="7">
        <f t="shared" si="4"/>
        <v>1.736111111111116E-2</v>
      </c>
      <c r="I81" s="13">
        <f t="shared" si="5"/>
        <v>0.41666666666666669</v>
      </c>
      <c r="J81" t="s">
        <v>493</v>
      </c>
      <c r="K81" t="s">
        <v>496</v>
      </c>
      <c r="L81">
        <v>6.4</v>
      </c>
      <c r="M81" s="5">
        <f t="shared" si="6"/>
        <v>15.36</v>
      </c>
      <c r="N81" t="s">
        <v>13</v>
      </c>
      <c r="O81" t="str">
        <f t="shared" si="7"/>
        <v>Customer Visit</v>
      </c>
    </row>
    <row r="82" spans="1:15" x14ac:dyDescent="0.3">
      <c r="A82" t="s">
        <v>593</v>
      </c>
      <c r="B82" s="2">
        <v>42549</v>
      </c>
      <c r="C82" s="7">
        <v>3.3333333333333333E-2</v>
      </c>
      <c r="D82" t="s">
        <v>594</v>
      </c>
      <c r="E82" s="2">
        <v>42549</v>
      </c>
      <c r="F82" s="8">
        <v>4.5138888888888888E-2</v>
      </c>
      <c r="G82" t="s">
        <v>7</v>
      </c>
      <c r="H82" s="7">
        <f t="shared" si="4"/>
        <v>1.1805555555555555E-2</v>
      </c>
      <c r="I82" s="13">
        <f t="shared" si="5"/>
        <v>0.28333333333333333</v>
      </c>
      <c r="J82" t="s">
        <v>16</v>
      </c>
      <c r="K82" t="s">
        <v>15</v>
      </c>
      <c r="L82">
        <v>8.1999999999999993</v>
      </c>
      <c r="M82" s="5">
        <f t="shared" si="6"/>
        <v>28.941176470588232</v>
      </c>
      <c r="N82" t="s">
        <v>13</v>
      </c>
      <c r="O82" t="str">
        <f t="shared" si="7"/>
        <v>Customer Visit</v>
      </c>
    </row>
    <row r="83" spans="1:15" x14ac:dyDescent="0.3">
      <c r="A83" s="1">
        <v>42528.990277777775</v>
      </c>
      <c r="B83" s="6">
        <f>INT(A83:A122)</f>
        <v>42528</v>
      </c>
      <c r="C83" s="7">
        <f>(A83-B83)</f>
        <v>0.99027777777519077</v>
      </c>
      <c r="D83" s="1">
        <v>42528.999305555553</v>
      </c>
      <c r="E83" s="6">
        <f>INT(D83)</f>
        <v>42528</v>
      </c>
      <c r="F83" s="8">
        <f>D83-E83</f>
        <v>0.99930555555329192</v>
      </c>
      <c r="G83" t="s">
        <v>7</v>
      </c>
      <c r="H83" s="7">
        <f t="shared" si="4"/>
        <v>9.0277777781011537E-3</v>
      </c>
      <c r="I83" s="13">
        <f t="shared" si="5"/>
        <v>0.21666666666666667</v>
      </c>
      <c r="J83" t="s">
        <v>16</v>
      </c>
      <c r="K83" t="s">
        <v>15</v>
      </c>
      <c r="L83">
        <v>3.1</v>
      </c>
      <c r="M83" s="5">
        <f t="shared" si="6"/>
        <v>14.307692307692308</v>
      </c>
      <c r="N83" t="s">
        <v>13</v>
      </c>
      <c r="O83" t="str">
        <f t="shared" si="7"/>
        <v>Customer Visit</v>
      </c>
    </row>
    <row r="84" spans="1:15" x14ac:dyDescent="0.3">
      <c r="A84" t="s">
        <v>681</v>
      </c>
      <c r="B84" s="2">
        <v>42570</v>
      </c>
      <c r="C84" s="7">
        <v>0.44097222222222227</v>
      </c>
      <c r="D84" t="s">
        <v>682</v>
      </c>
      <c r="E84" s="2">
        <v>42570</v>
      </c>
      <c r="F84" s="8">
        <v>0.45208333333333334</v>
      </c>
      <c r="G84" t="s">
        <v>7</v>
      </c>
      <c r="H84" s="7">
        <f t="shared" si="4"/>
        <v>1.1111111111111072E-2</v>
      </c>
      <c r="I84" s="13">
        <f t="shared" si="5"/>
        <v>0.26666666666666666</v>
      </c>
      <c r="J84" t="s">
        <v>38</v>
      </c>
      <c r="K84" t="s">
        <v>683</v>
      </c>
      <c r="L84">
        <v>6.4</v>
      </c>
      <c r="M84" s="5">
        <f t="shared" si="6"/>
        <v>24</v>
      </c>
      <c r="N84" t="s">
        <v>13</v>
      </c>
      <c r="O84" t="str">
        <f t="shared" si="7"/>
        <v>Customer Visit</v>
      </c>
    </row>
    <row r="85" spans="1:15" x14ac:dyDescent="0.3">
      <c r="A85" s="1">
        <v>42559.727777777778</v>
      </c>
      <c r="B85" s="6">
        <f>INT(A85:A124)</f>
        <v>42559</v>
      </c>
      <c r="C85" s="7">
        <f>(A85-B85)</f>
        <v>0.72777777777810115</v>
      </c>
      <c r="D85" s="1">
        <v>42559.738194444442</v>
      </c>
      <c r="E85" s="6">
        <f>INT(D85)</f>
        <v>42559</v>
      </c>
      <c r="F85" s="8">
        <f>D85-E85</f>
        <v>0.7381944444423425</v>
      </c>
      <c r="G85" t="s">
        <v>7</v>
      </c>
      <c r="H85" s="7">
        <f t="shared" si="4"/>
        <v>1.0416666664241347E-2</v>
      </c>
      <c r="I85" s="13">
        <f t="shared" si="5"/>
        <v>0.25</v>
      </c>
      <c r="J85" t="s">
        <v>54</v>
      </c>
      <c r="K85" t="s">
        <v>38</v>
      </c>
      <c r="L85">
        <v>2.7</v>
      </c>
      <c r="M85" s="5">
        <f t="shared" si="6"/>
        <v>10.8</v>
      </c>
      <c r="N85" t="s">
        <v>13</v>
      </c>
      <c r="O85" t="str">
        <f t="shared" si="7"/>
        <v>Customer Visit</v>
      </c>
    </row>
    <row r="86" spans="1:15" x14ac:dyDescent="0.3">
      <c r="A86" s="1">
        <v>42590.709722222222</v>
      </c>
      <c r="B86" s="6">
        <f>INT(A86:A125)</f>
        <v>42590</v>
      </c>
      <c r="C86" s="7">
        <f>(A86-B86)</f>
        <v>0.70972222222189885</v>
      </c>
      <c r="D86" s="1">
        <v>42590.717361111114</v>
      </c>
      <c r="E86" s="6">
        <f>INT(D86)</f>
        <v>42590</v>
      </c>
      <c r="F86" s="8">
        <f>D86-E86</f>
        <v>0.71736111111385981</v>
      </c>
      <c r="G86" t="s">
        <v>7</v>
      </c>
      <c r="H86" s="7">
        <f t="shared" si="4"/>
        <v>7.6388888919609599E-3</v>
      </c>
      <c r="I86" s="13">
        <f t="shared" si="5"/>
        <v>0.18333333333333332</v>
      </c>
      <c r="J86" t="s">
        <v>54</v>
      </c>
      <c r="K86" t="s">
        <v>38</v>
      </c>
      <c r="L86">
        <v>2.7</v>
      </c>
      <c r="M86" s="5">
        <f t="shared" si="6"/>
        <v>14.727272727272728</v>
      </c>
      <c r="N86" t="s">
        <v>13</v>
      </c>
      <c r="O86" t="str">
        <f t="shared" si="7"/>
        <v>Customer Visit</v>
      </c>
    </row>
    <row r="87" spans="1:15" x14ac:dyDescent="0.3">
      <c r="A87" s="1">
        <v>42590.977777777778</v>
      </c>
      <c r="B87" s="6">
        <f>INT(A87:A126)</f>
        <v>42590</v>
      </c>
      <c r="C87" s="7">
        <f>(A87-B87)</f>
        <v>0.97777777777810115</v>
      </c>
      <c r="D87" s="1">
        <v>42590.984027777777</v>
      </c>
      <c r="E87" s="6">
        <f>INT(D87)</f>
        <v>42590</v>
      </c>
      <c r="F87" s="8">
        <f>D87-E87</f>
        <v>0.98402777777664596</v>
      </c>
      <c r="G87" t="s">
        <v>7</v>
      </c>
      <c r="H87" s="7">
        <f t="shared" si="4"/>
        <v>6.2499999985448085E-3</v>
      </c>
      <c r="I87" s="13">
        <f t="shared" si="5"/>
        <v>0.15</v>
      </c>
      <c r="J87" t="s">
        <v>16</v>
      </c>
      <c r="K87" t="s">
        <v>15</v>
      </c>
      <c r="L87">
        <v>3.2</v>
      </c>
      <c r="M87" s="5">
        <f t="shared" si="6"/>
        <v>21.333333333333336</v>
      </c>
      <c r="N87" t="s">
        <v>13</v>
      </c>
      <c r="O87" t="str">
        <f t="shared" si="7"/>
        <v>Customer Visit</v>
      </c>
    </row>
    <row r="88" spans="1:15" x14ac:dyDescent="0.3">
      <c r="A88" t="s">
        <v>1100</v>
      </c>
      <c r="B88" s="2">
        <v>42666</v>
      </c>
      <c r="C88" s="7">
        <v>0.88194444444444453</v>
      </c>
      <c r="D88" t="s">
        <v>1101</v>
      </c>
      <c r="E88" s="2">
        <v>42666</v>
      </c>
      <c r="F88" s="8">
        <v>0.89236111111111116</v>
      </c>
      <c r="G88" t="s">
        <v>7</v>
      </c>
      <c r="H88" s="7">
        <f t="shared" si="4"/>
        <v>1.041666666666663E-2</v>
      </c>
      <c r="I88" s="13">
        <f t="shared" si="5"/>
        <v>0.25</v>
      </c>
      <c r="J88" t="s">
        <v>16</v>
      </c>
      <c r="K88" t="s">
        <v>15</v>
      </c>
      <c r="L88">
        <v>3.1</v>
      </c>
      <c r="M88" s="5">
        <f t="shared" si="6"/>
        <v>12.4</v>
      </c>
      <c r="N88" t="s">
        <v>13</v>
      </c>
      <c r="O88" t="str">
        <f t="shared" si="7"/>
        <v>Customer Visit</v>
      </c>
    </row>
    <row r="89" spans="1:15" x14ac:dyDescent="0.3">
      <c r="A89" s="1">
        <v>42440.948611111111</v>
      </c>
      <c r="B89" s="6">
        <f>INT(A89:A128)</f>
        <v>42440</v>
      </c>
      <c r="C89" s="7">
        <f>(A89-B89)</f>
        <v>0.94861111111094942</v>
      </c>
      <c r="D89" s="1">
        <v>42440.956944444442</v>
      </c>
      <c r="E89" s="6">
        <f>INT(D89)</f>
        <v>42440</v>
      </c>
      <c r="F89" s="8">
        <f>D89-E89</f>
        <v>0.9569444444423425</v>
      </c>
      <c r="G89" t="s">
        <v>7</v>
      </c>
      <c r="H89" s="7">
        <f t="shared" si="4"/>
        <v>8.333333331393078E-3</v>
      </c>
      <c r="I89" s="13">
        <f t="shared" si="5"/>
        <v>0.2</v>
      </c>
      <c r="J89" t="s">
        <v>16</v>
      </c>
      <c r="K89" t="s">
        <v>15</v>
      </c>
      <c r="L89">
        <v>3.1</v>
      </c>
      <c r="M89" s="5">
        <f t="shared" si="6"/>
        <v>15.5</v>
      </c>
      <c r="N89" t="s">
        <v>13</v>
      </c>
      <c r="O89" t="str">
        <f t="shared" si="7"/>
        <v>Customer Visit</v>
      </c>
    </row>
    <row r="90" spans="1:15" x14ac:dyDescent="0.3">
      <c r="A90" s="1">
        <v>42532.685416666667</v>
      </c>
      <c r="B90" s="6">
        <f>INT(A90:A129)</f>
        <v>42532</v>
      </c>
      <c r="C90" s="7">
        <f>(A90-B90)</f>
        <v>0.68541666666715173</v>
      </c>
      <c r="D90" s="1">
        <v>42532.727777777778</v>
      </c>
      <c r="E90" s="6">
        <f>INT(D90)</f>
        <v>42532</v>
      </c>
      <c r="F90" s="8">
        <f>D90-E90</f>
        <v>0.72777777777810115</v>
      </c>
      <c r="G90" t="s">
        <v>7</v>
      </c>
      <c r="H90" s="7">
        <f t="shared" si="4"/>
        <v>4.2361111110949423E-2</v>
      </c>
      <c r="I90" s="13">
        <f t="shared" si="5"/>
        <v>1.0166666666666666</v>
      </c>
      <c r="J90" t="s">
        <v>1182</v>
      </c>
      <c r="K90" t="s">
        <v>472</v>
      </c>
      <c r="L90">
        <v>43.9</v>
      </c>
      <c r="M90" s="5">
        <f t="shared" si="6"/>
        <v>43.180327868852459</v>
      </c>
      <c r="N90" t="s">
        <v>13</v>
      </c>
      <c r="O90" t="str">
        <f t="shared" si="7"/>
        <v>Customer Visit</v>
      </c>
    </row>
    <row r="91" spans="1:15" x14ac:dyDescent="0.3">
      <c r="A91" s="1">
        <v>42624.777777777781</v>
      </c>
      <c r="B91" s="6">
        <f>INT(A91:A130)</f>
        <v>42624</v>
      </c>
      <c r="C91" s="7">
        <f>(A91-B91)</f>
        <v>0.77777777778101154</v>
      </c>
      <c r="D91" s="1">
        <v>42624.803472222222</v>
      </c>
      <c r="E91" s="6">
        <f>INT(D91)</f>
        <v>42624</v>
      </c>
      <c r="F91" s="8">
        <f>D91-E91</f>
        <v>0.80347222222189885</v>
      </c>
      <c r="G91" t="s">
        <v>7</v>
      </c>
      <c r="H91" s="7">
        <f t="shared" si="4"/>
        <v>2.569444444088731E-2</v>
      </c>
      <c r="I91" s="13">
        <f t="shared" si="5"/>
        <v>0.6166666666666667</v>
      </c>
      <c r="J91" t="s">
        <v>396</v>
      </c>
      <c r="K91" t="s">
        <v>468</v>
      </c>
      <c r="L91">
        <v>12.7</v>
      </c>
      <c r="M91" s="5">
        <f t="shared" si="6"/>
        <v>20.594594594594593</v>
      </c>
      <c r="N91" t="s">
        <v>13</v>
      </c>
      <c r="O91" t="str">
        <f t="shared" si="7"/>
        <v>Customer Visit</v>
      </c>
    </row>
    <row r="92" spans="1:15" x14ac:dyDescent="0.3">
      <c r="A92" s="1">
        <v>42685.399305555555</v>
      </c>
      <c r="B92" s="6">
        <f>INT(A92:A131)</f>
        <v>42685</v>
      </c>
      <c r="C92" s="7">
        <f>(A92-B92)</f>
        <v>0.39930555555474712</v>
      </c>
      <c r="D92" s="1">
        <v>42685.432638888888</v>
      </c>
      <c r="E92" s="6">
        <f>INT(D92)</f>
        <v>42685</v>
      </c>
      <c r="F92" s="8">
        <f>D92-E92</f>
        <v>0.43263888888759539</v>
      </c>
      <c r="G92" t="s">
        <v>7</v>
      </c>
      <c r="H92" s="7">
        <f t="shared" si="4"/>
        <v>3.3333333332848269E-2</v>
      </c>
      <c r="I92" s="13">
        <f t="shared" si="5"/>
        <v>0.8</v>
      </c>
      <c r="J92" t="s">
        <v>472</v>
      </c>
      <c r="K92" t="s">
        <v>400</v>
      </c>
      <c r="L92">
        <v>45.9</v>
      </c>
      <c r="M92" s="5">
        <f t="shared" si="6"/>
        <v>57.374999999999993</v>
      </c>
      <c r="N92" t="s">
        <v>13</v>
      </c>
      <c r="O92" t="str">
        <f t="shared" si="7"/>
        <v>Customer Visit</v>
      </c>
    </row>
    <row r="93" spans="1:15" x14ac:dyDescent="0.3">
      <c r="A93" s="1">
        <v>42685.61041666667</v>
      </c>
      <c r="B93" s="6">
        <f>INT(A93:A132)</f>
        <v>42685</v>
      </c>
      <c r="C93" s="7">
        <f>(A93-B93)</f>
        <v>0.61041666667006211</v>
      </c>
      <c r="D93" s="1">
        <v>42685.656944444447</v>
      </c>
      <c r="E93" s="6">
        <f>INT(D93)</f>
        <v>42685</v>
      </c>
      <c r="F93" s="8">
        <f>D93-E93</f>
        <v>0.65694444444670808</v>
      </c>
      <c r="G93" t="s">
        <v>7</v>
      </c>
      <c r="H93" s="7">
        <f t="shared" si="4"/>
        <v>4.6527777776645962E-2</v>
      </c>
      <c r="I93" s="13">
        <f t="shared" si="5"/>
        <v>1.1166666666666667</v>
      </c>
      <c r="J93" t="s">
        <v>400</v>
      </c>
      <c r="K93" t="s">
        <v>472</v>
      </c>
      <c r="L93">
        <v>36.6</v>
      </c>
      <c r="M93" s="5">
        <f t="shared" si="6"/>
        <v>32.776119402985074</v>
      </c>
      <c r="N93" t="s">
        <v>13</v>
      </c>
      <c r="O93" t="str">
        <f t="shared" si="7"/>
        <v>Customer Visit</v>
      </c>
    </row>
    <row r="94" spans="1:15" x14ac:dyDescent="0.3">
      <c r="A94" t="s">
        <v>1216</v>
      </c>
      <c r="B94" s="2">
        <v>42688</v>
      </c>
      <c r="C94" s="7">
        <v>0.47500000000000003</v>
      </c>
      <c r="D94" t="s">
        <v>1217</v>
      </c>
      <c r="E94" s="2">
        <v>42688</v>
      </c>
      <c r="F94" s="8">
        <v>0.50902777777777775</v>
      </c>
      <c r="G94" t="s">
        <v>7</v>
      </c>
      <c r="H94" s="7">
        <f t="shared" si="4"/>
        <v>3.4027777777777712E-2</v>
      </c>
      <c r="I94" s="13">
        <f t="shared" si="5"/>
        <v>0.81666666666666665</v>
      </c>
      <c r="J94" t="s">
        <v>472</v>
      </c>
      <c r="K94" t="s">
        <v>1218</v>
      </c>
      <c r="L94">
        <v>44.6</v>
      </c>
      <c r="M94" s="5">
        <f t="shared" si="6"/>
        <v>54.612244897959187</v>
      </c>
      <c r="N94" t="s">
        <v>13</v>
      </c>
      <c r="O94" t="str">
        <f t="shared" si="7"/>
        <v>Customer Visit</v>
      </c>
    </row>
    <row r="95" spans="1:15" x14ac:dyDescent="0.3">
      <c r="A95" t="s">
        <v>1219</v>
      </c>
      <c r="B95" s="2">
        <v>42688</v>
      </c>
      <c r="C95" s="7">
        <v>0.56944444444444442</v>
      </c>
      <c r="D95" t="s">
        <v>1220</v>
      </c>
      <c r="E95" s="2">
        <v>42688</v>
      </c>
      <c r="F95" s="8">
        <v>0.60625000000000007</v>
      </c>
      <c r="G95" t="s">
        <v>7</v>
      </c>
      <c r="H95" s="7">
        <f t="shared" si="4"/>
        <v>3.6805555555555647E-2</v>
      </c>
      <c r="I95" s="13">
        <f t="shared" si="5"/>
        <v>0.8833333333333333</v>
      </c>
      <c r="J95" t="s">
        <v>1218</v>
      </c>
      <c r="K95" t="s">
        <v>472</v>
      </c>
      <c r="L95">
        <v>43.6</v>
      </c>
      <c r="M95" s="5">
        <f t="shared" si="6"/>
        <v>49.358490566037737</v>
      </c>
      <c r="N95" t="s">
        <v>13</v>
      </c>
      <c r="O95" t="str">
        <f t="shared" si="7"/>
        <v>Customer Visit</v>
      </c>
    </row>
    <row r="96" spans="1:15" x14ac:dyDescent="0.3">
      <c r="A96" t="s">
        <v>1236</v>
      </c>
      <c r="B96" s="2">
        <v>42691</v>
      </c>
      <c r="C96" s="7">
        <v>0.42569444444444443</v>
      </c>
      <c r="D96" t="s">
        <v>1237</v>
      </c>
      <c r="E96" s="2">
        <v>42691</v>
      </c>
      <c r="F96" s="8">
        <v>0.44722222222222219</v>
      </c>
      <c r="G96" t="s">
        <v>7</v>
      </c>
      <c r="H96" s="7">
        <f t="shared" si="4"/>
        <v>2.1527777777777757E-2</v>
      </c>
      <c r="I96" s="13">
        <f t="shared" si="5"/>
        <v>0.51666666666666672</v>
      </c>
      <c r="J96" t="s">
        <v>472</v>
      </c>
      <c r="K96" t="s">
        <v>468</v>
      </c>
      <c r="L96">
        <v>16.3</v>
      </c>
      <c r="M96" s="5">
        <f t="shared" si="6"/>
        <v>31.548387096774192</v>
      </c>
      <c r="N96" t="s">
        <v>13</v>
      </c>
      <c r="O96" t="str">
        <f t="shared" si="7"/>
        <v>Customer Visit</v>
      </c>
    </row>
    <row r="97" spans="1:15" x14ac:dyDescent="0.3">
      <c r="A97" t="s">
        <v>1255</v>
      </c>
      <c r="B97" s="2">
        <v>42693</v>
      </c>
      <c r="C97" s="7">
        <v>0.8847222222222223</v>
      </c>
      <c r="D97" t="s">
        <v>1256</v>
      </c>
      <c r="E97" s="2">
        <v>42693</v>
      </c>
      <c r="F97" s="8">
        <v>0.89930555555555547</v>
      </c>
      <c r="G97" t="s">
        <v>7</v>
      </c>
      <c r="H97" s="7">
        <f t="shared" si="4"/>
        <v>1.4583333333333171E-2</v>
      </c>
      <c r="I97" s="13">
        <f t="shared" si="5"/>
        <v>0.35</v>
      </c>
      <c r="J97" t="s">
        <v>48</v>
      </c>
      <c r="K97" t="s">
        <v>15</v>
      </c>
      <c r="L97">
        <v>5.4</v>
      </c>
      <c r="M97" s="5">
        <f t="shared" si="6"/>
        <v>15.428571428571431</v>
      </c>
      <c r="N97" t="s">
        <v>13</v>
      </c>
      <c r="O97" t="str">
        <f t="shared" si="7"/>
        <v>Customer Visit</v>
      </c>
    </row>
    <row r="98" spans="1:15" x14ac:dyDescent="0.3">
      <c r="A98" t="s">
        <v>1259</v>
      </c>
      <c r="B98" s="2">
        <v>42694</v>
      </c>
      <c r="C98" s="7">
        <v>0.49861111111111112</v>
      </c>
      <c r="D98" t="s">
        <v>1260</v>
      </c>
      <c r="E98" s="2">
        <v>42694</v>
      </c>
      <c r="F98" s="8">
        <v>0.51944444444444449</v>
      </c>
      <c r="G98" t="s">
        <v>7</v>
      </c>
      <c r="H98" s="7">
        <f t="shared" si="4"/>
        <v>2.083333333333337E-2</v>
      </c>
      <c r="I98" s="13">
        <f t="shared" si="5"/>
        <v>0.5</v>
      </c>
      <c r="J98" t="s">
        <v>15</v>
      </c>
      <c r="K98" t="s">
        <v>15</v>
      </c>
      <c r="L98">
        <v>6.4</v>
      </c>
      <c r="M98" s="5">
        <f t="shared" si="6"/>
        <v>12.8</v>
      </c>
      <c r="N98" t="s">
        <v>13</v>
      </c>
      <c r="O98" t="str">
        <f t="shared" si="7"/>
        <v>Customer Visit</v>
      </c>
    </row>
    <row r="99" spans="1:15" x14ac:dyDescent="0.3">
      <c r="A99" t="s">
        <v>1279</v>
      </c>
      <c r="B99" s="2">
        <v>42696</v>
      </c>
      <c r="C99" s="7">
        <v>0.66041666666666665</v>
      </c>
      <c r="D99" t="s">
        <v>1280</v>
      </c>
      <c r="E99" s="2">
        <v>42696</v>
      </c>
      <c r="F99" s="8">
        <v>0.69652777777777775</v>
      </c>
      <c r="G99" t="s">
        <v>7</v>
      </c>
      <c r="H99" s="7">
        <f t="shared" si="4"/>
        <v>3.6111111111111094E-2</v>
      </c>
      <c r="I99" s="13">
        <f t="shared" si="5"/>
        <v>0.8666666666666667</v>
      </c>
      <c r="J99" t="s">
        <v>15</v>
      </c>
      <c r="K99" t="s">
        <v>15</v>
      </c>
      <c r="L99">
        <v>12.7</v>
      </c>
      <c r="M99" s="5">
        <f t="shared" si="6"/>
        <v>14.653846153846153</v>
      </c>
      <c r="N99" t="s">
        <v>13</v>
      </c>
      <c r="O99" t="str">
        <f t="shared" si="7"/>
        <v>Customer Visit</v>
      </c>
    </row>
    <row r="100" spans="1:15" x14ac:dyDescent="0.3">
      <c r="A100" t="s">
        <v>1283</v>
      </c>
      <c r="B100" s="2">
        <v>42696</v>
      </c>
      <c r="C100" s="7">
        <v>0.87638888888888899</v>
      </c>
      <c r="D100" t="s">
        <v>1284</v>
      </c>
      <c r="E100" s="2">
        <v>42696</v>
      </c>
      <c r="F100" s="8">
        <v>0.8847222222222223</v>
      </c>
      <c r="G100" t="s">
        <v>7</v>
      </c>
      <c r="H100" s="7">
        <f t="shared" si="4"/>
        <v>8.3333333333333037E-3</v>
      </c>
      <c r="I100" s="13">
        <f t="shared" si="5"/>
        <v>0.2</v>
      </c>
      <c r="J100" t="s">
        <v>16</v>
      </c>
      <c r="K100" t="s">
        <v>15</v>
      </c>
      <c r="L100">
        <v>3.5</v>
      </c>
      <c r="M100" s="5">
        <f t="shared" si="6"/>
        <v>17.5</v>
      </c>
      <c r="N100" t="s">
        <v>13</v>
      </c>
      <c r="O100" t="str">
        <f t="shared" si="7"/>
        <v>Customer Visit</v>
      </c>
    </row>
    <row r="101" spans="1:15" x14ac:dyDescent="0.3">
      <c r="A101" t="s">
        <v>1311</v>
      </c>
      <c r="B101" s="2">
        <v>42704</v>
      </c>
      <c r="C101" s="7">
        <v>0.4604166666666667</v>
      </c>
      <c r="D101" t="s">
        <v>1312</v>
      </c>
      <c r="E101" s="2">
        <v>42704</v>
      </c>
      <c r="F101" s="8">
        <v>0.48194444444444445</v>
      </c>
      <c r="G101" t="s">
        <v>7</v>
      </c>
      <c r="H101" s="7">
        <f t="shared" si="4"/>
        <v>2.1527777777777757E-2</v>
      </c>
      <c r="I101" s="13">
        <f t="shared" si="5"/>
        <v>0.51666666666666672</v>
      </c>
      <c r="J101" t="s">
        <v>15</v>
      </c>
      <c r="K101" t="s">
        <v>40</v>
      </c>
      <c r="L101">
        <v>8.5</v>
      </c>
      <c r="M101" s="5">
        <f t="shared" si="6"/>
        <v>16.451612903225804</v>
      </c>
      <c r="N101" t="s">
        <v>13</v>
      </c>
      <c r="O101" t="str">
        <f t="shared" si="7"/>
        <v>Customer Visit</v>
      </c>
    </row>
    <row r="102" spans="1:15" x14ac:dyDescent="0.3">
      <c r="A102" s="1">
        <v>42381.85833333333</v>
      </c>
      <c r="B102" s="6">
        <f t="shared" ref="B102:B111" si="12">INT(A102:A141)</f>
        <v>42381</v>
      </c>
      <c r="C102" s="7">
        <f t="shared" ref="C102:C111" si="13">(A102-B102)</f>
        <v>0.85833333332993789</v>
      </c>
      <c r="D102" s="1">
        <v>42381.865277777775</v>
      </c>
      <c r="E102" s="6">
        <f t="shared" ref="E102:E111" si="14">INT(D102)</f>
        <v>42381</v>
      </c>
      <c r="F102" s="8">
        <f t="shared" ref="F102:F111" si="15">D102-E102</f>
        <v>0.86527777777519077</v>
      </c>
      <c r="G102" t="s">
        <v>7</v>
      </c>
      <c r="H102" s="7">
        <f t="shared" si="4"/>
        <v>6.9444444452528842E-3</v>
      </c>
      <c r="I102" s="13">
        <f t="shared" si="5"/>
        <v>0.16666666666666666</v>
      </c>
      <c r="J102" t="s">
        <v>16</v>
      </c>
      <c r="K102" t="s">
        <v>15</v>
      </c>
      <c r="L102">
        <v>2.9</v>
      </c>
      <c r="M102" s="5">
        <f t="shared" si="6"/>
        <v>17.400000000000002</v>
      </c>
      <c r="N102" t="s">
        <v>13</v>
      </c>
      <c r="O102" t="str">
        <f t="shared" si="7"/>
        <v>Customer Visit</v>
      </c>
    </row>
    <row r="103" spans="1:15" x14ac:dyDescent="0.3">
      <c r="A103" s="1">
        <v>42412.546527777777</v>
      </c>
      <c r="B103" s="6">
        <f t="shared" si="12"/>
        <v>42412</v>
      </c>
      <c r="C103" s="7">
        <f t="shared" si="13"/>
        <v>0.54652777777664596</v>
      </c>
      <c r="D103" s="1">
        <v>42412.556944444441</v>
      </c>
      <c r="E103" s="6">
        <f t="shared" si="14"/>
        <v>42412</v>
      </c>
      <c r="F103" s="8">
        <f t="shared" si="15"/>
        <v>0.55694444444088731</v>
      </c>
      <c r="G103" t="s">
        <v>7</v>
      </c>
      <c r="H103" s="7">
        <f t="shared" si="4"/>
        <v>1.0416666664241347E-2</v>
      </c>
      <c r="I103" s="13">
        <f t="shared" si="5"/>
        <v>0.25</v>
      </c>
      <c r="J103" t="s">
        <v>48</v>
      </c>
      <c r="K103" t="s">
        <v>15</v>
      </c>
      <c r="L103">
        <v>5.3</v>
      </c>
      <c r="M103" s="5">
        <f t="shared" si="6"/>
        <v>21.2</v>
      </c>
      <c r="N103" t="s">
        <v>13</v>
      </c>
      <c r="O103" t="str">
        <f t="shared" si="7"/>
        <v>Customer Visit</v>
      </c>
    </row>
    <row r="104" spans="1:15" x14ac:dyDescent="0.3">
      <c r="A104" s="1">
        <v>42412.957638888889</v>
      </c>
      <c r="B104" s="6">
        <f t="shared" si="12"/>
        <v>42412</v>
      </c>
      <c r="C104" s="7">
        <f t="shared" si="13"/>
        <v>0.95763888888905058</v>
      </c>
      <c r="D104" s="1">
        <v>42412.963194444441</v>
      </c>
      <c r="E104" s="6">
        <f t="shared" si="14"/>
        <v>42412</v>
      </c>
      <c r="F104" s="8">
        <f t="shared" si="15"/>
        <v>0.96319444444088731</v>
      </c>
      <c r="G104" t="s">
        <v>7</v>
      </c>
      <c r="H104" s="7">
        <f t="shared" si="4"/>
        <v>5.5555555518367328E-3</v>
      </c>
      <c r="I104" s="13">
        <f t="shared" si="5"/>
        <v>0.13333333333333333</v>
      </c>
      <c r="J104" t="s">
        <v>16</v>
      </c>
      <c r="K104" t="s">
        <v>15</v>
      </c>
      <c r="L104">
        <v>3</v>
      </c>
      <c r="M104" s="5">
        <f t="shared" si="6"/>
        <v>22.5</v>
      </c>
      <c r="N104" t="s">
        <v>13</v>
      </c>
      <c r="O104" t="str">
        <f t="shared" si="7"/>
        <v>Customer Visit</v>
      </c>
    </row>
    <row r="105" spans="1:15" x14ac:dyDescent="0.3">
      <c r="A105" s="1">
        <v>42441.854861111111</v>
      </c>
      <c r="B105" s="6">
        <f t="shared" si="12"/>
        <v>42441</v>
      </c>
      <c r="C105" s="7">
        <f t="shared" si="13"/>
        <v>0.85486111111094942</v>
      </c>
      <c r="D105" s="1">
        <v>42441.861805555556</v>
      </c>
      <c r="E105" s="6">
        <f t="shared" si="14"/>
        <v>42441</v>
      </c>
      <c r="F105" s="8">
        <f t="shared" si="15"/>
        <v>0.86180555555620231</v>
      </c>
      <c r="G105" t="s">
        <v>7</v>
      </c>
      <c r="H105" s="7">
        <f t="shared" si="4"/>
        <v>6.9444444452528842E-3</v>
      </c>
      <c r="I105" s="13">
        <f t="shared" si="5"/>
        <v>0.16666666666666666</v>
      </c>
      <c r="J105" t="s">
        <v>16</v>
      </c>
      <c r="K105" t="s">
        <v>15</v>
      </c>
      <c r="L105">
        <v>3</v>
      </c>
      <c r="M105" s="5">
        <f t="shared" si="6"/>
        <v>18</v>
      </c>
      <c r="N105" t="s">
        <v>13</v>
      </c>
      <c r="O105" t="str">
        <f t="shared" si="7"/>
        <v>Customer Visit</v>
      </c>
    </row>
    <row r="106" spans="1:15" x14ac:dyDescent="0.3">
      <c r="A106" s="1">
        <v>42472.849305555559</v>
      </c>
      <c r="B106" s="6">
        <f t="shared" si="12"/>
        <v>42472</v>
      </c>
      <c r="C106" s="7">
        <f t="shared" si="13"/>
        <v>0.84930555555911269</v>
      </c>
      <c r="D106" s="1">
        <v>42472.856944444444</v>
      </c>
      <c r="E106" s="6">
        <f t="shared" si="14"/>
        <v>42472</v>
      </c>
      <c r="F106" s="8">
        <f t="shared" si="15"/>
        <v>0.85694444444379769</v>
      </c>
      <c r="G106" t="s">
        <v>7</v>
      </c>
      <c r="H106" s="7">
        <f t="shared" si="4"/>
        <v>7.6388888846850023E-3</v>
      </c>
      <c r="I106" s="13">
        <f t="shared" si="5"/>
        <v>0.18333333333333332</v>
      </c>
      <c r="J106" t="s">
        <v>16</v>
      </c>
      <c r="K106" t="s">
        <v>15</v>
      </c>
      <c r="L106">
        <v>3.4</v>
      </c>
      <c r="M106" s="5">
        <f t="shared" si="6"/>
        <v>18.545454545454547</v>
      </c>
      <c r="N106" t="s">
        <v>13</v>
      </c>
      <c r="O106" t="str">
        <f t="shared" si="7"/>
        <v>Customer Visit</v>
      </c>
    </row>
    <row r="107" spans="1:15" x14ac:dyDescent="0.3">
      <c r="A107" s="1">
        <v>42563.828472222223</v>
      </c>
      <c r="B107" s="6">
        <f t="shared" si="12"/>
        <v>42563</v>
      </c>
      <c r="C107" s="7">
        <f t="shared" si="13"/>
        <v>0.82847222222335404</v>
      </c>
      <c r="D107" s="1">
        <v>42563.842361111114</v>
      </c>
      <c r="E107" s="6">
        <f t="shared" si="14"/>
        <v>42563</v>
      </c>
      <c r="F107" s="8">
        <f t="shared" si="15"/>
        <v>0.84236111111385981</v>
      </c>
      <c r="G107" t="s">
        <v>7</v>
      </c>
      <c r="H107" s="7">
        <f t="shared" si="4"/>
        <v>1.3888888890505768E-2</v>
      </c>
      <c r="I107" s="13">
        <f t="shared" si="5"/>
        <v>0.33333333333333331</v>
      </c>
      <c r="J107" t="s">
        <v>15</v>
      </c>
      <c r="K107" t="s">
        <v>15</v>
      </c>
      <c r="L107">
        <v>7</v>
      </c>
      <c r="M107" s="5">
        <f t="shared" si="6"/>
        <v>21</v>
      </c>
      <c r="N107" t="s">
        <v>13</v>
      </c>
      <c r="O107" t="str">
        <f t="shared" si="7"/>
        <v>Customer Visit</v>
      </c>
    </row>
    <row r="108" spans="1:15" x14ac:dyDescent="0.3">
      <c r="A108" s="1">
        <v>42625.918749999997</v>
      </c>
      <c r="B108" s="6">
        <f t="shared" si="12"/>
        <v>42625</v>
      </c>
      <c r="C108" s="7">
        <f t="shared" si="13"/>
        <v>0.91874999999708962</v>
      </c>
      <c r="D108" s="1">
        <v>42625.956250000003</v>
      </c>
      <c r="E108" s="6">
        <f t="shared" si="14"/>
        <v>42625</v>
      </c>
      <c r="F108" s="8">
        <f t="shared" si="15"/>
        <v>0.95625000000291038</v>
      </c>
      <c r="G108" t="s">
        <v>7</v>
      </c>
      <c r="H108" s="7">
        <f t="shared" si="4"/>
        <v>3.7500000005820766E-2</v>
      </c>
      <c r="I108" s="13">
        <f t="shared" si="5"/>
        <v>0.9</v>
      </c>
      <c r="J108" t="s">
        <v>15</v>
      </c>
      <c r="K108" t="s">
        <v>15</v>
      </c>
      <c r="L108">
        <v>18.899999999999999</v>
      </c>
      <c r="M108" s="5">
        <f t="shared" si="6"/>
        <v>20.999999999999996</v>
      </c>
      <c r="N108" t="s">
        <v>13</v>
      </c>
      <c r="O108" t="str">
        <f t="shared" si="7"/>
        <v>Customer Visit</v>
      </c>
    </row>
    <row r="109" spans="1:15" x14ac:dyDescent="0.3">
      <c r="A109" s="1">
        <v>42655.92291666667</v>
      </c>
      <c r="B109" s="6">
        <f t="shared" si="12"/>
        <v>42655</v>
      </c>
      <c r="C109" s="7">
        <f t="shared" si="13"/>
        <v>0.92291666667006211</v>
      </c>
      <c r="D109" s="1">
        <v>42655.931250000001</v>
      </c>
      <c r="E109" s="6">
        <f t="shared" si="14"/>
        <v>42655</v>
      </c>
      <c r="F109" s="8">
        <f t="shared" si="15"/>
        <v>0.93125000000145519</v>
      </c>
      <c r="G109" t="s">
        <v>7</v>
      </c>
      <c r="H109" s="7">
        <f t="shared" si="4"/>
        <v>8.333333331393078E-3</v>
      </c>
      <c r="I109" s="13">
        <f t="shared" si="5"/>
        <v>0.2</v>
      </c>
      <c r="J109" t="s">
        <v>16</v>
      </c>
      <c r="K109" t="s">
        <v>15</v>
      </c>
      <c r="L109">
        <v>3.1</v>
      </c>
      <c r="M109" s="5">
        <f t="shared" si="6"/>
        <v>15.5</v>
      </c>
      <c r="N109" t="s">
        <v>13</v>
      </c>
      <c r="O109" t="str">
        <f t="shared" si="7"/>
        <v>Customer Visit</v>
      </c>
    </row>
    <row r="110" spans="1:15" x14ac:dyDescent="0.3">
      <c r="A110" s="1">
        <v>42716.601388888892</v>
      </c>
      <c r="B110" s="6">
        <f t="shared" si="12"/>
        <v>42716</v>
      </c>
      <c r="C110" s="7">
        <f t="shared" si="13"/>
        <v>0.60138888889196096</v>
      </c>
      <c r="D110" s="1">
        <v>42716.61041666667</v>
      </c>
      <c r="E110" s="6">
        <f t="shared" si="14"/>
        <v>42716</v>
      </c>
      <c r="F110" s="8">
        <f t="shared" si="15"/>
        <v>0.61041666667006211</v>
      </c>
      <c r="G110" t="s">
        <v>7</v>
      </c>
      <c r="H110" s="7">
        <f t="shared" si="4"/>
        <v>9.0277777781011537E-3</v>
      </c>
      <c r="I110" s="13">
        <f t="shared" si="5"/>
        <v>0.21666666666666667</v>
      </c>
      <c r="J110" t="s">
        <v>48</v>
      </c>
      <c r="K110" t="s">
        <v>15</v>
      </c>
      <c r="L110">
        <v>4.7</v>
      </c>
      <c r="M110" s="5">
        <f t="shared" si="6"/>
        <v>21.692307692307693</v>
      </c>
      <c r="N110" t="s">
        <v>13</v>
      </c>
      <c r="O110" t="str">
        <f t="shared" si="7"/>
        <v>Customer Visit</v>
      </c>
    </row>
    <row r="111" spans="1:15" x14ac:dyDescent="0.3">
      <c r="A111" s="1">
        <v>42716.866666666669</v>
      </c>
      <c r="B111" s="6">
        <f t="shared" si="12"/>
        <v>42716</v>
      </c>
      <c r="C111" s="7">
        <f t="shared" si="13"/>
        <v>0.86666666666860692</v>
      </c>
      <c r="D111" s="1">
        <v>42716.872916666667</v>
      </c>
      <c r="E111" s="6">
        <f t="shared" si="14"/>
        <v>42716</v>
      </c>
      <c r="F111" s="8">
        <f t="shared" si="15"/>
        <v>0.87291666666715173</v>
      </c>
      <c r="G111" t="s">
        <v>7</v>
      </c>
      <c r="H111" s="7">
        <f t="shared" si="4"/>
        <v>6.2499999985448085E-3</v>
      </c>
      <c r="I111" s="13">
        <f t="shared" si="5"/>
        <v>0.15</v>
      </c>
      <c r="J111" t="s">
        <v>16</v>
      </c>
      <c r="K111" t="s">
        <v>15</v>
      </c>
      <c r="L111">
        <v>3</v>
      </c>
      <c r="M111" s="5">
        <f t="shared" si="6"/>
        <v>20</v>
      </c>
      <c r="N111" t="s">
        <v>13</v>
      </c>
      <c r="O111" t="str">
        <f t="shared" si="7"/>
        <v>Customer Visit</v>
      </c>
    </row>
    <row r="112" spans="1:15" x14ac:dyDescent="0.3">
      <c r="A112" t="s">
        <v>1329</v>
      </c>
      <c r="B112" s="2">
        <v>42718</v>
      </c>
      <c r="C112" s="7">
        <v>0.85</v>
      </c>
      <c r="D112" t="s">
        <v>1330</v>
      </c>
      <c r="E112" s="2">
        <v>42718</v>
      </c>
      <c r="F112" s="8">
        <v>0.86111111111111116</v>
      </c>
      <c r="G112" t="s">
        <v>7</v>
      </c>
      <c r="H112" s="7">
        <f t="shared" si="4"/>
        <v>1.1111111111111183E-2</v>
      </c>
      <c r="I112" s="13">
        <f t="shared" si="5"/>
        <v>0.26666666666666666</v>
      </c>
      <c r="J112" t="s">
        <v>16</v>
      </c>
      <c r="K112" t="s">
        <v>15</v>
      </c>
      <c r="L112">
        <v>3.1</v>
      </c>
      <c r="M112" s="5">
        <f t="shared" si="6"/>
        <v>11.625</v>
      </c>
      <c r="N112" t="s">
        <v>13</v>
      </c>
      <c r="O112" t="str">
        <f t="shared" si="7"/>
        <v>Customer Visit</v>
      </c>
    </row>
    <row r="113" spans="1:15" x14ac:dyDescent="0.3">
      <c r="A113" t="s">
        <v>1358</v>
      </c>
      <c r="B113" s="2">
        <v>42723</v>
      </c>
      <c r="C113" s="7">
        <v>0.63124999999999998</v>
      </c>
      <c r="D113" t="s">
        <v>1359</v>
      </c>
      <c r="E113" s="2">
        <v>42723</v>
      </c>
      <c r="F113" s="8">
        <v>0.65138888888888891</v>
      </c>
      <c r="G113" t="s">
        <v>7</v>
      </c>
      <c r="H113" s="7">
        <f t="shared" si="4"/>
        <v>2.0138888888888928E-2</v>
      </c>
      <c r="I113" s="13">
        <f t="shared" si="5"/>
        <v>0.48333333333333334</v>
      </c>
      <c r="J113" t="s">
        <v>72</v>
      </c>
      <c r="K113" t="s">
        <v>1347</v>
      </c>
      <c r="L113">
        <v>10.199999999999999</v>
      </c>
      <c r="M113" s="5">
        <f t="shared" si="6"/>
        <v>21.103448275862068</v>
      </c>
      <c r="N113" t="s">
        <v>13</v>
      </c>
      <c r="O113" t="str">
        <f t="shared" si="7"/>
        <v>Customer Visit</v>
      </c>
    </row>
    <row r="114" spans="1:15" x14ac:dyDescent="0.3">
      <c r="A114" t="s">
        <v>1360</v>
      </c>
      <c r="B114" s="2">
        <v>42723</v>
      </c>
      <c r="C114" s="7">
        <v>0.70138888888888884</v>
      </c>
      <c r="D114" t="s">
        <v>1361</v>
      </c>
      <c r="E114" s="2">
        <v>42723</v>
      </c>
      <c r="F114" s="8">
        <v>0.71458333333333324</v>
      </c>
      <c r="G114" t="s">
        <v>7</v>
      </c>
      <c r="H114" s="7">
        <f t="shared" si="4"/>
        <v>1.3194444444444398E-2</v>
      </c>
      <c r="I114" s="13">
        <f t="shared" si="5"/>
        <v>0.31666666666666665</v>
      </c>
      <c r="J114" t="s">
        <v>1347</v>
      </c>
      <c r="K114" t="s">
        <v>88</v>
      </c>
      <c r="L114">
        <v>7.2</v>
      </c>
      <c r="M114" s="5">
        <f t="shared" si="6"/>
        <v>22.736842105263161</v>
      </c>
      <c r="N114" t="s">
        <v>13</v>
      </c>
      <c r="O114" t="str">
        <f t="shared" si="7"/>
        <v>Customer Visit</v>
      </c>
    </row>
    <row r="115" spans="1:15" x14ac:dyDescent="0.3">
      <c r="A115" t="s">
        <v>1380</v>
      </c>
      <c r="B115" s="2">
        <v>42724</v>
      </c>
      <c r="C115" s="7">
        <v>0.78263888888888899</v>
      </c>
      <c r="D115" t="s">
        <v>1381</v>
      </c>
      <c r="E115" s="2">
        <v>42724</v>
      </c>
      <c r="F115" s="8">
        <v>0.80625000000000002</v>
      </c>
      <c r="G115" t="s">
        <v>7</v>
      </c>
      <c r="H115" s="7">
        <f t="shared" si="4"/>
        <v>2.3611111111111027E-2</v>
      </c>
      <c r="I115" s="13">
        <f t="shared" si="5"/>
        <v>0.56666666666666665</v>
      </c>
      <c r="J115" t="s">
        <v>88</v>
      </c>
      <c r="K115" t="s">
        <v>72</v>
      </c>
      <c r="L115">
        <v>10.3</v>
      </c>
      <c r="M115" s="5">
        <f t="shared" si="6"/>
        <v>18.176470588235297</v>
      </c>
      <c r="N115" t="s">
        <v>13</v>
      </c>
      <c r="O115" t="str">
        <f t="shared" si="7"/>
        <v>Customer Visit</v>
      </c>
    </row>
    <row r="116" spans="1:15" x14ac:dyDescent="0.3">
      <c r="A116" t="s">
        <v>1396</v>
      </c>
      <c r="B116" s="2">
        <v>42725</v>
      </c>
      <c r="C116" s="7">
        <v>0.74930555555555556</v>
      </c>
      <c r="D116" t="s">
        <v>1397</v>
      </c>
      <c r="E116" s="2">
        <v>42725</v>
      </c>
      <c r="F116" s="8">
        <v>0.7715277777777777</v>
      </c>
      <c r="G116" t="s">
        <v>7</v>
      </c>
      <c r="H116" s="7">
        <f t="shared" si="4"/>
        <v>2.2222222222222143E-2</v>
      </c>
      <c r="I116" s="13">
        <f t="shared" si="5"/>
        <v>0.53333333333333333</v>
      </c>
      <c r="J116" t="s">
        <v>88</v>
      </c>
      <c r="K116" t="s">
        <v>72</v>
      </c>
      <c r="L116">
        <v>7.2</v>
      </c>
      <c r="M116" s="5">
        <f t="shared" si="6"/>
        <v>13.5</v>
      </c>
      <c r="N116" t="s">
        <v>13</v>
      </c>
      <c r="O116" t="str">
        <f t="shared" si="7"/>
        <v>Customer Visit</v>
      </c>
    </row>
    <row r="117" spans="1:15" x14ac:dyDescent="0.3">
      <c r="A117" t="s">
        <v>1404</v>
      </c>
      <c r="B117" s="2">
        <v>42726</v>
      </c>
      <c r="C117" s="7">
        <v>0.71111111111111114</v>
      </c>
      <c r="D117" t="s">
        <v>1405</v>
      </c>
      <c r="E117" s="2">
        <v>42726</v>
      </c>
      <c r="F117" s="8">
        <v>0.72222222222222221</v>
      </c>
      <c r="G117" t="s">
        <v>7</v>
      </c>
      <c r="H117" s="7">
        <f t="shared" si="4"/>
        <v>1.1111111111111072E-2</v>
      </c>
      <c r="I117" s="13">
        <f t="shared" si="5"/>
        <v>0.26666666666666666</v>
      </c>
      <c r="J117" t="s">
        <v>72</v>
      </c>
      <c r="K117" t="s">
        <v>72</v>
      </c>
      <c r="L117">
        <v>5.3</v>
      </c>
      <c r="M117" s="5">
        <f t="shared" si="6"/>
        <v>19.875</v>
      </c>
      <c r="N117" t="s">
        <v>13</v>
      </c>
      <c r="O117" t="str">
        <f t="shared" si="7"/>
        <v>Customer Visit</v>
      </c>
    </row>
    <row r="118" spans="1:15" x14ac:dyDescent="0.3">
      <c r="A118" t="s">
        <v>1418</v>
      </c>
      <c r="B118" s="2">
        <v>42726</v>
      </c>
      <c r="C118" s="7">
        <v>0.9770833333333333</v>
      </c>
      <c r="D118" t="s">
        <v>1419</v>
      </c>
      <c r="E118" s="2">
        <v>42726</v>
      </c>
      <c r="F118" s="8">
        <v>0.98055555555555562</v>
      </c>
      <c r="G118" t="s">
        <v>7</v>
      </c>
      <c r="H118" s="7">
        <f t="shared" si="4"/>
        <v>3.4722222222223209E-3</v>
      </c>
      <c r="I118" s="13">
        <f t="shared" si="5"/>
        <v>8.3333333333333329E-2</v>
      </c>
      <c r="J118" t="s">
        <v>894</v>
      </c>
      <c r="K118" t="s">
        <v>894</v>
      </c>
      <c r="L118">
        <v>2.1</v>
      </c>
      <c r="M118" s="5">
        <f t="shared" si="6"/>
        <v>25.200000000000003</v>
      </c>
      <c r="N118" t="s">
        <v>13</v>
      </c>
      <c r="O118" t="str">
        <f t="shared" si="7"/>
        <v>Customer Visit</v>
      </c>
    </row>
    <row r="119" spans="1:15" x14ac:dyDescent="0.3">
      <c r="A119" t="s">
        <v>1454</v>
      </c>
      <c r="B119" s="2">
        <v>42730</v>
      </c>
      <c r="C119" s="7">
        <v>0.37847222222222227</v>
      </c>
      <c r="D119" t="s">
        <v>1455</v>
      </c>
      <c r="E119" s="2">
        <v>42730</v>
      </c>
      <c r="F119" s="8">
        <v>0.38819444444444445</v>
      </c>
      <c r="G119" t="s">
        <v>7</v>
      </c>
      <c r="H119" s="7">
        <f t="shared" si="4"/>
        <v>9.7222222222221877E-3</v>
      </c>
      <c r="I119" s="13">
        <f t="shared" si="5"/>
        <v>0.23333333333333334</v>
      </c>
      <c r="J119" t="s">
        <v>894</v>
      </c>
      <c r="K119" t="s">
        <v>894</v>
      </c>
      <c r="L119">
        <v>6.2</v>
      </c>
      <c r="M119" s="5">
        <f t="shared" si="6"/>
        <v>26.571428571428573</v>
      </c>
      <c r="N119" t="s">
        <v>13</v>
      </c>
      <c r="O119" t="str">
        <f t="shared" si="7"/>
        <v>Customer Visit</v>
      </c>
    </row>
    <row r="120" spans="1:15" x14ac:dyDescent="0.3">
      <c r="A120" t="s">
        <v>1456</v>
      </c>
      <c r="B120" s="2">
        <v>42730</v>
      </c>
      <c r="C120" s="7">
        <v>0.42708333333333331</v>
      </c>
      <c r="D120" t="s">
        <v>1457</v>
      </c>
      <c r="E120" s="2">
        <v>42730</v>
      </c>
      <c r="F120" s="8">
        <v>0.44166666666666665</v>
      </c>
      <c r="G120" t="s">
        <v>7</v>
      </c>
      <c r="H120" s="7">
        <f t="shared" si="4"/>
        <v>1.4583333333333337E-2</v>
      </c>
      <c r="I120" s="13">
        <f t="shared" si="5"/>
        <v>0.35</v>
      </c>
      <c r="J120" t="s">
        <v>894</v>
      </c>
      <c r="K120" t="s">
        <v>894</v>
      </c>
      <c r="L120">
        <v>7.7</v>
      </c>
      <c r="M120" s="5">
        <f t="shared" si="6"/>
        <v>22.000000000000004</v>
      </c>
      <c r="N120" t="s">
        <v>13</v>
      </c>
      <c r="O120" t="str">
        <f t="shared" si="7"/>
        <v>Customer Visit</v>
      </c>
    </row>
    <row r="121" spans="1:15" x14ac:dyDescent="0.3">
      <c r="A121" t="s">
        <v>1458</v>
      </c>
      <c r="B121" s="2">
        <v>42730</v>
      </c>
      <c r="C121" s="7">
        <v>0.47847222222222219</v>
      </c>
      <c r="D121" t="s">
        <v>1459</v>
      </c>
      <c r="E121" s="2">
        <v>42730</v>
      </c>
      <c r="F121" s="8">
        <v>0.48749999999999999</v>
      </c>
      <c r="G121" t="s">
        <v>7</v>
      </c>
      <c r="H121" s="7">
        <f t="shared" si="4"/>
        <v>9.0277777777778012E-3</v>
      </c>
      <c r="I121" s="13">
        <f t="shared" si="5"/>
        <v>0.21666666666666667</v>
      </c>
      <c r="J121" t="s">
        <v>894</v>
      </c>
      <c r="K121" t="s">
        <v>894</v>
      </c>
      <c r="L121">
        <v>3.8</v>
      </c>
      <c r="M121" s="5">
        <f t="shared" si="6"/>
        <v>17.538461538461537</v>
      </c>
      <c r="N121" t="s">
        <v>13</v>
      </c>
      <c r="O121" t="str">
        <f t="shared" si="7"/>
        <v>Customer Visit</v>
      </c>
    </row>
    <row r="122" spans="1:15" x14ac:dyDescent="0.3">
      <c r="A122" t="s">
        <v>1469</v>
      </c>
      <c r="B122" s="2">
        <v>42731</v>
      </c>
      <c r="C122" s="7">
        <v>0.61736111111111114</v>
      </c>
      <c r="D122" t="s">
        <v>1470</v>
      </c>
      <c r="E122" s="2">
        <v>42731</v>
      </c>
      <c r="F122" s="8">
        <v>0.62708333333333333</v>
      </c>
      <c r="G122" t="s">
        <v>7</v>
      </c>
      <c r="H122" s="7">
        <f t="shared" si="4"/>
        <v>9.7222222222221877E-3</v>
      </c>
      <c r="I122" s="13">
        <f t="shared" si="5"/>
        <v>0.23333333333333334</v>
      </c>
      <c r="J122" t="s">
        <v>1464</v>
      </c>
      <c r="K122" t="s">
        <v>72</v>
      </c>
      <c r="L122">
        <v>3.1</v>
      </c>
      <c r="M122" s="5">
        <f t="shared" si="6"/>
        <v>13.285714285714286</v>
      </c>
      <c r="N122" t="s">
        <v>13</v>
      </c>
      <c r="O122" t="str">
        <f t="shared" si="7"/>
        <v>Customer Visit</v>
      </c>
    </row>
    <row r="123" spans="1:15" x14ac:dyDescent="0.3">
      <c r="A123" t="s">
        <v>1473</v>
      </c>
      <c r="B123" s="2">
        <v>42731</v>
      </c>
      <c r="C123" s="7">
        <v>0.80486111111111114</v>
      </c>
      <c r="D123" t="s">
        <v>1474</v>
      </c>
      <c r="E123" s="2">
        <v>42731</v>
      </c>
      <c r="F123" s="8">
        <v>0.82638888888888884</v>
      </c>
      <c r="G123" t="s">
        <v>7</v>
      </c>
      <c r="H123" s="7">
        <f t="shared" si="4"/>
        <v>2.1527777777777701E-2</v>
      </c>
      <c r="I123" s="13">
        <f t="shared" si="5"/>
        <v>0.51666666666666672</v>
      </c>
      <c r="J123" t="s">
        <v>1464</v>
      </c>
      <c r="K123" t="s">
        <v>1464</v>
      </c>
      <c r="L123">
        <v>5.5</v>
      </c>
      <c r="M123" s="5">
        <f t="shared" si="6"/>
        <v>10.64516129032258</v>
      </c>
      <c r="N123" t="s">
        <v>13</v>
      </c>
      <c r="O123" t="str">
        <f t="shared" si="7"/>
        <v>Customer Visit</v>
      </c>
    </row>
    <row r="124" spans="1:15" x14ac:dyDescent="0.3">
      <c r="A124" t="s">
        <v>1507</v>
      </c>
      <c r="B124" s="2">
        <v>42733</v>
      </c>
      <c r="C124" s="7">
        <v>0.82638888888888884</v>
      </c>
      <c r="D124" t="s">
        <v>1508</v>
      </c>
      <c r="E124" s="2">
        <v>42733</v>
      </c>
      <c r="F124" s="8">
        <v>0.84027777777777779</v>
      </c>
      <c r="G124" t="s">
        <v>7</v>
      </c>
      <c r="H124" s="7">
        <f t="shared" si="4"/>
        <v>1.3888888888888951E-2</v>
      </c>
      <c r="I124" s="13">
        <f t="shared" si="5"/>
        <v>0.33333333333333331</v>
      </c>
      <c r="J124" t="s">
        <v>72</v>
      </c>
      <c r="K124" t="s">
        <v>1464</v>
      </c>
      <c r="L124">
        <v>4.0999999999999996</v>
      </c>
      <c r="M124" s="5">
        <f t="shared" si="6"/>
        <v>12.299999999999999</v>
      </c>
      <c r="N124" t="s">
        <v>13</v>
      </c>
      <c r="O124" t="str">
        <f t="shared" si="7"/>
        <v>Customer Visit</v>
      </c>
    </row>
    <row r="125" spans="1:15" x14ac:dyDescent="0.3">
      <c r="A125" t="s">
        <v>1523</v>
      </c>
      <c r="B125" s="2">
        <v>42734</v>
      </c>
      <c r="C125" s="7">
        <v>0.96250000000000002</v>
      </c>
      <c r="D125" t="s">
        <v>1524</v>
      </c>
      <c r="E125" s="2">
        <v>42734</v>
      </c>
      <c r="F125" s="8">
        <v>0.96527777777777779</v>
      </c>
      <c r="G125" t="s">
        <v>7</v>
      </c>
      <c r="H125" s="7">
        <f t="shared" si="4"/>
        <v>2.7777777777777679E-3</v>
      </c>
      <c r="I125" s="13">
        <f t="shared" si="5"/>
        <v>6.6666666666666666E-2</v>
      </c>
      <c r="J125" t="s">
        <v>1464</v>
      </c>
      <c r="K125" t="s">
        <v>1464</v>
      </c>
      <c r="L125">
        <v>0.8</v>
      </c>
      <c r="M125" s="5">
        <f t="shared" si="6"/>
        <v>12</v>
      </c>
      <c r="N125" t="s">
        <v>13</v>
      </c>
      <c r="O125" t="str">
        <f t="shared" si="7"/>
        <v>Customer Visit</v>
      </c>
    </row>
    <row r="126" spans="1:15" x14ac:dyDescent="0.3">
      <c r="A126" s="1">
        <v>42401.850694444445</v>
      </c>
      <c r="B126" s="6">
        <f>INT(A126)</f>
        <v>42401</v>
      </c>
      <c r="C126" s="7">
        <f>(A126-B126)</f>
        <v>0.85069444444525288</v>
      </c>
      <c r="D126" s="1">
        <v>42401.859722222223</v>
      </c>
      <c r="E126" s="6">
        <f>INT(D126)</f>
        <v>42401</v>
      </c>
      <c r="F126" s="8">
        <f>D126-E126</f>
        <v>0.85972222222335404</v>
      </c>
      <c r="G126" t="s">
        <v>7</v>
      </c>
      <c r="H126" s="7">
        <f t="shared" si="4"/>
        <v>9.0277777781011537E-3</v>
      </c>
      <c r="I126" s="13">
        <f t="shared" si="5"/>
        <v>0.21666666666666667</v>
      </c>
      <c r="J126" t="s">
        <v>8</v>
      </c>
      <c r="K126" t="s">
        <v>8</v>
      </c>
      <c r="L126">
        <v>4.8</v>
      </c>
      <c r="M126" s="5">
        <f t="shared" si="6"/>
        <v>22.153846153846153</v>
      </c>
      <c r="N126" t="s">
        <v>10</v>
      </c>
      <c r="O126" t="str">
        <f t="shared" si="7"/>
        <v>Errand/Supplies</v>
      </c>
    </row>
    <row r="127" spans="1:15" x14ac:dyDescent="0.3">
      <c r="A127" s="1">
        <v>42675.49722222222</v>
      </c>
      <c r="B127" s="6">
        <f>INT(A127)</f>
        <v>42675</v>
      </c>
      <c r="C127" s="7">
        <f>(A127-B127)</f>
        <v>0.49722222222044365</v>
      </c>
      <c r="D127" s="1">
        <v>42675.502083333333</v>
      </c>
      <c r="E127" s="6">
        <f>INT(D127)</f>
        <v>42675</v>
      </c>
      <c r="F127" s="8">
        <f>D127-E127</f>
        <v>0.50208333333284827</v>
      </c>
      <c r="G127" t="s">
        <v>7</v>
      </c>
      <c r="H127" s="7">
        <f t="shared" si="4"/>
        <v>4.8611111124046147E-3</v>
      </c>
      <c r="I127" s="13">
        <f t="shared" si="5"/>
        <v>0.11666666666666667</v>
      </c>
      <c r="J127" t="s">
        <v>25</v>
      </c>
      <c r="K127" t="s">
        <v>21</v>
      </c>
      <c r="L127">
        <v>1.6</v>
      </c>
      <c r="M127" s="5">
        <f t="shared" si="6"/>
        <v>13.714285714285715</v>
      </c>
      <c r="N127" t="s">
        <v>10</v>
      </c>
      <c r="O127" t="str">
        <f t="shared" si="7"/>
        <v>Errand/Supplies</v>
      </c>
    </row>
    <row r="128" spans="1:15" x14ac:dyDescent="0.3">
      <c r="A128" s="1">
        <v>42705.612500000003</v>
      </c>
      <c r="B128" s="6">
        <f>INT(A128)</f>
        <v>42705</v>
      </c>
      <c r="C128" s="7">
        <f>(A128-B128)</f>
        <v>0.61250000000291038</v>
      </c>
      <c r="D128" s="1">
        <v>42705.62222222222</v>
      </c>
      <c r="E128" s="6">
        <f>INT(D128)</f>
        <v>42705</v>
      </c>
      <c r="F128" s="8">
        <f>D128-E128</f>
        <v>0.62222222222044365</v>
      </c>
      <c r="G128" t="s">
        <v>7</v>
      </c>
      <c r="H128" s="7">
        <f t="shared" si="4"/>
        <v>9.7222222175332718E-3</v>
      </c>
      <c r="I128" s="13">
        <f t="shared" si="5"/>
        <v>0.23333333333333334</v>
      </c>
      <c r="J128" t="s">
        <v>28</v>
      </c>
      <c r="K128" t="s">
        <v>27</v>
      </c>
      <c r="L128">
        <v>1.8</v>
      </c>
      <c r="M128" s="5">
        <f t="shared" si="6"/>
        <v>7.7142857142857144</v>
      </c>
      <c r="N128" t="s">
        <v>10</v>
      </c>
      <c r="O128" t="str">
        <f t="shared" si="7"/>
        <v>Errand/Supplies</v>
      </c>
    </row>
    <row r="129" spans="1:15" x14ac:dyDescent="0.3">
      <c r="A129" s="1">
        <v>42705.654166666667</v>
      </c>
      <c r="B129" s="6">
        <f>INT(A129)</f>
        <v>42705</v>
      </c>
      <c r="C129" s="7">
        <f>(A129-B129)</f>
        <v>0.65416666666715173</v>
      </c>
      <c r="D129" s="1">
        <v>42705.662499999999</v>
      </c>
      <c r="E129" s="6">
        <f>INT(D129)</f>
        <v>42705</v>
      </c>
      <c r="F129" s="8">
        <f>D129-E129</f>
        <v>0.66249999999854481</v>
      </c>
      <c r="G129" t="s">
        <v>7</v>
      </c>
      <c r="H129" s="7">
        <f t="shared" si="4"/>
        <v>8.333333331393078E-3</v>
      </c>
      <c r="I129" s="13">
        <f t="shared" si="5"/>
        <v>0.2</v>
      </c>
      <c r="J129" t="s">
        <v>29</v>
      </c>
      <c r="K129" t="s">
        <v>21</v>
      </c>
      <c r="L129">
        <v>2</v>
      </c>
      <c r="M129" s="5">
        <f t="shared" si="6"/>
        <v>10</v>
      </c>
      <c r="N129" t="s">
        <v>10</v>
      </c>
      <c r="O129" t="str">
        <f t="shared" si="7"/>
        <v>Errand/Supplies</v>
      </c>
    </row>
    <row r="130" spans="1:15" x14ac:dyDescent="0.3">
      <c r="B130" s="2">
        <v>42383</v>
      </c>
      <c r="C130" s="7">
        <v>0.90208333333333324</v>
      </c>
      <c r="E130" s="2">
        <v>42383</v>
      </c>
      <c r="F130" s="8">
        <v>0.90625</v>
      </c>
      <c r="G130" t="s">
        <v>7</v>
      </c>
      <c r="H130" s="7">
        <f t="shared" ref="H130:H193" si="16">IF(F130&gt;C130,F130-C130,F130-C130+1)</f>
        <v>4.1666666666667629E-3</v>
      </c>
      <c r="I130" s="13">
        <f t="shared" ref="I130:I193" si="17">(HOUR(H130)*60+MINUTE(H130))/60</f>
        <v>0.1</v>
      </c>
      <c r="J130" t="s">
        <v>34</v>
      </c>
      <c r="K130" t="s">
        <v>35</v>
      </c>
      <c r="L130">
        <v>3.9</v>
      </c>
      <c r="M130" s="5">
        <f t="shared" ref="M130:M193" si="18">L130/I130</f>
        <v>39</v>
      </c>
      <c r="N130" t="s">
        <v>10</v>
      </c>
      <c r="O130" t="str">
        <f t="shared" ref="O130:O193" si="19">IF(ISBLANK($N130),"No Purpose",$N130)</f>
        <v>Errand/Supplies</v>
      </c>
    </row>
    <row r="131" spans="1:15" x14ac:dyDescent="0.3">
      <c r="B131" s="2">
        <v>42384</v>
      </c>
      <c r="C131" s="7">
        <v>2.8472222222222222E-2</v>
      </c>
      <c r="E131" s="2">
        <v>42384</v>
      </c>
      <c r="F131" s="8">
        <v>4.2361111111111106E-2</v>
      </c>
      <c r="G131" t="s">
        <v>7</v>
      </c>
      <c r="H131" s="7">
        <f t="shared" si="16"/>
        <v>1.3888888888888885E-2</v>
      </c>
      <c r="I131" s="13">
        <f t="shared" si="17"/>
        <v>0.33333333333333331</v>
      </c>
      <c r="J131" t="s">
        <v>16</v>
      </c>
      <c r="K131" t="s">
        <v>15</v>
      </c>
      <c r="L131">
        <v>8</v>
      </c>
      <c r="M131" s="5">
        <f t="shared" si="18"/>
        <v>24</v>
      </c>
      <c r="N131" t="s">
        <v>10</v>
      </c>
      <c r="O131" t="str">
        <f t="shared" si="19"/>
        <v>Errand/Supplies</v>
      </c>
    </row>
    <row r="132" spans="1:15" x14ac:dyDescent="0.3">
      <c r="B132" s="2">
        <v>42390</v>
      </c>
      <c r="C132" s="7">
        <v>0.60069444444444442</v>
      </c>
      <c r="E132" s="2">
        <v>42390</v>
      </c>
      <c r="F132" s="8">
        <v>0.60347222222222219</v>
      </c>
      <c r="G132" t="s">
        <v>7</v>
      </c>
      <c r="H132" s="7">
        <f t="shared" si="16"/>
        <v>2.7777777777777679E-3</v>
      </c>
      <c r="I132" s="13">
        <f t="shared" si="17"/>
        <v>6.6666666666666666E-2</v>
      </c>
      <c r="J132" t="s">
        <v>15</v>
      </c>
      <c r="K132" t="s">
        <v>15</v>
      </c>
      <c r="L132">
        <v>1.6</v>
      </c>
      <c r="M132" s="5">
        <f t="shared" si="18"/>
        <v>24</v>
      </c>
      <c r="N132" t="s">
        <v>10</v>
      </c>
      <c r="O132" t="str">
        <f t="shared" si="19"/>
        <v>Errand/Supplies</v>
      </c>
    </row>
    <row r="133" spans="1:15" x14ac:dyDescent="0.3">
      <c r="B133" s="2">
        <v>42395</v>
      </c>
      <c r="C133" s="7">
        <v>0.5229166666666667</v>
      </c>
      <c r="E133" s="2">
        <v>42395</v>
      </c>
      <c r="F133" s="8">
        <v>0.52847222222222223</v>
      </c>
      <c r="G133" t="s">
        <v>7</v>
      </c>
      <c r="H133" s="7">
        <f t="shared" si="16"/>
        <v>5.5555555555555358E-3</v>
      </c>
      <c r="I133" s="13">
        <f t="shared" si="17"/>
        <v>0.13333333333333333</v>
      </c>
      <c r="J133" t="s">
        <v>43</v>
      </c>
      <c r="K133" t="s">
        <v>38</v>
      </c>
      <c r="L133">
        <v>2.2999999999999998</v>
      </c>
      <c r="M133" s="5">
        <f t="shared" si="18"/>
        <v>17.25</v>
      </c>
      <c r="N133" t="s">
        <v>10</v>
      </c>
      <c r="O133" t="str">
        <f t="shared" si="19"/>
        <v>Errand/Supplies</v>
      </c>
    </row>
    <row r="134" spans="1:15" x14ac:dyDescent="0.3">
      <c r="B134" s="2">
        <v>42395</v>
      </c>
      <c r="C134" s="7">
        <v>0.68333333333333324</v>
      </c>
      <c r="E134" s="2">
        <v>42395</v>
      </c>
      <c r="F134" s="8">
        <v>0.68888888888888899</v>
      </c>
      <c r="G134" t="s">
        <v>7</v>
      </c>
      <c r="H134" s="7">
        <f t="shared" si="16"/>
        <v>5.5555555555557579E-3</v>
      </c>
      <c r="I134" s="13">
        <f t="shared" si="17"/>
        <v>0.13333333333333333</v>
      </c>
      <c r="J134" t="s">
        <v>38</v>
      </c>
      <c r="K134" t="s">
        <v>44</v>
      </c>
      <c r="L134">
        <v>1.9</v>
      </c>
      <c r="M134" s="5">
        <f t="shared" si="18"/>
        <v>14.25</v>
      </c>
      <c r="N134" t="s">
        <v>10</v>
      </c>
      <c r="O134" t="str">
        <f t="shared" si="19"/>
        <v>Errand/Supplies</v>
      </c>
    </row>
    <row r="135" spans="1:15" x14ac:dyDescent="0.3">
      <c r="B135" s="2">
        <v>42395</v>
      </c>
      <c r="C135" s="7">
        <v>0.72013888888888899</v>
      </c>
      <c r="E135" s="2">
        <v>42395</v>
      </c>
      <c r="F135" s="8">
        <v>0.72361111111111109</v>
      </c>
      <c r="G135" t="s">
        <v>7</v>
      </c>
      <c r="H135" s="7">
        <f t="shared" si="16"/>
        <v>3.4722222222220989E-3</v>
      </c>
      <c r="I135" s="13">
        <f t="shared" si="17"/>
        <v>8.3333333333333329E-2</v>
      </c>
      <c r="J135" t="s">
        <v>15</v>
      </c>
      <c r="K135" t="s">
        <v>15</v>
      </c>
      <c r="L135">
        <v>1.4</v>
      </c>
      <c r="M135" s="5">
        <f t="shared" si="18"/>
        <v>16.8</v>
      </c>
      <c r="N135" t="s">
        <v>10</v>
      </c>
      <c r="O135" t="str">
        <f t="shared" si="19"/>
        <v>Errand/Supplies</v>
      </c>
    </row>
    <row r="136" spans="1:15" x14ac:dyDescent="0.3">
      <c r="B136" s="2">
        <v>42395</v>
      </c>
      <c r="C136" s="7">
        <v>0.7270833333333333</v>
      </c>
      <c r="E136" s="2">
        <v>42395</v>
      </c>
      <c r="F136" s="8">
        <v>0.7284722222222223</v>
      </c>
      <c r="G136" t="s">
        <v>7</v>
      </c>
      <c r="H136" s="7">
        <f t="shared" si="16"/>
        <v>1.388888888888995E-3</v>
      </c>
      <c r="I136" s="13">
        <f t="shared" si="17"/>
        <v>3.3333333333333333E-2</v>
      </c>
      <c r="J136" t="s">
        <v>15</v>
      </c>
      <c r="K136" t="s">
        <v>15</v>
      </c>
      <c r="L136">
        <v>0.5</v>
      </c>
      <c r="M136" s="5">
        <f t="shared" si="18"/>
        <v>15</v>
      </c>
      <c r="N136" t="s">
        <v>10</v>
      </c>
      <c r="O136" t="str">
        <f t="shared" si="19"/>
        <v>Errand/Supplies</v>
      </c>
    </row>
    <row r="137" spans="1:15" x14ac:dyDescent="0.3">
      <c r="B137" s="2">
        <v>42398</v>
      </c>
      <c r="C137" s="7">
        <v>0.7715277777777777</v>
      </c>
      <c r="E137" s="2">
        <v>42398</v>
      </c>
      <c r="F137" s="8">
        <v>0.78611111111111109</v>
      </c>
      <c r="G137" t="s">
        <v>7</v>
      </c>
      <c r="H137" s="7">
        <f t="shared" si="16"/>
        <v>1.4583333333333393E-2</v>
      </c>
      <c r="I137" s="13">
        <f t="shared" si="17"/>
        <v>0.35</v>
      </c>
      <c r="J137" t="s">
        <v>15</v>
      </c>
      <c r="K137" t="s">
        <v>48</v>
      </c>
      <c r="L137">
        <v>5.8</v>
      </c>
      <c r="M137" s="5">
        <f t="shared" si="18"/>
        <v>16.571428571428573</v>
      </c>
      <c r="N137" t="s">
        <v>10</v>
      </c>
      <c r="O137" t="str">
        <f t="shared" si="19"/>
        <v>Errand/Supplies</v>
      </c>
    </row>
    <row r="138" spans="1:15" x14ac:dyDescent="0.3">
      <c r="B138" s="2">
        <v>42399</v>
      </c>
      <c r="C138" s="7">
        <v>0.68125000000000002</v>
      </c>
      <c r="E138" s="2">
        <v>42399</v>
      </c>
      <c r="F138" s="8">
        <v>0.68958333333333333</v>
      </c>
      <c r="G138" t="s">
        <v>7</v>
      </c>
      <c r="H138" s="7">
        <f t="shared" si="16"/>
        <v>8.3333333333333037E-3</v>
      </c>
      <c r="I138" s="13">
        <f t="shared" si="17"/>
        <v>0.2</v>
      </c>
      <c r="J138" t="s">
        <v>15</v>
      </c>
      <c r="K138" t="s">
        <v>48</v>
      </c>
      <c r="L138">
        <v>5.7</v>
      </c>
      <c r="M138" s="5">
        <f t="shared" si="18"/>
        <v>28.5</v>
      </c>
      <c r="N138" t="s">
        <v>10</v>
      </c>
      <c r="O138" t="str">
        <f t="shared" si="19"/>
        <v>Errand/Supplies</v>
      </c>
    </row>
    <row r="139" spans="1:15" x14ac:dyDescent="0.3">
      <c r="A139" s="1">
        <v>42402.57708333333</v>
      </c>
      <c r="B139" s="6">
        <f>INT(A139:A177)</f>
        <v>42402</v>
      </c>
      <c r="C139" s="7">
        <f>(A139-B139)</f>
        <v>0.57708333332993789</v>
      </c>
      <c r="D139" s="1">
        <v>42402.587500000001</v>
      </c>
      <c r="E139" s="6">
        <f>INT(D139:D177)</f>
        <v>42402</v>
      </c>
      <c r="F139" s="8">
        <f>(D139-E139)</f>
        <v>0.58750000000145519</v>
      </c>
      <c r="G139" t="s">
        <v>7</v>
      </c>
      <c r="H139" s="7">
        <f t="shared" si="16"/>
        <v>1.0416666671517305E-2</v>
      </c>
      <c r="I139" s="13">
        <f t="shared" si="17"/>
        <v>0.25</v>
      </c>
      <c r="J139" t="s">
        <v>15</v>
      </c>
      <c r="K139" t="s">
        <v>15</v>
      </c>
      <c r="L139">
        <v>6</v>
      </c>
      <c r="M139" s="5">
        <f t="shared" si="18"/>
        <v>24</v>
      </c>
      <c r="N139" t="s">
        <v>10</v>
      </c>
      <c r="O139" t="str">
        <f t="shared" si="19"/>
        <v>Errand/Supplies</v>
      </c>
    </row>
    <row r="140" spans="1:15" x14ac:dyDescent="0.3">
      <c r="A140" s="1">
        <v>42402.609722222223</v>
      </c>
      <c r="B140" s="6">
        <f>INT(A140:A178)</f>
        <v>42402</v>
      </c>
      <c r="C140" s="7">
        <f>(A140-B140)</f>
        <v>0.60972222222335404</v>
      </c>
      <c r="D140" s="1">
        <v>42402.612500000003</v>
      </c>
      <c r="E140" s="6">
        <f>INT(D140:D178)</f>
        <v>42402</v>
      </c>
      <c r="F140" s="8">
        <f>(D140-E140)</f>
        <v>0.61250000000291038</v>
      </c>
      <c r="G140" t="s">
        <v>7</v>
      </c>
      <c r="H140" s="7">
        <f t="shared" si="16"/>
        <v>2.7777777795563452E-3</v>
      </c>
      <c r="I140" s="13">
        <f t="shared" si="17"/>
        <v>6.6666666666666666E-2</v>
      </c>
      <c r="J140" t="s">
        <v>15</v>
      </c>
      <c r="K140" t="s">
        <v>15</v>
      </c>
      <c r="L140">
        <v>1.6</v>
      </c>
      <c r="M140" s="5">
        <f t="shared" si="18"/>
        <v>24</v>
      </c>
      <c r="N140" t="s">
        <v>10</v>
      </c>
      <c r="O140" t="str">
        <f t="shared" si="19"/>
        <v>Errand/Supplies</v>
      </c>
    </row>
    <row r="141" spans="1:15" x14ac:dyDescent="0.3">
      <c r="A141" s="1">
        <v>42462.361111111109</v>
      </c>
      <c r="B141" s="6">
        <f>INT(A141:A179)</f>
        <v>42462</v>
      </c>
      <c r="C141" s="7">
        <f>(A141-B141)</f>
        <v>0.36111111110949423</v>
      </c>
      <c r="D141" s="1">
        <v>42462.375694444447</v>
      </c>
      <c r="E141" s="6">
        <f>INT(D141:D179)</f>
        <v>42462</v>
      </c>
      <c r="F141" s="8">
        <f>(D141-E141)</f>
        <v>0.37569444444670808</v>
      </c>
      <c r="G141" t="s">
        <v>7</v>
      </c>
      <c r="H141" s="7">
        <f t="shared" si="16"/>
        <v>1.4583333337213844E-2</v>
      </c>
      <c r="I141" s="13">
        <f t="shared" si="17"/>
        <v>0.35</v>
      </c>
      <c r="J141" t="s">
        <v>15</v>
      </c>
      <c r="K141" t="s">
        <v>16</v>
      </c>
      <c r="L141">
        <v>5.2</v>
      </c>
      <c r="M141" s="5">
        <f t="shared" si="18"/>
        <v>14.857142857142859</v>
      </c>
      <c r="N141" t="s">
        <v>10</v>
      </c>
      <c r="O141" t="str">
        <f t="shared" si="19"/>
        <v>Errand/Supplies</v>
      </c>
    </row>
    <row r="142" spans="1:15" x14ac:dyDescent="0.3">
      <c r="A142" s="1">
        <v>42523.789583333331</v>
      </c>
      <c r="B142" s="6">
        <f>INT(A142:A179)</f>
        <v>42523</v>
      </c>
      <c r="C142" s="7">
        <f>(A142-B142)</f>
        <v>0.78958333333139308</v>
      </c>
      <c r="D142" s="1">
        <v>42523.806250000001</v>
      </c>
      <c r="E142" s="6">
        <f>INT(D142:D179)</f>
        <v>42523</v>
      </c>
      <c r="F142" s="8">
        <f>(D142-E142)</f>
        <v>0.80625000000145519</v>
      </c>
      <c r="G142" t="s">
        <v>7</v>
      </c>
      <c r="H142" s="7">
        <f t="shared" si="16"/>
        <v>1.6666666670062114E-2</v>
      </c>
      <c r="I142" s="13">
        <f t="shared" si="17"/>
        <v>0.4</v>
      </c>
      <c r="J142" t="s">
        <v>40</v>
      </c>
      <c r="K142" t="s">
        <v>15</v>
      </c>
      <c r="L142">
        <v>9</v>
      </c>
      <c r="M142" s="5">
        <f t="shared" si="18"/>
        <v>22.5</v>
      </c>
      <c r="N142" t="s">
        <v>10</v>
      </c>
      <c r="O142" t="str">
        <f t="shared" si="19"/>
        <v>Errand/Supplies</v>
      </c>
    </row>
    <row r="143" spans="1:15" x14ac:dyDescent="0.3">
      <c r="A143" s="1">
        <v>42553.700694444444</v>
      </c>
      <c r="B143" s="6">
        <f>INT(A143:A180)</f>
        <v>42553</v>
      </c>
      <c r="C143" s="7">
        <f>(A143-B143)</f>
        <v>0.70069444444379769</v>
      </c>
      <c r="D143" s="1">
        <v>42553.709027777775</v>
      </c>
      <c r="E143" s="6">
        <f>INT(D143:D180)</f>
        <v>42553</v>
      </c>
      <c r="F143" s="8">
        <f>(D143-E143)</f>
        <v>0.70902777777519077</v>
      </c>
      <c r="G143" t="s">
        <v>7</v>
      </c>
      <c r="H143" s="7">
        <f t="shared" si="16"/>
        <v>8.333333331393078E-3</v>
      </c>
      <c r="I143" s="13">
        <f t="shared" si="17"/>
        <v>0.2</v>
      </c>
      <c r="J143" t="s">
        <v>15</v>
      </c>
      <c r="K143" t="s">
        <v>48</v>
      </c>
      <c r="L143">
        <v>5.6</v>
      </c>
      <c r="M143" s="5">
        <f t="shared" si="18"/>
        <v>27.999999999999996</v>
      </c>
      <c r="N143" t="s">
        <v>10</v>
      </c>
      <c r="O143" t="str">
        <f t="shared" si="19"/>
        <v>Errand/Supplies</v>
      </c>
    </row>
    <row r="144" spans="1:15" x14ac:dyDescent="0.3">
      <c r="B144" s="2">
        <v>42416</v>
      </c>
      <c r="C144" s="7">
        <v>0.73611111111111116</v>
      </c>
      <c r="D144" t="s">
        <v>81</v>
      </c>
      <c r="E144" s="2">
        <v>42416</v>
      </c>
      <c r="F144" s="8">
        <v>0.73888888888888893</v>
      </c>
      <c r="G144" t="s">
        <v>7</v>
      </c>
      <c r="H144" s="7">
        <f t="shared" si="16"/>
        <v>2.7777777777777679E-3</v>
      </c>
      <c r="I144" s="13">
        <f t="shared" si="17"/>
        <v>6.6666666666666666E-2</v>
      </c>
      <c r="J144" t="s">
        <v>80</v>
      </c>
      <c r="K144" t="s">
        <v>72</v>
      </c>
      <c r="L144">
        <v>3.6</v>
      </c>
      <c r="M144" s="5">
        <f t="shared" si="18"/>
        <v>54</v>
      </c>
      <c r="N144" t="s">
        <v>10</v>
      </c>
      <c r="O144" t="str">
        <f t="shared" si="19"/>
        <v>Errand/Supplies</v>
      </c>
    </row>
    <row r="145" spans="1:15" x14ac:dyDescent="0.3">
      <c r="B145" s="2">
        <v>42417</v>
      </c>
      <c r="C145" s="7">
        <v>0.69305555555555554</v>
      </c>
      <c r="D145" t="s">
        <v>85</v>
      </c>
      <c r="E145" s="2">
        <v>42417</v>
      </c>
      <c r="F145" s="8">
        <v>0.69652777777777775</v>
      </c>
      <c r="G145" t="s">
        <v>7</v>
      </c>
      <c r="H145" s="7">
        <f t="shared" si="16"/>
        <v>3.4722222222222099E-3</v>
      </c>
      <c r="I145" s="13">
        <f t="shared" si="17"/>
        <v>8.3333333333333329E-2</v>
      </c>
      <c r="J145" t="s">
        <v>71</v>
      </c>
      <c r="K145" t="s">
        <v>71</v>
      </c>
      <c r="L145">
        <v>0.5</v>
      </c>
      <c r="M145" s="5">
        <f t="shared" si="18"/>
        <v>6</v>
      </c>
      <c r="N145" t="s">
        <v>10</v>
      </c>
      <c r="O145" t="str">
        <f t="shared" si="19"/>
        <v>Errand/Supplies</v>
      </c>
    </row>
    <row r="146" spans="1:15" x14ac:dyDescent="0.3">
      <c r="B146" s="2">
        <v>42420</v>
      </c>
      <c r="C146" s="7">
        <v>0.75</v>
      </c>
      <c r="D146" t="s">
        <v>109</v>
      </c>
      <c r="E146" s="2">
        <v>42420</v>
      </c>
      <c r="F146" s="8">
        <v>0.75208333333333333</v>
      </c>
      <c r="G146" t="s">
        <v>7</v>
      </c>
      <c r="H146" s="7">
        <f t="shared" si="16"/>
        <v>2.0833333333333259E-3</v>
      </c>
      <c r="I146" s="13">
        <f t="shared" si="17"/>
        <v>0.05</v>
      </c>
      <c r="J146" t="s">
        <v>72</v>
      </c>
      <c r="K146" t="s">
        <v>72</v>
      </c>
      <c r="L146">
        <v>3.2</v>
      </c>
      <c r="M146" s="5">
        <f t="shared" si="18"/>
        <v>64</v>
      </c>
      <c r="N146" t="s">
        <v>10</v>
      </c>
      <c r="O146" t="str">
        <f t="shared" si="19"/>
        <v>Errand/Supplies</v>
      </c>
    </row>
    <row r="147" spans="1:15" x14ac:dyDescent="0.3">
      <c r="B147" s="2">
        <v>42420</v>
      </c>
      <c r="C147" s="7">
        <v>0.81111111111111101</v>
      </c>
      <c r="D147" t="s">
        <v>110</v>
      </c>
      <c r="E147" s="2">
        <v>42420</v>
      </c>
      <c r="F147" s="8">
        <v>0.8256944444444444</v>
      </c>
      <c r="G147" t="s">
        <v>7</v>
      </c>
      <c r="H147" s="7">
        <f t="shared" si="16"/>
        <v>1.4583333333333393E-2</v>
      </c>
      <c r="I147" s="13">
        <f t="shared" si="17"/>
        <v>0.35</v>
      </c>
      <c r="J147" t="s">
        <v>72</v>
      </c>
      <c r="K147" t="s">
        <v>72</v>
      </c>
      <c r="L147">
        <v>7.7</v>
      </c>
      <c r="M147" s="5">
        <f t="shared" si="18"/>
        <v>22.000000000000004</v>
      </c>
      <c r="N147" t="s">
        <v>10</v>
      </c>
      <c r="O147" t="str">
        <f t="shared" si="19"/>
        <v>Errand/Supplies</v>
      </c>
    </row>
    <row r="148" spans="1:15" x14ac:dyDescent="0.3">
      <c r="B148" s="2">
        <v>42421</v>
      </c>
      <c r="C148" s="7">
        <v>0.48541666666666666</v>
      </c>
      <c r="D148" t="s">
        <v>112</v>
      </c>
      <c r="E148" s="2">
        <v>42421</v>
      </c>
      <c r="F148" s="8">
        <v>0.48819444444444443</v>
      </c>
      <c r="G148" t="s">
        <v>7</v>
      </c>
      <c r="H148" s="7">
        <f t="shared" si="16"/>
        <v>2.7777777777777679E-3</v>
      </c>
      <c r="I148" s="13">
        <f t="shared" si="17"/>
        <v>6.6666666666666666E-2</v>
      </c>
      <c r="J148" t="s">
        <v>72</v>
      </c>
      <c r="K148" t="s">
        <v>88</v>
      </c>
      <c r="L148">
        <v>2.4</v>
      </c>
      <c r="M148" s="5">
        <f t="shared" si="18"/>
        <v>36</v>
      </c>
      <c r="N148" t="s">
        <v>10</v>
      </c>
      <c r="O148" t="str">
        <f t="shared" si="19"/>
        <v>Errand/Supplies</v>
      </c>
    </row>
    <row r="149" spans="1:15" x14ac:dyDescent="0.3">
      <c r="B149" s="2">
        <v>42421</v>
      </c>
      <c r="C149" s="7">
        <v>0.4909722222222222</v>
      </c>
      <c r="D149" t="s">
        <v>113</v>
      </c>
      <c r="E149" s="2">
        <v>42421</v>
      </c>
      <c r="F149" s="8">
        <v>0.50069444444444444</v>
      </c>
      <c r="G149" t="s">
        <v>7</v>
      </c>
      <c r="H149" s="7">
        <f t="shared" si="16"/>
        <v>9.7222222222222432E-3</v>
      </c>
      <c r="I149" s="13">
        <f t="shared" si="17"/>
        <v>0.23333333333333334</v>
      </c>
      <c r="J149" t="s">
        <v>88</v>
      </c>
      <c r="K149" t="s">
        <v>88</v>
      </c>
      <c r="L149">
        <v>4.5999999999999996</v>
      </c>
      <c r="M149" s="5">
        <f t="shared" si="18"/>
        <v>19.714285714285712</v>
      </c>
      <c r="N149" t="s">
        <v>10</v>
      </c>
      <c r="O149" t="str">
        <f t="shared" si="19"/>
        <v>Errand/Supplies</v>
      </c>
    </row>
    <row r="150" spans="1:15" x14ac:dyDescent="0.3">
      <c r="B150" s="2">
        <v>42424</v>
      </c>
      <c r="C150" s="7">
        <v>0.6381944444444444</v>
      </c>
      <c r="D150" t="s">
        <v>125</v>
      </c>
      <c r="E150" s="2">
        <v>42424</v>
      </c>
      <c r="F150" s="8">
        <v>0.64236111111111105</v>
      </c>
      <c r="G150" t="s">
        <v>7</v>
      </c>
      <c r="H150" s="7">
        <f t="shared" si="16"/>
        <v>4.1666666666666519E-3</v>
      </c>
      <c r="I150" s="13">
        <f t="shared" si="17"/>
        <v>0.1</v>
      </c>
      <c r="J150" t="s">
        <v>57</v>
      </c>
      <c r="K150" t="s">
        <v>38</v>
      </c>
      <c r="L150">
        <v>1.7</v>
      </c>
      <c r="M150" s="5">
        <f t="shared" si="18"/>
        <v>17</v>
      </c>
      <c r="N150" t="s">
        <v>10</v>
      </c>
      <c r="O150" t="str">
        <f t="shared" si="19"/>
        <v>Errand/Supplies</v>
      </c>
    </row>
    <row r="151" spans="1:15" x14ac:dyDescent="0.3">
      <c r="B151" s="2">
        <v>42425</v>
      </c>
      <c r="C151" s="7">
        <v>0.68541666666666667</v>
      </c>
      <c r="D151" t="s">
        <v>126</v>
      </c>
      <c r="E151" s="2">
        <v>42425</v>
      </c>
      <c r="F151" s="8">
        <v>0.69097222222222221</v>
      </c>
      <c r="G151" t="s">
        <v>7</v>
      </c>
      <c r="H151" s="7">
        <f t="shared" si="16"/>
        <v>5.5555555555555358E-3</v>
      </c>
      <c r="I151" s="13">
        <f t="shared" si="17"/>
        <v>0.13333333333333333</v>
      </c>
      <c r="J151" t="s">
        <v>38</v>
      </c>
      <c r="K151" t="s">
        <v>127</v>
      </c>
      <c r="L151">
        <v>3.1</v>
      </c>
      <c r="M151" s="5">
        <f t="shared" si="18"/>
        <v>23.25</v>
      </c>
      <c r="N151" t="s">
        <v>10</v>
      </c>
      <c r="O151" t="str">
        <f t="shared" si="19"/>
        <v>Errand/Supplies</v>
      </c>
    </row>
    <row r="152" spans="1:15" x14ac:dyDescent="0.3">
      <c r="B152" s="2">
        <v>42425</v>
      </c>
      <c r="C152" s="7">
        <v>0.69930555555555562</v>
      </c>
      <c r="D152" t="s">
        <v>128</v>
      </c>
      <c r="E152" s="2">
        <v>42425</v>
      </c>
      <c r="F152" s="8">
        <v>0.70972222222222225</v>
      </c>
      <c r="G152" t="s">
        <v>7</v>
      </c>
      <c r="H152" s="7">
        <f t="shared" si="16"/>
        <v>1.041666666666663E-2</v>
      </c>
      <c r="I152" s="13">
        <f t="shared" si="17"/>
        <v>0.25</v>
      </c>
      <c r="J152" t="s">
        <v>127</v>
      </c>
      <c r="K152" t="s">
        <v>38</v>
      </c>
      <c r="L152">
        <v>3.2</v>
      </c>
      <c r="M152" s="5">
        <f t="shared" si="18"/>
        <v>12.8</v>
      </c>
      <c r="N152" t="s">
        <v>10</v>
      </c>
      <c r="O152" t="str">
        <f t="shared" si="19"/>
        <v>Errand/Supplies</v>
      </c>
    </row>
    <row r="153" spans="1:15" x14ac:dyDescent="0.3">
      <c r="A153" s="1">
        <v>42432.461111111108</v>
      </c>
      <c r="B153" s="6">
        <f>INT(A153:A192)</f>
        <v>42432</v>
      </c>
      <c r="C153" s="7">
        <f>(A153-B153)</f>
        <v>0.46111111110803904</v>
      </c>
      <c r="D153" s="1">
        <v>42432.465277777781</v>
      </c>
      <c r="E153" s="6">
        <f>INT(D153)</f>
        <v>42432</v>
      </c>
      <c r="F153" s="8">
        <f>D153-E153</f>
        <v>0.46527777778101154</v>
      </c>
      <c r="G153" t="s">
        <v>7</v>
      </c>
      <c r="H153" s="7">
        <f t="shared" si="16"/>
        <v>4.1666666729724966E-3</v>
      </c>
      <c r="I153" s="13">
        <f t="shared" si="17"/>
        <v>0.1</v>
      </c>
      <c r="J153" t="s">
        <v>44</v>
      </c>
      <c r="K153" t="s">
        <v>38</v>
      </c>
      <c r="L153">
        <v>2.2999999999999998</v>
      </c>
      <c r="M153" s="5">
        <f t="shared" si="18"/>
        <v>22.999999999999996</v>
      </c>
      <c r="N153" t="s">
        <v>10</v>
      </c>
      <c r="O153" t="str">
        <f t="shared" si="19"/>
        <v>Errand/Supplies</v>
      </c>
    </row>
    <row r="154" spans="1:15" x14ac:dyDescent="0.3">
      <c r="A154" s="1">
        <v>42463.677777777775</v>
      </c>
      <c r="B154" s="6">
        <f>INT(A154:A193)</f>
        <v>42463</v>
      </c>
      <c r="C154" s="7">
        <f>(A154-B154)</f>
        <v>0.67777777777519077</v>
      </c>
      <c r="D154" s="1">
        <v>42463.681944444441</v>
      </c>
      <c r="E154" s="6">
        <f>INT(D154)</f>
        <v>42463</v>
      </c>
      <c r="F154" s="8">
        <f>D154-E154</f>
        <v>0.68194444444088731</v>
      </c>
      <c r="G154" t="s">
        <v>7</v>
      </c>
      <c r="H154" s="7">
        <f t="shared" si="16"/>
        <v>4.166666665696539E-3</v>
      </c>
      <c r="I154" s="13">
        <f t="shared" si="17"/>
        <v>0.1</v>
      </c>
      <c r="J154" t="s">
        <v>41</v>
      </c>
      <c r="K154" t="s">
        <v>147</v>
      </c>
      <c r="L154">
        <v>0.8</v>
      </c>
      <c r="M154" s="5">
        <f t="shared" si="18"/>
        <v>8</v>
      </c>
      <c r="N154" t="s">
        <v>10</v>
      </c>
      <c r="O154" t="str">
        <f t="shared" si="19"/>
        <v>Errand/Supplies</v>
      </c>
    </row>
    <row r="155" spans="1:15" x14ac:dyDescent="0.3">
      <c r="A155" s="1">
        <v>42554.381944444445</v>
      </c>
      <c r="B155" s="6">
        <f>INT(A155:A194)</f>
        <v>42554</v>
      </c>
      <c r="C155" s="7">
        <f>(A155-B155)</f>
        <v>0.38194444444525288</v>
      </c>
      <c r="D155" s="1">
        <v>42554.388888888891</v>
      </c>
      <c r="E155" s="6">
        <f>INT(D155)</f>
        <v>42554</v>
      </c>
      <c r="F155" s="8">
        <f>D155-E155</f>
        <v>0.38888888889050577</v>
      </c>
      <c r="G155" t="s">
        <v>7</v>
      </c>
      <c r="H155" s="7">
        <f t="shared" si="16"/>
        <v>6.9444444452528842E-3</v>
      </c>
      <c r="I155" s="13">
        <f t="shared" si="17"/>
        <v>0.16666666666666666</v>
      </c>
      <c r="J155" t="s">
        <v>38</v>
      </c>
      <c r="K155" t="s">
        <v>54</v>
      </c>
      <c r="L155">
        <v>2.8</v>
      </c>
      <c r="M155" s="5">
        <f t="shared" si="18"/>
        <v>16.8</v>
      </c>
      <c r="N155" t="s">
        <v>10</v>
      </c>
      <c r="O155" t="str">
        <f t="shared" si="19"/>
        <v>Errand/Supplies</v>
      </c>
    </row>
    <row r="156" spans="1:15" x14ac:dyDescent="0.3">
      <c r="A156" t="s">
        <v>172</v>
      </c>
      <c r="B156" s="2">
        <v>42443</v>
      </c>
      <c r="C156" s="7">
        <v>0.35694444444444445</v>
      </c>
      <c r="D156" t="s">
        <v>173</v>
      </c>
      <c r="E156" s="2">
        <v>42443</v>
      </c>
      <c r="F156" s="8">
        <v>0.36736111111111108</v>
      </c>
      <c r="G156" t="s">
        <v>7</v>
      </c>
      <c r="H156" s="7">
        <f t="shared" si="16"/>
        <v>1.041666666666663E-2</v>
      </c>
      <c r="I156" s="13">
        <f t="shared" si="17"/>
        <v>0.25</v>
      </c>
      <c r="J156" t="s">
        <v>153</v>
      </c>
      <c r="K156" t="s">
        <v>151</v>
      </c>
      <c r="L156">
        <v>2</v>
      </c>
      <c r="M156" s="5">
        <f t="shared" si="18"/>
        <v>8</v>
      </c>
      <c r="N156" t="s">
        <v>10</v>
      </c>
      <c r="O156" t="str">
        <f t="shared" si="19"/>
        <v>Errand/Supplies</v>
      </c>
    </row>
    <row r="157" spans="1:15" x14ac:dyDescent="0.3">
      <c r="A157" t="s">
        <v>210</v>
      </c>
      <c r="B157" s="2">
        <v>42447</v>
      </c>
      <c r="C157" s="7">
        <v>0.80763888888888891</v>
      </c>
      <c r="D157" t="s">
        <v>211</v>
      </c>
      <c r="E157" s="2">
        <v>42447</v>
      </c>
      <c r="F157" s="8">
        <v>0.81180555555555556</v>
      </c>
      <c r="G157" t="s">
        <v>7</v>
      </c>
      <c r="H157" s="7">
        <f t="shared" si="16"/>
        <v>4.1666666666666519E-3</v>
      </c>
      <c r="I157" s="13">
        <f t="shared" si="17"/>
        <v>0.1</v>
      </c>
      <c r="J157" t="s">
        <v>203</v>
      </c>
      <c r="K157" t="s">
        <v>203</v>
      </c>
      <c r="L157">
        <v>1</v>
      </c>
      <c r="M157" s="5">
        <f t="shared" si="18"/>
        <v>10</v>
      </c>
      <c r="N157" t="s">
        <v>10</v>
      </c>
      <c r="O157" t="str">
        <f t="shared" si="19"/>
        <v>Errand/Supplies</v>
      </c>
    </row>
    <row r="158" spans="1:15" x14ac:dyDescent="0.3">
      <c r="A158" t="s">
        <v>227</v>
      </c>
      <c r="B158" s="2">
        <v>42448</v>
      </c>
      <c r="C158" s="7">
        <v>0.73402777777777783</v>
      </c>
      <c r="D158" t="s">
        <v>228</v>
      </c>
      <c r="E158" s="2">
        <v>42448</v>
      </c>
      <c r="F158" s="8">
        <v>0.74097222222222225</v>
      </c>
      <c r="G158" t="s">
        <v>7</v>
      </c>
      <c r="H158" s="7">
        <f t="shared" si="16"/>
        <v>6.9444444444444198E-3</v>
      </c>
      <c r="I158" s="13">
        <f t="shared" si="17"/>
        <v>0.16666666666666666</v>
      </c>
      <c r="J158" t="s">
        <v>226</v>
      </c>
      <c r="K158" t="s">
        <v>226</v>
      </c>
      <c r="L158">
        <v>2.1</v>
      </c>
      <c r="M158" s="5">
        <f t="shared" si="18"/>
        <v>12.600000000000001</v>
      </c>
      <c r="N158" t="s">
        <v>10</v>
      </c>
      <c r="O158" t="str">
        <f t="shared" si="19"/>
        <v>Errand/Supplies</v>
      </c>
    </row>
    <row r="159" spans="1:15" x14ac:dyDescent="0.3">
      <c r="A159" t="s">
        <v>289</v>
      </c>
      <c r="B159" s="2">
        <v>42456</v>
      </c>
      <c r="C159" s="7">
        <v>2.1527777777777781E-2</v>
      </c>
      <c r="D159" t="s">
        <v>290</v>
      </c>
      <c r="E159" s="2">
        <v>42456</v>
      </c>
      <c r="F159" s="8">
        <v>2.7777777777777776E-2</v>
      </c>
      <c r="G159" t="s">
        <v>7</v>
      </c>
      <c r="H159" s="7">
        <f t="shared" si="16"/>
        <v>6.2499999999999951E-3</v>
      </c>
      <c r="I159" s="13">
        <f t="shared" si="17"/>
        <v>0.15</v>
      </c>
      <c r="J159" t="s">
        <v>288</v>
      </c>
      <c r="K159" t="s">
        <v>288</v>
      </c>
      <c r="L159">
        <v>2.1</v>
      </c>
      <c r="M159" s="5">
        <f t="shared" si="18"/>
        <v>14.000000000000002</v>
      </c>
      <c r="N159" t="s">
        <v>10</v>
      </c>
      <c r="O159" t="str">
        <f t="shared" si="19"/>
        <v>Errand/Supplies</v>
      </c>
    </row>
    <row r="160" spans="1:15" x14ac:dyDescent="0.3">
      <c r="A160" s="1">
        <v>42555.822916666664</v>
      </c>
      <c r="B160" s="6">
        <f>INT(A160:A199)</f>
        <v>42555</v>
      </c>
      <c r="C160" s="7">
        <f>(A160-B160)</f>
        <v>0.82291666666424135</v>
      </c>
      <c r="D160" s="1">
        <v>42555.833333333336</v>
      </c>
      <c r="E160" s="6">
        <f>INT(D160)</f>
        <v>42555</v>
      </c>
      <c r="F160" s="8">
        <f>D160-E160</f>
        <v>0.83333333333575865</v>
      </c>
      <c r="G160" t="s">
        <v>7</v>
      </c>
      <c r="H160" s="7">
        <f t="shared" si="16"/>
        <v>1.0416666671517305E-2</v>
      </c>
      <c r="I160" s="13">
        <f t="shared" si="17"/>
        <v>0.25</v>
      </c>
      <c r="J160" t="s">
        <v>16</v>
      </c>
      <c r="K160" t="s">
        <v>15</v>
      </c>
      <c r="L160">
        <v>6.1</v>
      </c>
      <c r="M160" s="5">
        <f t="shared" si="18"/>
        <v>24.4</v>
      </c>
      <c r="N160" t="s">
        <v>10</v>
      </c>
      <c r="O160" t="str">
        <f t="shared" si="19"/>
        <v>Errand/Supplies</v>
      </c>
    </row>
    <row r="161" spans="1:15" x14ac:dyDescent="0.3">
      <c r="A161" s="1">
        <v>42586.579861111109</v>
      </c>
      <c r="B161" s="6">
        <f>INT(A161:A200)</f>
        <v>42586</v>
      </c>
      <c r="C161" s="7">
        <f>(A161-B161)</f>
        <v>0.57986111110949423</v>
      </c>
      <c r="D161" s="1">
        <v>42586.585416666669</v>
      </c>
      <c r="E161" s="6">
        <f>INT(D161)</f>
        <v>42586</v>
      </c>
      <c r="F161" s="8">
        <f>D161-E161</f>
        <v>0.58541666666860692</v>
      </c>
      <c r="G161" t="s">
        <v>7</v>
      </c>
      <c r="H161" s="7">
        <f t="shared" si="16"/>
        <v>5.5555555591126904E-3</v>
      </c>
      <c r="I161" s="13">
        <f t="shared" si="17"/>
        <v>0.13333333333333333</v>
      </c>
      <c r="J161" t="s">
        <v>44</v>
      </c>
      <c r="K161" t="s">
        <v>38</v>
      </c>
      <c r="L161">
        <v>1.8</v>
      </c>
      <c r="M161" s="5">
        <f t="shared" si="18"/>
        <v>13.5</v>
      </c>
      <c r="N161" t="s">
        <v>10</v>
      </c>
      <c r="O161" t="str">
        <f t="shared" si="19"/>
        <v>Errand/Supplies</v>
      </c>
    </row>
    <row r="162" spans="1:15" x14ac:dyDescent="0.3">
      <c r="A162" s="1">
        <v>42708.385416666664</v>
      </c>
      <c r="B162" s="6">
        <f>INT(A162:A201)</f>
        <v>42708</v>
      </c>
      <c r="C162" s="7">
        <f>(A162-B162)</f>
        <v>0.38541666666424135</v>
      </c>
      <c r="D162" s="1">
        <v>42708.393055555556</v>
      </c>
      <c r="E162" s="6">
        <f>INT(D162)</f>
        <v>42708</v>
      </c>
      <c r="F162" s="8">
        <f>D162-E162</f>
        <v>0.39305555555620231</v>
      </c>
      <c r="G162" t="s">
        <v>7</v>
      </c>
      <c r="H162" s="7">
        <f t="shared" si="16"/>
        <v>7.6388888919609599E-3</v>
      </c>
      <c r="I162" s="13">
        <f t="shared" si="17"/>
        <v>0.18333333333333332</v>
      </c>
      <c r="J162" t="s">
        <v>38</v>
      </c>
      <c r="K162" t="s">
        <v>54</v>
      </c>
      <c r="L162">
        <v>2.8</v>
      </c>
      <c r="M162" s="5">
        <f t="shared" si="18"/>
        <v>15.272727272727273</v>
      </c>
      <c r="N162" t="s">
        <v>10</v>
      </c>
      <c r="O162" t="str">
        <f t="shared" si="19"/>
        <v>Errand/Supplies</v>
      </c>
    </row>
    <row r="163" spans="1:15" x14ac:dyDescent="0.3">
      <c r="A163" t="s">
        <v>334</v>
      </c>
      <c r="B163" s="2">
        <v>42475</v>
      </c>
      <c r="C163" s="7">
        <v>0.52013888888888882</v>
      </c>
      <c r="D163" t="s">
        <v>335</v>
      </c>
      <c r="E163" s="2">
        <v>42475</v>
      </c>
      <c r="F163" s="8">
        <v>0.52222222222222225</v>
      </c>
      <c r="G163" t="s">
        <v>7</v>
      </c>
      <c r="H163" s="7">
        <f t="shared" si="16"/>
        <v>2.083333333333437E-3</v>
      </c>
      <c r="I163" s="13">
        <f t="shared" si="17"/>
        <v>0.05</v>
      </c>
      <c r="J163" t="s">
        <v>46</v>
      </c>
      <c r="K163" t="s">
        <v>336</v>
      </c>
      <c r="L163">
        <v>1.4</v>
      </c>
      <c r="M163" s="5">
        <f t="shared" si="18"/>
        <v>27.999999999999996</v>
      </c>
      <c r="N163" t="s">
        <v>10</v>
      </c>
      <c r="O163" t="str">
        <f t="shared" si="19"/>
        <v>Errand/Supplies</v>
      </c>
    </row>
    <row r="164" spans="1:15" x14ac:dyDescent="0.3">
      <c r="A164" t="s">
        <v>339</v>
      </c>
      <c r="B164" s="2">
        <v>42476</v>
      </c>
      <c r="C164" s="7">
        <v>0.54097222222222219</v>
      </c>
      <c r="D164" t="s">
        <v>340</v>
      </c>
      <c r="E164" s="2">
        <v>42476</v>
      </c>
      <c r="F164" s="8">
        <v>0.55347222222222225</v>
      </c>
      <c r="G164" t="s">
        <v>7</v>
      </c>
      <c r="H164" s="7">
        <f t="shared" si="16"/>
        <v>1.2500000000000067E-2</v>
      </c>
      <c r="I164" s="13">
        <f t="shared" si="17"/>
        <v>0.3</v>
      </c>
      <c r="J164" t="s">
        <v>15</v>
      </c>
      <c r="K164" t="s">
        <v>16</v>
      </c>
      <c r="L164">
        <v>6</v>
      </c>
      <c r="M164" s="5">
        <f t="shared" si="18"/>
        <v>20</v>
      </c>
      <c r="N164" t="s">
        <v>10</v>
      </c>
      <c r="O164" t="str">
        <f t="shared" si="19"/>
        <v>Errand/Supplies</v>
      </c>
    </row>
    <row r="165" spans="1:15" x14ac:dyDescent="0.3">
      <c r="A165" t="s">
        <v>359</v>
      </c>
      <c r="B165" s="2">
        <v>42484</v>
      </c>
      <c r="C165" s="7">
        <v>0.79652777777777783</v>
      </c>
      <c r="D165" t="s">
        <v>360</v>
      </c>
      <c r="E165" s="2">
        <v>42484</v>
      </c>
      <c r="F165" s="8">
        <v>0.8027777777777777</v>
      </c>
      <c r="G165" t="s">
        <v>7</v>
      </c>
      <c r="H165" s="7">
        <f t="shared" si="16"/>
        <v>6.2499999999998668E-3</v>
      </c>
      <c r="I165" s="13">
        <f t="shared" si="17"/>
        <v>0.15</v>
      </c>
      <c r="J165" t="s">
        <v>15</v>
      </c>
      <c r="K165" t="s">
        <v>16</v>
      </c>
      <c r="L165">
        <v>3.1</v>
      </c>
      <c r="M165" s="5">
        <f t="shared" si="18"/>
        <v>20.666666666666668</v>
      </c>
      <c r="N165" t="s">
        <v>10</v>
      </c>
      <c r="O165" t="str">
        <f t="shared" si="19"/>
        <v>Errand/Supplies</v>
      </c>
    </row>
    <row r="166" spans="1:15" x14ac:dyDescent="0.3">
      <c r="A166" t="s">
        <v>361</v>
      </c>
      <c r="B166" s="2">
        <v>42484</v>
      </c>
      <c r="C166" s="7">
        <v>0.82361111111111107</v>
      </c>
      <c r="D166" t="s">
        <v>362</v>
      </c>
      <c r="E166" s="2">
        <v>42484</v>
      </c>
      <c r="F166" s="8">
        <v>0.82777777777777783</v>
      </c>
      <c r="G166" t="s">
        <v>7</v>
      </c>
      <c r="H166" s="7">
        <f t="shared" si="16"/>
        <v>4.1666666666667629E-3</v>
      </c>
      <c r="I166" s="13">
        <f t="shared" si="17"/>
        <v>0.1</v>
      </c>
      <c r="J166" t="s">
        <v>363</v>
      </c>
      <c r="K166" t="s">
        <v>363</v>
      </c>
      <c r="L166">
        <v>1.9</v>
      </c>
      <c r="M166" s="5">
        <f t="shared" si="18"/>
        <v>18.999999999999996</v>
      </c>
      <c r="N166" t="s">
        <v>10</v>
      </c>
      <c r="O166" t="str">
        <f t="shared" si="19"/>
        <v>Errand/Supplies</v>
      </c>
    </row>
    <row r="167" spans="1:15" x14ac:dyDescent="0.3">
      <c r="A167" s="1">
        <v>42374.943055555559</v>
      </c>
      <c r="B167" s="6">
        <f>INT(A167:A206)</f>
        <v>42374</v>
      </c>
      <c r="C167" s="7">
        <f>(A167-B167)</f>
        <v>0.94305555555911269</v>
      </c>
      <c r="D167" s="1">
        <v>42374.950694444444</v>
      </c>
      <c r="E167" s="6">
        <f>INT(D167)</f>
        <v>42374</v>
      </c>
      <c r="F167" s="8">
        <f>D167-E167</f>
        <v>0.95069444444379769</v>
      </c>
      <c r="G167" t="s">
        <v>7</v>
      </c>
      <c r="H167" s="7">
        <f t="shared" si="16"/>
        <v>7.6388888846850023E-3</v>
      </c>
      <c r="I167" s="13">
        <f t="shared" si="17"/>
        <v>0.18333333333333332</v>
      </c>
      <c r="J167" t="s">
        <v>389</v>
      </c>
      <c r="K167" t="s">
        <v>38</v>
      </c>
      <c r="L167">
        <v>3.1</v>
      </c>
      <c r="M167" s="5">
        <f t="shared" si="18"/>
        <v>16.90909090909091</v>
      </c>
      <c r="N167" t="s">
        <v>10</v>
      </c>
      <c r="O167" t="str">
        <f t="shared" si="19"/>
        <v>Errand/Supplies</v>
      </c>
    </row>
    <row r="168" spans="1:15" x14ac:dyDescent="0.3">
      <c r="A168" s="1">
        <v>42405.593055555553</v>
      </c>
      <c r="B168" s="6">
        <f>INT(A168:A207)</f>
        <v>42405</v>
      </c>
      <c r="C168" s="7">
        <f>(A168-B168)</f>
        <v>0.59305555555329192</v>
      </c>
      <c r="D168" s="1">
        <v>42405.597916666666</v>
      </c>
      <c r="E168" s="6">
        <f>INT(D168)</f>
        <v>42405</v>
      </c>
      <c r="F168" s="8">
        <f>D168-E168</f>
        <v>0.59791666666569654</v>
      </c>
      <c r="G168" t="s">
        <v>7</v>
      </c>
      <c r="H168" s="7">
        <f t="shared" si="16"/>
        <v>4.8611111124046147E-3</v>
      </c>
      <c r="I168" s="13">
        <f t="shared" si="17"/>
        <v>0.11666666666666667</v>
      </c>
      <c r="J168" t="s">
        <v>38</v>
      </c>
      <c r="K168" t="s">
        <v>44</v>
      </c>
      <c r="L168">
        <v>2.2000000000000002</v>
      </c>
      <c r="M168" s="5">
        <f t="shared" si="18"/>
        <v>18.857142857142858</v>
      </c>
      <c r="N168" t="s">
        <v>10</v>
      </c>
      <c r="O168" t="str">
        <f t="shared" si="19"/>
        <v>Errand/Supplies</v>
      </c>
    </row>
    <row r="169" spans="1:15" x14ac:dyDescent="0.3">
      <c r="A169" s="1">
        <v>42465.871527777781</v>
      </c>
      <c r="B169" s="6">
        <f>INT(A169:A208)</f>
        <v>42465</v>
      </c>
      <c r="C169" s="7">
        <f>(A169-B169)</f>
        <v>0.87152777778101154</v>
      </c>
      <c r="D169" s="1">
        <v>42465.884722222225</v>
      </c>
      <c r="E169" s="6">
        <f>INT(D169)</f>
        <v>42465</v>
      </c>
      <c r="F169" s="8">
        <f>D169-E169</f>
        <v>0.88472222222480923</v>
      </c>
      <c r="G169" t="s">
        <v>7</v>
      </c>
      <c r="H169" s="7">
        <f t="shared" si="16"/>
        <v>1.3194444443797693E-2</v>
      </c>
      <c r="I169" s="13">
        <f t="shared" si="17"/>
        <v>0.31666666666666665</v>
      </c>
      <c r="J169" t="s">
        <v>390</v>
      </c>
      <c r="K169" t="s">
        <v>391</v>
      </c>
      <c r="L169">
        <v>14.5</v>
      </c>
      <c r="M169" s="5">
        <f t="shared" si="18"/>
        <v>45.789473684210527</v>
      </c>
      <c r="N169" t="s">
        <v>10</v>
      </c>
      <c r="O169" t="str">
        <f t="shared" si="19"/>
        <v>Errand/Supplies</v>
      </c>
    </row>
    <row r="170" spans="1:15" x14ac:dyDescent="0.3">
      <c r="A170" s="1">
        <v>42495.94027777778</v>
      </c>
      <c r="B170" s="6">
        <f>INT(A170:A209)</f>
        <v>42495</v>
      </c>
      <c r="C170" s="7">
        <f>(A170-B170)</f>
        <v>0.94027777777955635</v>
      </c>
      <c r="D170" s="1">
        <v>42495.944444444445</v>
      </c>
      <c r="E170" s="6">
        <f>INT(D170)</f>
        <v>42495</v>
      </c>
      <c r="F170" s="8">
        <f>D170-E170</f>
        <v>0.94444444444525288</v>
      </c>
      <c r="G170" t="s">
        <v>7</v>
      </c>
      <c r="H170" s="7">
        <f t="shared" si="16"/>
        <v>4.166666665696539E-3</v>
      </c>
      <c r="I170" s="13">
        <f t="shared" si="17"/>
        <v>0.1</v>
      </c>
      <c r="J170" t="s">
        <v>394</v>
      </c>
      <c r="K170" t="s">
        <v>395</v>
      </c>
      <c r="L170">
        <v>2.9</v>
      </c>
      <c r="M170" s="5">
        <f t="shared" si="18"/>
        <v>28.999999999999996</v>
      </c>
      <c r="N170" t="s">
        <v>10</v>
      </c>
      <c r="O170" t="str">
        <f t="shared" si="19"/>
        <v>Errand/Supplies</v>
      </c>
    </row>
    <row r="171" spans="1:15" x14ac:dyDescent="0.3">
      <c r="A171" t="s">
        <v>405</v>
      </c>
      <c r="B171" s="2">
        <v>42507</v>
      </c>
      <c r="C171" s="7">
        <v>0.55208333333333337</v>
      </c>
      <c r="D171" t="s">
        <v>406</v>
      </c>
      <c r="E171" s="2">
        <v>42507</v>
      </c>
      <c r="F171" s="8">
        <v>0.55763888888888891</v>
      </c>
      <c r="G171" t="s">
        <v>7</v>
      </c>
      <c r="H171" s="7">
        <f t="shared" si="16"/>
        <v>5.5555555555555358E-3</v>
      </c>
      <c r="I171" s="13">
        <f t="shared" si="17"/>
        <v>0.13333333333333333</v>
      </c>
      <c r="J171" t="s">
        <v>38</v>
      </c>
      <c r="K171" t="s">
        <v>57</v>
      </c>
      <c r="L171">
        <v>2.8</v>
      </c>
      <c r="M171" s="5">
        <f t="shared" si="18"/>
        <v>21</v>
      </c>
      <c r="N171" t="s">
        <v>10</v>
      </c>
      <c r="O171" t="str">
        <f t="shared" si="19"/>
        <v>Errand/Supplies</v>
      </c>
    </row>
    <row r="172" spans="1:15" x14ac:dyDescent="0.3">
      <c r="A172" t="s">
        <v>407</v>
      </c>
      <c r="B172" s="2">
        <v>42507</v>
      </c>
      <c r="C172" s="7">
        <v>0.5805555555555556</v>
      </c>
      <c r="D172" t="s">
        <v>408</v>
      </c>
      <c r="E172" s="2">
        <v>42507</v>
      </c>
      <c r="F172" s="8">
        <v>0.58888888888888891</v>
      </c>
      <c r="G172" t="s">
        <v>7</v>
      </c>
      <c r="H172" s="7">
        <f t="shared" si="16"/>
        <v>8.3333333333333037E-3</v>
      </c>
      <c r="I172" s="13">
        <f t="shared" si="17"/>
        <v>0.2</v>
      </c>
      <c r="J172" t="s">
        <v>57</v>
      </c>
      <c r="K172" t="s">
        <v>44</v>
      </c>
      <c r="L172">
        <v>2.7</v>
      </c>
      <c r="M172" s="5">
        <f t="shared" si="18"/>
        <v>13.5</v>
      </c>
      <c r="N172" t="s">
        <v>10</v>
      </c>
      <c r="O172" t="str">
        <f t="shared" si="19"/>
        <v>Errand/Supplies</v>
      </c>
    </row>
    <row r="173" spans="1:15" x14ac:dyDescent="0.3">
      <c r="A173" t="s">
        <v>409</v>
      </c>
      <c r="B173" s="2">
        <v>42507</v>
      </c>
      <c r="C173" s="7">
        <v>0.6069444444444444</v>
      </c>
      <c r="D173" t="s">
        <v>410</v>
      </c>
      <c r="E173" s="2">
        <v>42507</v>
      </c>
      <c r="F173" s="8">
        <v>0.61111111111111105</v>
      </c>
      <c r="G173" t="s">
        <v>7</v>
      </c>
      <c r="H173" s="7">
        <f t="shared" si="16"/>
        <v>4.1666666666666519E-3</v>
      </c>
      <c r="I173" s="13">
        <f t="shared" si="17"/>
        <v>0.1</v>
      </c>
      <c r="J173" t="s">
        <v>44</v>
      </c>
      <c r="K173" t="s">
        <v>38</v>
      </c>
      <c r="L173">
        <v>1.9</v>
      </c>
      <c r="M173" s="5">
        <f t="shared" si="18"/>
        <v>18.999999999999996</v>
      </c>
      <c r="N173" t="s">
        <v>10</v>
      </c>
      <c r="O173" t="str">
        <f t="shared" si="19"/>
        <v>Errand/Supplies</v>
      </c>
    </row>
    <row r="174" spans="1:15" x14ac:dyDescent="0.3">
      <c r="A174" t="s">
        <v>431</v>
      </c>
      <c r="B174" s="2">
        <v>42513</v>
      </c>
      <c r="C174" s="7">
        <v>0.88124999999999998</v>
      </c>
      <c r="D174" t="s">
        <v>432</v>
      </c>
      <c r="E174" s="2">
        <v>42513</v>
      </c>
      <c r="F174" s="8">
        <v>0.88958333333333339</v>
      </c>
      <c r="G174" t="s">
        <v>7</v>
      </c>
      <c r="H174" s="7">
        <f t="shared" si="16"/>
        <v>8.3333333333334147E-3</v>
      </c>
      <c r="I174" s="13">
        <f t="shared" si="17"/>
        <v>0.2</v>
      </c>
      <c r="J174" t="s">
        <v>430</v>
      </c>
      <c r="K174" t="s">
        <v>38</v>
      </c>
      <c r="L174">
        <v>3.6</v>
      </c>
      <c r="M174" s="5">
        <f t="shared" si="18"/>
        <v>18</v>
      </c>
      <c r="N174" t="s">
        <v>10</v>
      </c>
      <c r="O174" t="str">
        <f t="shared" si="19"/>
        <v>Errand/Supplies</v>
      </c>
    </row>
    <row r="175" spans="1:15" x14ac:dyDescent="0.3">
      <c r="A175" t="s">
        <v>433</v>
      </c>
      <c r="B175" s="2">
        <v>42517</v>
      </c>
      <c r="C175" s="7">
        <v>0.85138888888888886</v>
      </c>
      <c r="D175" t="s">
        <v>434</v>
      </c>
      <c r="E175" s="2">
        <v>42517</v>
      </c>
      <c r="F175" s="8">
        <v>0.85416666666666663</v>
      </c>
      <c r="G175" t="s">
        <v>7</v>
      </c>
      <c r="H175" s="7">
        <f t="shared" si="16"/>
        <v>2.7777777777777679E-3</v>
      </c>
      <c r="I175" s="13">
        <f t="shared" si="17"/>
        <v>6.6666666666666666E-2</v>
      </c>
      <c r="J175" t="s">
        <v>38</v>
      </c>
      <c r="K175" t="s">
        <v>435</v>
      </c>
      <c r="L175">
        <v>4.5</v>
      </c>
      <c r="M175" s="5">
        <f t="shared" si="18"/>
        <v>67.5</v>
      </c>
      <c r="N175" t="s">
        <v>10</v>
      </c>
      <c r="O175" t="str">
        <f t="shared" si="19"/>
        <v>Errand/Supplies</v>
      </c>
    </row>
    <row r="176" spans="1:15" x14ac:dyDescent="0.3">
      <c r="A176" t="s">
        <v>439</v>
      </c>
      <c r="B176" s="2">
        <v>42517</v>
      </c>
      <c r="C176" s="7">
        <v>0.9243055555555556</v>
      </c>
      <c r="D176" t="s">
        <v>440</v>
      </c>
      <c r="E176" s="2">
        <v>42517</v>
      </c>
      <c r="F176" s="8">
        <v>0.92638888888888893</v>
      </c>
      <c r="G176" t="s">
        <v>7</v>
      </c>
      <c r="H176" s="7">
        <f t="shared" si="16"/>
        <v>2.0833333333333259E-3</v>
      </c>
      <c r="I176" s="13">
        <f t="shared" si="17"/>
        <v>0.05</v>
      </c>
      <c r="J176" t="s">
        <v>438</v>
      </c>
      <c r="K176" t="s">
        <v>435</v>
      </c>
      <c r="L176">
        <v>1.7</v>
      </c>
      <c r="M176" s="5">
        <f t="shared" si="18"/>
        <v>34</v>
      </c>
      <c r="N176" t="s">
        <v>10</v>
      </c>
      <c r="O176" t="str">
        <f t="shared" si="19"/>
        <v>Errand/Supplies</v>
      </c>
    </row>
    <row r="177" spans="1:15" x14ac:dyDescent="0.3">
      <c r="A177" t="s">
        <v>441</v>
      </c>
      <c r="B177" s="2">
        <v>42518</v>
      </c>
      <c r="C177" s="7">
        <v>1.0416666666666666E-2</v>
      </c>
      <c r="D177" t="s">
        <v>442</v>
      </c>
      <c r="E177" s="2">
        <v>42518</v>
      </c>
      <c r="F177" s="8">
        <v>1.4583333333333332E-2</v>
      </c>
      <c r="G177" t="s">
        <v>7</v>
      </c>
      <c r="H177" s="7">
        <f t="shared" si="16"/>
        <v>4.1666666666666657E-3</v>
      </c>
      <c r="I177" s="13">
        <f t="shared" si="17"/>
        <v>0.1</v>
      </c>
      <c r="J177" t="s">
        <v>438</v>
      </c>
      <c r="K177" t="s">
        <v>38</v>
      </c>
      <c r="L177">
        <v>4.7</v>
      </c>
      <c r="M177" s="5">
        <f t="shared" si="18"/>
        <v>47</v>
      </c>
      <c r="N177" t="s">
        <v>10</v>
      </c>
      <c r="O177" t="str">
        <f t="shared" si="19"/>
        <v>Errand/Supplies</v>
      </c>
    </row>
    <row r="178" spans="1:15" x14ac:dyDescent="0.3">
      <c r="A178" s="1">
        <v>42435.759722222225</v>
      </c>
      <c r="B178" s="6">
        <f t="shared" ref="B178:B190" si="20">INT(A178:A217)</f>
        <v>42435</v>
      </c>
      <c r="C178" s="7">
        <f t="shared" ref="C178:C190" si="21">(A178-B178)</f>
        <v>0.75972222222480923</v>
      </c>
      <c r="D178" s="1">
        <v>42435.770138888889</v>
      </c>
      <c r="E178" s="6">
        <f t="shared" ref="E178:E190" si="22">INT(D178)</f>
        <v>42435</v>
      </c>
      <c r="F178" s="8">
        <f t="shared" ref="F178:F190" si="23">D178-E178</f>
        <v>0.77013888888905058</v>
      </c>
      <c r="G178" t="s">
        <v>7</v>
      </c>
      <c r="H178" s="7">
        <f t="shared" si="16"/>
        <v>1.0416666664241347E-2</v>
      </c>
      <c r="I178" s="13">
        <f t="shared" si="17"/>
        <v>0.25</v>
      </c>
      <c r="J178" t="s">
        <v>453</v>
      </c>
      <c r="K178" t="s">
        <v>363</v>
      </c>
      <c r="L178">
        <v>3.3</v>
      </c>
      <c r="M178" s="5">
        <f t="shared" si="18"/>
        <v>13.2</v>
      </c>
      <c r="N178" t="s">
        <v>10</v>
      </c>
      <c r="O178" t="str">
        <f t="shared" si="19"/>
        <v>Errand/Supplies</v>
      </c>
    </row>
    <row r="179" spans="1:15" x14ac:dyDescent="0.3">
      <c r="A179" s="1">
        <v>42435.77847222222</v>
      </c>
      <c r="B179" s="6">
        <f t="shared" si="20"/>
        <v>42435</v>
      </c>
      <c r="C179" s="7">
        <f t="shared" si="21"/>
        <v>0.77847222222044365</v>
      </c>
      <c r="D179" s="1">
        <v>42435.786805555559</v>
      </c>
      <c r="E179" s="6">
        <f t="shared" si="22"/>
        <v>42435</v>
      </c>
      <c r="F179" s="8">
        <f t="shared" si="23"/>
        <v>0.78680555555911269</v>
      </c>
      <c r="G179" t="s">
        <v>7</v>
      </c>
      <c r="H179" s="7">
        <f t="shared" si="16"/>
        <v>8.3333333386690356E-3</v>
      </c>
      <c r="I179" s="13">
        <f t="shared" si="17"/>
        <v>0.2</v>
      </c>
      <c r="J179" t="s">
        <v>16</v>
      </c>
      <c r="K179" t="s">
        <v>15</v>
      </c>
      <c r="L179">
        <v>3.1</v>
      </c>
      <c r="M179" s="5">
        <f t="shared" si="18"/>
        <v>15.5</v>
      </c>
      <c r="N179" t="s">
        <v>10</v>
      </c>
      <c r="O179" t="str">
        <f t="shared" si="19"/>
        <v>Errand/Supplies</v>
      </c>
    </row>
    <row r="180" spans="1:15" x14ac:dyDescent="0.3">
      <c r="A180" s="1">
        <v>42435.816666666666</v>
      </c>
      <c r="B180" s="6">
        <f t="shared" si="20"/>
        <v>42435</v>
      </c>
      <c r="C180" s="7">
        <f t="shared" si="21"/>
        <v>0.81666666666569654</v>
      </c>
      <c r="D180" s="1">
        <v>42435.820833333331</v>
      </c>
      <c r="E180" s="6">
        <f t="shared" si="22"/>
        <v>42435</v>
      </c>
      <c r="F180" s="8">
        <f t="shared" si="23"/>
        <v>0.82083333333139308</v>
      </c>
      <c r="G180" t="s">
        <v>7</v>
      </c>
      <c r="H180" s="7">
        <f t="shared" si="16"/>
        <v>4.166666665696539E-3</v>
      </c>
      <c r="I180" s="13">
        <f t="shared" si="17"/>
        <v>0.1</v>
      </c>
      <c r="J180" t="s">
        <v>454</v>
      </c>
      <c r="K180" t="s">
        <v>148</v>
      </c>
      <c r="L180">
        <v>1.7</v>
      </c>
      <c r="M180" s="5">
        <f t="shared" si="18"/>
        <v>17</v>
      </c>
      <c r="N180" t="s">
        <v>10</v>
      </c>
      <c r="O180" t="str">
        <f t="shared" si="19"/>
        <v>Errand/Supplies</v>
      </c>
    </row>
    <row r="181" spans="1:15" x14ac:dyDescent="0.3">
      <c r="A181" s="1">
        <v>42527.65</v>
      </c>
      <c r="B181" s="6">
        <f t="shared" si="20"/>
        <v>42527</v>
      </c>
      <c r="C181" s="7">
        <f t="shared" si="21"/>
        <v>0.65000000000145519</v>
      </c>
      <c r="D181" s="1">
        <v>42527.65625</v>
      </c>
      <c r="E181" s="6">
        <f t="shared" si="22"/>
        <v>42527</v>
      </c>
      <c r="F181" s="8">
        <f t="shared" si="23"/>
        <v>0.65625</v>
      </c>
      <c r="G181" t="s">
        <v>7</v>
      </c>
      <c r="H181" s="7">
        <f t="shared" si="16"/>
        <v>6.2499999985448085E-3</v>
      </c>
      <c r="I181" s="13">
        <f t="shared" si="17"/>
        <v>0.15</v>
      </c>
      <c r="J181" t="s">
        <v>38</v>
      </c>
      <c r="K181" t="s">
        <v>43</v>
      </c>
      <c r="L181">
        <v>3</v>
      </c>
      <c r="M181" s="5">
        <f t="shared" si="18"/>
        <v>20</v>
      </c>
      <c r="N181" t="s">
        <v>10</v>
      </c>
      <c r="O181" t="str">
        <f t="shared" si="19"/>
        <v>Errand/Supplies</v>
      </c>
    </row>
    <row r="182" spans="1:15" x14ac:dyDescent="0.3">
      <c r="A182" s="1">
        <v>42527.677777777775</v>
      </c>
      <c r="B182" s="6">
        <f t="shared" si="20"/>
        <v>42527</v>
      </c>
      <c r="C182" s="7">
        <f t="shared" si="21"/>
        <v>0.67777777777519077</v>
      </c>
      <c r="D182" s="1">
        <v>42527.683333333334</v>
      </c>
      <c r="E182" s="6">
        <f t="shared" si="22"/>
        <v>42527</v>
      </c>
      <c r="F182" s="8">
        <f t="shared" si="23"/>
        <v>0.68333333333430346</v>
      </c>
      <c r="G182" t="s">
        <v>7</v>
      </c>
      <c r="H182" s="7">
        <f t="shared" si="16"/>
        <v>5.5555555591126904E-3</v>
      </c>
      <c r="I182" s="13">
        <f t="shared" si="17"/>
        <v>0.13333333333333333</v>
      </c>
      <c r="J182" t="s">
        <v>43</v>
      </c>
      <c r="K182" t="s">
        <v>38</v>
      </c>
      <c r="L182">
        <v>2.4</v>
      </c>
      <c r="M182" s="5">
        <f t="shared" si="18"/>
        <v>18</v>
      </c>
      <c r="N182" t="s">
        <v>10</v>
      </c>
      <c r="O182" t="str">
        <f t="shared" si="19"/>
        <v>Errand/Supplies</v>
      </c>
    </row>
    <row r="183" spans="1:15" x14ac:dyDescent="0.3">
      <c r="A183" s="1">
        <v>42588.50277777778</v>
      </c>
      <c r="B183" s="6">
        <f t="shared" si="20"/>
        <v>42588</v>
      </c>
      <c r="C183" s="7">
        <f t="shared" si="21"/>
        <v>0.50277777777955635</v>
      </c>
      <c r="D183" s="1">
        <v>42588.542361111111</v>
      </c>
      <c r="E183" s="6">
        <f t="shared" si="22"/>
        <v>42588</v>
      </c>
      <c r="F183" s="8">
        <f t="shared" si="23"/>
        <v>0.54236111111094942</v>
      </c>
      <c r="G183" t="s">
        <v>7</v>
      </c>
      <c r="H183" s="7">
        <f t="shared" si="16"/>
        <v>3.9583333331393078E-2</v>
      </c>
      <c r="I183" s="13">
        <f t="shared" si="17"/>
        <v>0.95</v>
      </c>
      <c r="J183" t="s">
        <v>17</v>
      </c>
      <c r="K183" t="s">
        <v>18</v>
      </c>
      <c r="L183">
        <v>22.3</v>
      </c>
      <c r="M183" s="5">
        <f t="shared" si="18"/>
        <v>23.473684210526319</v>
      </c>
      <c r="N183" t="s">
        <v>10</v>
      </c>
      <c r="O183" t="str">
        <f t="shared" si="19"/>
        <v>Errand/Supplies</v>
      </c>
    </row>
    <row r="184" spans="1:15" x14ac:dyDescent="0.3">
      <c r="A184" s="1">
        <v>42588.604861111111</v>
      </c>
      <c r="B184" s="6">
        <f t="shared" si="20"/>
        <v>42588</v>
      </c>
      <c r="C184" s="7">
        <f t="shared" si="21"/>
        <v>0.60486111111094942</v>
      </c>
      <c r="D184" s="1">
        <v>42588.609027777777</v>
      </c>
      <c r="E184" s="6">
        <f t="shared" si="22"/>
        <v>42588</v>
      </c>
      <c r="F184" s="8">
        <f t="shared" si="23"/>
        <v>0.60902777777664596</v>
      </c>
      <c r="G184" t="s">
        <v>7</v>
      </c>
      <c r="H184" s="7">
        <f t="shared" si="16"/>
        <v>4.166666665696539E-3</v>
      </c>
      <c r="I184" s="13">
        <f t="shared" si="17"/>
        <v>0.1</v>
      </c>
      <c r="J184" t="s">
        <v>457</v>
      </c>
      <c r="K184" t="s">
        <v>458</v>
      </c>
      <c r="L184">
        <v>0.7</v>
      </c>
      <c r="M184" s="5">
        <f t="shared" si="18"/>
        <v>6.9999999999999991</v>
      </c>
      <c r="N184" t="s">
        <v>10</v>
      </c>
      <c r="O184" t="str">
        <f t="shared" si="19"/>
        <v>Errand/Supplies</v>
      </c>
    </row>
    <row r="185" spans="1:15" x14ac:dyDescent="0.3">
      <c r="A185" s="1">
        <v>42588.719444444447</v>
      </c>
      <c r="B185" s="6">
        <f t="shared" si="20"/>
        <v>42588</v>
      </c>
      <c r="C185" s="7">
        <f t="shared" si="21"/>
        <v>0.71944444444670808</v>
      </c>
      <c r="D185" s="1">
        <v>42588.720833333333</v>
      </c>
      <c r="E185" s="6">
        <f t="shared" si="22"/>
        <v>42588</v>
      </c>
      <c r="F185" s="8">
        <f t="shared" si="23"/>
        <v>0.72083333333284827</v>
      </c>
      <c r="G185" t="s">
        <v>7</v>
      </c>
      <c r="H185" s="7">
        <f t="shared" si="16"/>
        <v>1.3888888861401938E-3</v>
      </c>
      <c r="I185" s="13">
        <f t="shared" si="17"/>
        <v>3.3333333333333333E-2</v>
      </c>
      <c r="J185" t="s">
        <v>460</v>
      </c>
      <c r="K185" t="s">
        <v>461</v>
      </c>
      <c r="L185">
        <v>0.5</v>
      </c>
      <c r="M185" s="5">
        <f t="shared" si="18"/>
        <v>15</v>
      </c>
      <c r="N185" t="s">
        <v>10</v>
      </c>
      <c r="O185" t="str">
        <f t="shared" si="19"/>
        <v>Errand/Supplies</v>
      </c>
    </row>
    <row r="186" spans="1:15" x14ac:dyDescent="0.3">
      <c r="A186" s="1">
        <v>42588.749305555553</v>
      </c>
      <c r="B186" s="6">
        <f t="shared" si="20"/>
        <v>42588</v>
      </c>
      <c r="C186" s="7">
        <f t="shared" si="21"/>
        <v>0.74930555555329192</v>
      </c>
      <c r="D186" s="1">
        <v>42588.753472222219</v>
      </c>
      <c r="E186" s="6">
        <f t="shared" si="22"/>
        <v>42588</v>
      </c>
      <c r="F186" s="8">
        <f t="shared" si="23"/>
        <v>0.75347222221898846</v>
      </c>
      <c r="G186" t="s">
        <v>7</v>
      </c>
      <c r="H186" s="7">
        <f t="shared" si="16"/>
        <v>4.166666665696539E-3</v>
      </c>
      <c r="I186" s="13">
        <f t="shared" si="17"/>
        <v>0.1</v>
      </c>
      <c r="J186" t="s">
        <v>461</v>
      </c>
      <c r="K186" t="s">
        <v>462</v>
      </c>
      <c r="L186">
        <v>0.9</v>
      </c>
      <c r="M186" s="5">
        <f t="shared" si="18"/>
        <v>9</v>
      </c>
      <c r="N186" t="s">
        <v>10</v>
      </c>
      <c r="O186" t="str">
        <f t="shared" si="19"/>
        <v>Errand/Supplies</v>
      </c>
    </row>
    <row r="187" spans="1:15" x14ac:dyDescent="0.3">
      <c r="A187" s="1">
        <v>42588.84097222222</v>
      </c>
      <c r="B187" s="6">
        <f t="shared" si="20"/>
        <v>42588</v>
      </c>
      <c r="C187" s="7">
        <f t="shared" si="21"/>
        <v>0.84097222222044365</v>
      </c>
      <c r="D187" s="1">
        <v>42588.850694444445</v>
      </c>
      <c r="E187" s="6">
        <f t="shared" si="22"/>
        <v>42588</v>
      </c>
      <c r="F187" s="8">
        <f t="shared" si="23"/>
        <v>0.85069444444525288</v>
      </c>
      <c r="G187" t="s">
        <v>7</v>
      </c>
      <c r="H187" s="7">
        <f t="shared" si="16"/>
        <v>9.7222222248092294E-3</v>
      </c>
      <c r="I187" s="13">
        <f t="shared" si="17"/>
        <v>0.23333333333333334</v>
      </c>
      <c r="J187" t="s">
        <v>462</v>
      </c>
      <c r="K187" t="s">
        <v>463</v>
      </c>
      <c r="L187">
        <v>4.8</v>
      </c>
      <c r="M187" s="5">
        <f t="shared" si="18"/>
        <v>20.571428571428569</v>
      </c>
      <c r="N187" t="s">
        <v>10</v>
      </c>
      <c r="O187" t="str">
        <f t="shared" si="19"/>
        <v>Errand/Supplies</v>
      </c>
    </row>
    <row r="188" spans="1:15" x14ac:dyDescent="0.3">
      <c r="A188" s="1">
        <v>42680.713888888888</v>
      </c>
      <c r="B188" s="6">
        <f t="shared" si="20"/>
        <v>42680</v>
      </c>
      <c r="C188" s="7">
        <f t="shared" si="21"/>
        <v>0.71388888888759539</v>
      </c>
      <c r="D188" s="1">
        <v>42680.719444444447</v>
      </c>
      <c r="E188" s="6">
        <f t="shared" si="22"/>
        <v>42680</v>
      </c>
      <c r="F188" s="8">
        <f t="shared" si="23"/>
        <v>0.71944444444670808</v>
      </c>
      <c r="G188" t="s">
        <v>7</v>
      </c>
      <c r="H188" s="7">
        <f t="shared" si="16"/>
        <v>5.5555555591126904E-3</v>
      </c>
      <c r="I188" s="13">
        <f t="shared" si="17"/>
        <v>0.13333333333333333</v>
      </c>
      <c r="J188" t="s">
        <v>15</v>
      </c>
      <c r="K188" t="s">
        <v>16</v>
      </c>
      <c r="L188">
        <v>3.7</v>
      </c>
      <c r="M188" s="5">
        <f t="shared" si="18"/>
        <v>27.75</v>
      </c>
      <c r="N188" t="s">
        <v>10</v>
      </c>
      <c r="O188" t="str">
        <f t="shared" si="19"/>
        <v>Errand/Supplies</v>
      </c>
    </row>
    <row r="189" spans="1:15" x14ac:dyDescent="0.3">
      <c r="A189" s="1">
        <v>42710.836805555555</v>
      </c>
      <c r="B189" s="6">
        <f t="shared" si="20"/>
        <v>42710</v>
      </c>
      <c r="C189" s="7">
        <f t="shared" si="21"/>
        <v>0.83680555555474712</v>
      </c>
      <c r="D189" s="1">
        <v>42710.844444444447</v>
      </c>
      <c r="E189" s="6">
        <f t="shared" si="22"/>
        <v>42710</v>
      </c>
      <c r="F189" s="8">
        <f t="shared" si="23"/>
        <v>0.84444444444670808</v>
      </c>
      <c r="G189" t="s">
        <v>7</v>
      </c>
      <c r="H189" s="7">
        <f t="shared" si="16"/>
        <v>7.6388888919609599E-3</v>
      </c>
      <c r="I189" s="13">
        <f t="shared" si="17"/>
        <v>0.18333333333333332</v>
      </c>
      <c r="J189" t="s">
        <v>16</v>
      </c>
      <c r="K189" t="s">
        <v>15</v>
      </c>
      <c r="L189">
        <v>4.3</v>
      </c>
      <c r="M189" s="5">
        <f t="shared" si="18"/>
        <v>23.454545454545457</v>
      </c>
      <c r="N189" t="s">
        <v>10</v>
      </c>
      <c r="O189" t="str">
        <f t="shared" si="19"/>
        <v>Errand/Supplies</v>
      </c>
    </row>
    <row r="190" spans="1:15" x14ac:dyDescent="0.3">
      <c r="A190" s="1">
        <v>42710.915277777778</v>
      </c>
      <c r="B190" s="6">
        <f t="shared" si="20"/>
        <v>42710</v>
      </c>
      <c r="C190" s="7">
        <f t="shared" si="21"/>
        <v>0.91527777777810115</v>
      </c>
      <c r="D190" s="1">
        <v>42710.929861111108</v>
      </c>
      <c r="E190" s="6">
        <f t="shared" si="22"/>
        <v>42710</v>
      </c>
      <c r="F190" s="8">
        <f t="shared" si="23"/>
        <v>0.92986111110803904</v>
      </c>
      <c r="G190" t="s">
        <v>7</v>
      </c>
      <c r="H190" s="7">
        <f t="shared" si="16"/>
        <v>1.4583333329937886E-2</v>
      </c>
      <c r="I190" s="13">
        <f t="shared" si="17"/>
        <v>0.35</v>
      </c>
      <c r="J190" t="s">
        <v>389</v>
      </c>
      <c r="K190" t="s">
        <v>38</v>
      </c>
      <c r="L190">
        <v>2.8</v>
      </c>
      <c r="M190" s="5">
        <f t="shared" si="18"/>
        <v>8</v>
      </c>
      <c r="N190" t="s">
        <v>10</v>
      </c>
      <c r="O190" t="str">
        <f t="shared" si="19"/>
        <v>Errand/Supplies</v>
      </c>
    </row>
    <row r="191" spans="1:15" x14ac:dyDescent="0.3">
      <c r="A191" t="s">
        <v>483</v>
      </c>
      <c r="B191" s="2">
        <v>42535</v>
      </c>
      <c r="C191" s="7">
        <v>0.7270833333333333</v>
      </c>
      <c r="D191" t="s">
        <v>484</v>
      </c>
      <c r="E191" s="2">
        <v>42535</v>
      </c>
      <c r="F191" s="8">
        <v>0.74791666666666667</v>
      </c>
      <c r="G191" t="s">
        <v>7</v>
      </c>
      <c r="H191" s="7">
        <f t="shared" si="16"/>
        <v>2.083333333333337E-2</v>
      </c>
      <c r="I191" s="13">
        <f t="shared" si="17"/>
        <v>0.5</v>
      </c>
      <c r="J191" t="s">
        <v>31</v>
      </c>
      <c r="K191" t="s">
        <v>485</v>
      </c>
      <c r="L191">
        <v>9.3000000000000007</v>
      </c>
      <c r="M191" s="5">
        <f t="shared" si="18"/>
        <v>18.600000000000001</v>
      </c>
      <c r="N191" t="s">
        <v>10</v>
      </c>
      <c r="O191" t="str">
        <f t="shared" si="19"/>
        <v>Errand/Supplies</v>
      </c>
    </row>
    <row r="192" spans="1:15" x14ac:dyDescent="0.3">
      <c r="A192" t="s">
        <v>530</v>
      </c>
      <c r="B192" s="2">
        <v>42545</v>
      </c>
      <c r="C192" s="7">
        <v>0.5131944444444444</v>
      </c>
      <c r="D192" t="s">
        <v>531</v>
      </c>
      <c r="E192" s="2">
        <v>42545</v>
      </c>
      <c r="F192" s="8">
        <v>0.52569444444444446</v>
      </c>
      <c r="G192" t="s">
        <v>7</v>
      </c>
      <c r="H192" s="7">
        <f t="shared" si="16"/>
        <v>1.2500000000000067E-2</v>
      </c>
      <c r="I192" s="13">
        <f t="shared" si="17"/>
        <v>0.3</v>
      </c>
      <c r="J192" t="s">
        <v>15</v>
      </c>
      <c r="K192" t="s">
        <v>40</v>
      </c>
      <c r="L192">
        <v>8.6</v>
      </c>
      <c r="M192" s="5">
        <f t="shared" si="18"/>
        <v>28.666666666666668</v>
      </c>
      <c r="N192" t="s">
        <v>10</v>
      </c>
      <c r="O192" t="str">
        <f t="shared" si="19"/>
        <v>Errand/Supplies</v>
      </c>
    </row>
    <row r="193" spans="1:15" x14ac:dyDescent="0.3">
      <c r="A193" t="s">
        <v>532</v>
      </c>
      <c r="B193" s="2">
        <v>42545</v>
      </c>
      <c r="C193" s="7">
        <v>0.53472222222222221</v>
      </c>
      <c r="D193" t="s">
        <v>533</v>
      </c>
      <c r="E193" s="2">
        <v>42545</v>
      </c>
      <c r="F193" s="8">
        <v>0.54999999999999993</v>
      </c>
      <c r="G193" t="s">
        <v>7</v>
      </c>
      <c r="H193" s="7">
        <f t="shared" si="16"/>
        <v>1.5277777777777724E-2</v>
      </c>
      <c r="I193" s="13">
        <f t="shared" si="17"/>
        <v>0.36666666666666664</v>
      </c>
      <c r="J193" t="s">
        <v>40</v>
      </c>
      <c r="K193" t="s">
        <v>16</v>
      </c>
      <c r="L193">
        <v>9</v>
      </c>
      <c r="M193" s="5">
        <f t="shared" si="18"/>
        <v>24.545454545454547</v>
      </c>
      <c r="N193" t="s">
        <v>10</v>
      </c>
      <c r="O193" t="str">
        <f t="shared" si="19"/>
        <v>Errand/Supplies</v>
      </c>
    </row>
    <row r="194" spans="1:15" x14ac:dyDescent="0.3">
      <c r="A194" t="s">
        <v>534</v>
      </c>
      <c r="B194" s="2">
        <v>42545</v>
      </c>
      <c r="C194" s="7">
        <v>0.5541666666666667</v>
      </c>
      <c r="D194" t="s">
        <v>535</v>
      </c>
      <c r="E194" s="2">
        <v>42545</v>
      </c>
      <c r="F194" s="8">
        <v>0.56041666666666667</v>
      </c>
      <c r="G194" t="s">
        <v>7</v>
      </c>
      <c r="H194" s="7">
        <f t="shared" ref="H194:H257" si="24">IF(F194&gt;C194,F194-C194,F194-C194+1)</f>
        <v>6.2499999999999778E-3</v>
      </c>
      <c r="I194" s="13">
        <f t="shared" ref="I194:I257" si="25">(HOUR(H194)*60+MINUTE(H194))/60</f>
        <v>0.15</v>
      </c>
      <c r="J194" t="s">
        <v>16</v>
      </c>
      <c r="K194" t="s">
        <v>15</v>
      </c>
      <c r="L194">
        <v>3.1</v>
      </c>
      <c r="M194" s="5">
        <f t="shared" ref="M194:M257" si="26">L194/I194</f>
        <v>20.666666666666668</v>
      </c>
      <c r="N194" t="s">
        <v>10</v>
      </c>
      <c r="O194" t="str">
        <f t="shared" ref="O194:O257" si="27">IF(ISBLANK($N194),"No Purpose",$N194)</f>
        <v>Errand/Supplies</v>
      </c>
    </row>
    <row r="195" spans="1:15" x14ac:dyDescent="0.3">
      <c r="A195" t="s">
        <v>546</v>
      </c>
      <c r="B195" s="2">
        <v>42546</v>
      </c>
      <c r="C195" s="7">
        <v>0.4291666666666667</v>
      </c>
      <c r="D195" t="s">
        <v>547</v>
      </c>
      <c r="E195" s="2">
        <v>42546</v>
      </c>
      <c r="F195" s="8">
        <v>0.43402777777777773</v>
      </c>
      <c r="G195" t="s">
        <v>7</v>
      </c>
      <c r="H195" s="7">
        <f t="shared" si="24"/>
        <v>4.8611111111110383E-3</v>
      </c>
      <c r="I195" s="13">
        <f t="shared" si="25"/>
        <v>0.11666666666666667</v>
      </c>
      <c r="J195" t="s">
        <v>545</v>
      </c>
      <c r="K195" t="s">
        <v>548</v>
      </c>
      <c r="L195">
        <v>1.1000000000000001</v>
      </c>
      <c r="M195" s="5">
        <f t="shared" si="26"/>
        <v>9.4285714285714288</v>
      </c>
      <c r="N195" t="s">
        <v>10</v>
      </c>
      <c r="O195" t="str">
        <f t="shared" si="27"/>
        <v>Errand/Supplies</v>
      </c>
    </row>
    <row r="196" spans="1:15" x14ac:dyDescent="0.3">
      <c r="A196" s="1">
        <v>42436.019444444442</v>
      </c>
      <c r="B196" s="6">
        <f>INT(A196:A235)</f>
        <v>42436</v>
      </c>
      <c r="C196" s="7">
        <f>(A196-B196)</f>
        <v>1.9444444442342501E-2</v>
      </c>
      <c r="D196" s="1">
        <v>42436.026388888888</v>
      </c>
      <c r="E196" s="6">
        <f>INT(D196)</f>
        <v>42436</v>
      </c>
      <c r="F196" s="8">
        <f>D196-E196</f>
        <v>2.6388888887595385E-2</v>
      </c>
      <c r="G196" t="s">
        <v>7</v>
      </c>
      <c r="H196" s="7">
        <f t="shared" si="24"/>
        <v>6.9444444452528842E-3</v>
      </c>
      <c r="I196" s="13">
        <f t="shared" si="25"/>
        <v>0.16666666666666666</v>
      </c>
      <c r="J196" t="s">
        <v>15</v>
      </c>
      <c r="K196" t="s">
        <v>16</v>
      </c>
      <c r="L196">
        <v>3.1</v>
      </c>
      <c r="M196" s="5">
        <f t="shared" si="26"/>
        <v>18.600000000000001</v>
      </c>
      <c r="N196" t="s">
        <v>10</v>
      </c>
      <c r="O196" t="str">
        <f t="shared" si="27"/>
        <v>Errand/Supplies</v>
      </c>
    </row>
    <row r="197" spans="1:15" x14ac:dyDescent="0.3">
      <c r="A197" s="1">
        <v>42436.126388888886</v>
      </c>
      <c r="B197" s="6">
        <f>INT(A197:A236)</f>
        <v>42436</v>
      </c>
      <c r="C197" s="7">
        <f>(A197-B197)</f>
        <v>0.12638888888614019</v>
      </c>
      <c r="D197" s="1">
        <v>42436.130555555559</v>
      </c>
      <c r="E197" s="6">
        <f>INT(D197)</f>
        <v>42436</v>
      </c>
      <c r="F197" s="8">
        <f>D197-E197</f>
        <v>0.13055555555911269</v>
      </c>
      <c r="G197" t="s">
        <v>7</v>
      </c>
      <c r="H197" s="7">
        <f t="shared" si="24"/>
        <v>4.1666666729724966E-3</v>
      </c>
      <c r="I197" s="13">
        <f t="shared" si="25"/>
        <v>0.1</v>
      </c>
      <c r="J197" t="s">
        <v>16</v>
      </c>
      <c r="K197" t="s">
        <v>15</v>
      </c>
      <c r="L197">
        <v>3.1</v>
      </c>
      <c r="M197" s="5">
        <f t="shared" si="26"/>
        <v>31</v>
      </c>
      <c r="N197" t="s">
        <v>10</v>
      </c>
      <c r="O197" t="str">
        <f t="shared" si="27"/>
        <v>Errand/Supplies</v>
      </c>
    </row>
    <row r="198" spans="1:15" x14ac:dyDescent="0.3">
      <c r="A198" s="1">
        <v>42497</v>
      </c>
      <c r="B198" s="6">
        <f>INT(A198:A237)</f>
        <v>42497</v>
      </c>
      <c r="C198" s="7">
        <f>(A198-B198)</f>
        <v>0</v>
      </c>
      <c r="D198" s="1">
        <v>42497.003472222219</v>
      </c>
      <c r="E198" s="6">
        <f>INT(D198)</f>
        <v>42497</v>
      </c>
      <c r="F198" s="8">
        <f>D198-E198</f>
        <v>3.4722222189884633E-3</v>
      </c>
      <c r="G198" t="s">
        <v>7</v>
      </c>
      <c r="H198" s="7">
        <f t="shared" si="24"/>
        <v>3.4722222189884633E-3</v>
      </c>
      <c r="I198" s="13">
        <f t="shared" si="25"/>
        <v>8.3333333333333329E-2</v>
      </c>
      <c r="J198" t="s">
        <v>614</v>
      </c>
      <c r="K198" t="s">
        <v>614</v>
      </c>
      <c r="L198">
        <v>1.2</v>
      </c>
      <c r="M198" s="5">
        <f t="shared" si="26"/>
        <v>14.4</v>
      </c>
      <c r="N198" t="s">
        <v>10</v>
      </c>
      <c r="O198" t="str">
        <f t="shared" si="27"/>
        <v>Errand/Supplies</v>
      </c>
    </row>
    <row r="199" spans="1:15" x14ac:dyDescent="0.3">
      <c r="A199" s="1">
        <v>42497.7</v>
      </c>
      <c r="B199" s="6">
        <f>INT(A199:A238)</f>
        <v>42497</v>
      </c>
      <c r="C199" s="7">
        <f>(A199-B199)</f>
        <v>0.69999999999708962</v>
      </c>
      <c r="D199" s="1">
        <v>42497.702777777777</v>
      </c>
      <c r="E199" s="6">
        <f>INT(D199)</f>
        <v>42497</v>
      </c>
      <c r="F199" s="8">
        <f>D199-E199</f>
        <v>0.70277777777664596</v>
      </c>
      <c r="G199" t="s">
        <v>7</v>
      </c>
      <c r="H199" s="7">
        <f t="shared" si="24"/>
        <v>2.7777777795563452E-3</v>
      </c>
      <c r="I199" s="13">
        <f t="shared" si="25"/>
        <v>6.6666666666666666E-2</v>
      </c>
      <c r="J199" t="s">
        <v>38</v>
      </c>
      <c r="K199" t="s">
        <v>38</v>
      </c>
      <c r="L199">
        <v>0.6</v>
      </c>
      <c r="M199" s="5">
        <f t="shared" si="26"/>
        <v>9</v>
      </c>
      <c r="N199" t="s">
        <v>10</v>
      </c>
      <c r="O199" t="str">
        <f t="shared" si="27"/>
        <v>Errand/Supplies</v>
      </c>
    </row>
    <row r="200" spans="1:15" x14ac:dyDescent="0.3">
      <c r="A200" t="s">
        <v>626</v>
      </c>
      <c r="B200" s="2">
        <v>42565</v>
      </c>
      <c r="C200" s="7">
        <v>0.66875000000000007</v>
      </c>
      <c r="D200" t="s">
        <v>627</v>
      </c>
      <c r="E200" s="2">
        <v>42565</v>
      </c>
      <c r="F200" s="8">
        <v>0.69027777777777777</v>
      </c>
      <c r="G200" t="s">
        <v>7</v>
      </c>
      <c r="H200" s="7">
        <f t="shared" si="24"/>
        <v>2.1527777777777701E-2</v>
      </c>
      <c r="I200" s="13">
        <f t="shared" si="25"/>
        <v>0.51666666666666672</v>
      </c>
      <c r="J200" t="s">
        <v>16</v>
      </c>
      <c r="K200" t="s">
        <v>16</v>
      </c>
      <c r="L200">
        <v>11.8</v>
      </c>
      <c r="M200" s="5">
        <f t="shared" si="26"/>
        <v>22.838709677419352</v>
      </c>
      <c r="N200" t="s">
        <v>10</v>
      </c>
      <c r="O200" t="str">
        <f t="shared" si="27"/>
        <v>Errand/Supplies</v>
      </c>
    </row>
    <row r="201" spans="1:15" x14ac:dyDescent="0.3">
      <c r="A201" t="s">
        <v>654</v>
      </c>
      <c r="B201" s="2">
        <v>42567</v>
      </c>
      <c r="C201" s="7">
        <v>0.95138888888888884</v>
      </c>
      <c r="D201" t="s">
        <v>655</v>
      </c>
      <c r="E201" s="2">
        <v>42567</v>
      </c>
      <c r="F201" s="8">
        <v>0.9604166666666667</v>
      </c>
      <c r="G201" t="s">
        <v>7</v>
      </c>
      <c r="H201" s="7">
        <f t="shared" si="24"/>
        <v>9.0277777777778567E-3</v>
      </c>
      <c r="I201" s="13">
        <f t="shared" si="25"/>
        <v>0.21666666666666667</v>
      </c>
      <c r="J201" t="s">
        <v>630</v>
      </c>
      <c r="K201" t="s">
        <v>630</v>
      </c>
      <c r="L201">
        <v>4.4000000000000004</v>
      </c>
      <c r="M201" s="5">
        <f t="shared" si="26"/>
        <v>20.30769230769231</v>
      </c>
      <c r="N201" t="s">
        <v>10</v>
      </c>
      <c r="O201" t="str">
        <f t="shared" si="27"/>
        <v>Errand/Supplies</v>
      </c>
    </row>
    <row r="202" spans="1:15" x14ac:dyDescent="0.3">
      <c r="A202" t="s">
        <v>677</v>
      </c>
      <c r="B202" s="2">
        <v>42569</v>
      </c>
      <c r="C202" s="7">
        <v>0.85277777777777775</v>
      </c>
      <c r="D202" t="s">
        <v>678</v>
      </c>
      <c r="E202" s="2">
        <v>42569</v>
      </c>
      <c r="F202" s="8">
        <v>0.85555555555555562</v>
      </c>
      <c r="G202" t="s">
        <v>7</v>
      </c>
      <c r="H202" s="7">
        <f t="shared" si="24"/>
        <v>2.7777777777778789E-3</v>
      </c>
      <c r="I202" s="13">
        <f t="shared" si="25"/>
        <v>6.6666666666666666E-2</v>
      </c>
      <c r="J202" t="s">
        <v>43</v>
      </c>
      <c r="K202" t="s">
        <v>148</v>
      </c>
      <c r="L202">
        <v>0.9</v>
      </c>
      <c r="M202" s="5">
        <f t="shared" si="26"/>
        <v>13.5</v>
      </c>
      <c r="N202" t="s">
        <v>10</v>
      </c>
      <c r="O202" t="str">
        <f t="shared" si="27"/>
        <v>Errand/Supplies</v>
      </c>
    </row>
    <row r="203" spans="1:15" x14ac:dyDescent="0.3">
      <c r="A203" t="s">
        <v>689</v>
      </c>
      <c r="B203" s="2">
        <v>42570</v>
      </c>
      <c r="C203" s="7">
        <v>0.71805555555555556</v>
      </c>
      <c r="D203" t="s">
        <v>690</v>
      </c>
      <c r="E203" s="2">
        <v>42570</v>
      </c>
      <c r="F203" s="8">
        <v>0.72499999999999998</v>
      </c>
      <c r="G203" t="s">
        <v>7</v>
      </c>
      <c r="H203" s="7">
        <f t="shared" si="24"/>
        <v>6.9444444444444198E-3</v>
      </c>
      <c r="I203" s="13">
        <f t="shared" si="25"/>
        <v>0.16666666666666666</v>
      </c>
      <c r="J203" t="s">
        <v>38</v>
      </c>
      <c r="K203" t="s">
        <v>363</v>
      </c>
      <c r="L203">
        <v>3.9</v>
      </c>
      <c r="M203" s="5">
        <f t="shared" si="26"/>
        <v>23.400000000000002</v>
      </c>
      <c r="N203" t="s">
        <v>10</v>
      </c>
      <c r="O203" t="str">
        <f t="shared" si="27"/>
        <v>Errand/Supplies</v>
      </c>
    </row>
    <row r="204" spans="1:15" x14ac:dyDescent="0.3">
      <c r="A204" t="s">
        <v>1119</v>
      </c>
      <c r="B204" s="2">
        <v>42668</v>
      </c>
      <c r="C204" s="7">
        <v>0.93333333333333324</v>
      </c>
      <c r="D204" t="s">
        <v>1120</v>
      </c>
      <c r="E204" s="2">
        <v>42668</v>
      </c>
      <c r="F204" s="8">
        <v>0.94791666666666663</v>
      </c>
      <c r="G204" t="s">
        <v>7</v>
      </c>
      <c r="H204" s="7">
        <f t="shared" si="24"/>
        <v>1.4583333333333393E-2</v>
      </c>
      <c r="I204" s="13">
        <f t="shared" si="25"/>
        <v>0.35</v>
      </c>
      <c r="J204" t="s">
        <v>389</v>
      </c>
      <c r="K204" t="s">
        <v>38</v>
      </c>
      <c r="L204">
        <v>8.6999999999999993</v>
      </c>
      <c r="M204" s="5">
        <f t="shared" si="26"/>
        <v>24.857142857142858</v>
      </c>
      <c r="N204" t="s">
        <v>10</v>
      </c>
      <c r="O204" t="str">
        <f t="shared" si="27"/>
        <v>Errand/Supplies</v>
      </c>
    </row>
    <row r="205" spans="1:15" x14ac:dyDescent="0.3">
      <c r="A205" t="s">
        <v>1180</v>
      </c>
      <c r="B205" s="2">
        <v>42674</v>
      </c>
      <c r="C205" s="7">
        <v>0.90625</v>
      </c>
      <c r="D205" t="s">
        <v>1181</v>
      </c>
      <c r="E205" s="2">
        <v>42674</v>
      </c>
      <c r="F205" s="8">
        <v>0.92361111111111116</v>
      </c>
      <c r="G205" t="s">
        <v>7</v>
      </c>
      <c r="H205" s="7">
        <f t="shared" si="24"/>
        <v>1.736111111111116E-2</v>
      </c>
      <c r="I205" s="13">
        <f t="shared" si="25"/>
        <v>0.41666666666666669</v>
      </c>
      <c r="J205" t="s">
        <v>430</v>
      </c>
      <c r="K205" t="s">
        <v>38</v>
      </c>
      <c r="L205">
        <v>9.6</v>
      </c>
      <c r="M205" s="5">
        <f t="shared" si="26"/>
        <v>23.04</v>
      </c>
      <c r="N205" t="s">
        <v>10</v>
      </c>
      <c r="O205" t="str">
        <f t="shared" si="27"/>
        <v>Errand/Supplies</v>
      </c>
    </row>
    <row r="206" spans="1:15" x14ac:dyDescent="0.3">
      <c r="A206" s="1">
        <v>42715.652777777781</v>
      </c>
      <c r="B206" s="6">
        <f>INT(A206:A245)</f>
        <v>42715</v>
      </c>
      <c r="C206" s="7">
        <f>(A206-B206)</f>
        <v>0.65277777778101154</v>
      </c>
      <c r="D206" s="1">
        <v>42715.665972222225</v>
      </c>
      <c r="E206" s="6">
        <f>INT(D206)</f>
        <v>42715</v>
      </c>
      <c r="F206" s="8">
        <f>D206-E206</f>
        <v>0.66597222222480923</v>
      </c>
      <c r="G206" t="s">
        <v>7</v>
      </c>
      <c r="H206" s="7">
        <f t="shared" si="24"/>
        <v>1.3194444443797693E-2</v>
      </c>
      <c r="I206" s="13">
        <f t="shared" si="25"/>
        <v>0.31666666666666665</v>
      </c>
      <c r="J206" t="s">
        <v>469</v>
      </c>
      <c r="K206" t="s">
        <v>472</v>
      </c>
      <c r="L206">
        <v>3.7</v>
      </c>
      <c r="M206" s="5">
        <f t="shared" si="26"/>
        <v>11.684210526315791</v>
      </c>
      <c r="N206" t="s">
        <v>10</v>
      </c>
      <c r="O206" t="str">
        <f t="shared" si="27"/>
        <v>Errand/Supplies</v>
      </c>
    </row>
    <row r="207" spans="1:15" x14ac:dyDescent="0.3">
      <c r="A207" t="s">
        <v>1223</v>
      </c>
      <c r="B207" s="2">
        <v>42688</v>
      </c>
      <c r="C207" s="7">
        <v>0.84652777777777777</v>
      </c>
      <c r="D207" t="s">
        <v>1224</v>
      </c>
      <c r="E207" s="2">
        <v>42688</v>
      </c>
      <c r="F207" s="8">
        <v>0.85416666666666663</v>
      </c>
      <c r="G207" t="s">
        <v>7</v>
      </c>
      <c r="H207" s="7">
        <f t="shared" si="24"/>
        <v>7.6388888888888618E-3</v>
      </c>
      <c r="I207" s="13">
        <f t="shared" si="25"/>
        <v>0.18333333333333332</v>
      </c>
      <c r="J207" t="s">
        <v>469</v>
      </c>
      <c r="K207" t="s">
        <v>472</v>
      </c>
      <c r="L207">
        <v>3.7</v>
      </c>
      <c r="M207" s="5">
        <f t="shared" si="26"/>
        <v>20.181818181818183</v>
      </c>
      <c r="N207" t="s">
        <v>10</v>
      </c>
      <c r="O207" t="str">
        <f t="shared" si="27"/>
        <v>Errand/Supplies</v>
      </c>
    </row>
    <row r="208" spans="1:15" x14ac:dyDescent="0.3">
      <c r="A208" t="s">
        <v>1253</v>
      </c>
      <c r="B208" s="2">
        <v>42693</v>
      </c>
      <c r="C208" s="7">
        <v>0.7368055555555556</v>
      </c>
      <c r="D208" t="s">
        <v>1254</v>
      </c>
      <c r="E208" s="2">
        <v>42693</v>
      </c>
      <c r="F208" s="8">
        <v>0.74583333333333324</v>
      </c>
      <c r="G208" t="s">
        <v>7</v>
      </c>
      <c r="H208" s="7">
        <f t="shared" si="24"/>
        <v>9.0277777777776347E-3</v>
      </c>
      <c r="I208" s="13">
        <f t="shared" si="25"/>
        <v>0.21666666666666667</v>
      </c>
      <c r="J208" t="s">
        <v>15</v>
      </c>
      <c r="K208" t="s">
        <v>48</v>
      </c>
      <c r="L208">
        <v>5.4</v>
      </c>
      <c r="M208" s="5">
        <f t="shared" si="26"/>
        <v>24.923076923076923</v>
      </c>
      <c r="N208" t="s">
        <v>10</v>
      </c>
      <c r="O208" t="str">
        <f t="shared" si="27"/>
        <v>Errand/Supplies</v>
      </c>
    </row>
    <row r="209" spans="1:15" x14ac:dyDescent="0.3">
      <c r="A209" t="s">
        <v>1263</v>
      </c>
      <c r="B209" s="2">
        <v>42694</v>
      </c>
      <c r="C209" s="7">
        <v>0.73958333333333337</v>
      </c>
      <c r="D209" t="s">
        <v>1264</v>
      </c>
      <c r="E209" s="2">
        <v>42694</v>
      </c>
      <c r="F209" s="8">
        <v>0.77569444444444446</v>
      </c>
      <c r="G209" t="s">
        <v>7</v>
      </c>
      <c r="H209" s="7">
        <f t="shared" si="24"/>
        <v>3.6111111111111094E-2</v>
      </c>
      <c r="I209" s="13">
        <f t="shared" si="25"/>
        <v>0.8666666666666667</v>
      </c>
      <c r="J209" t="s">
        <v>15</v>
      </c>
      <c r="K209" t="s">
        <v>15</v>
      </c>
      <c r="L209">
        <v>18.5</v>
      </c>
      <c r="M209" s="5">
        <f t="shared" si="26"/>
        <v>21.346153846153847</v>
      </c>
      <c r="N209" t="s">
        <v>10</v>
      </c>
      <c r="O209" t="str">
        <f t="shared" si="27"/>
        <v>Errand/Supplies</v>
      </c>
    </row>
    <row r="210" spans="1:15" x14ac:dyDescent="0.3">
      <c r="A210" t="s">
        <v>1269</v>
      </c>
      <c r="B210" s="2">
        <v>42695</v>
      </c>
      <c r="C210" s="7">
        <v>0.74305555555555547</v>
      </c>
      <c r="D210" t="s">
        <v>1270</v>
      </c>
      <c r="E210" s="2">
        <v>42695</v>
      </c>
      <c r="F210" s="8">
        <v>0.75277777777777777</v>
      </c>
      <c r="G210" t="s">
        <v>7</v>
      </c>
      <c r="H210" s="7">
        <f t="shared" si="24"/>
        <v>9.7222222222222987E-3</v>
      </c>
      <c r="I210" s="13">
        <f t="shared" si="25"/>
        <v>0.23333333333333334</v>
      </c>
      <c r="J210" t="s">
        <v>15</v>
      </c>
      <c r="K210" t="s">
        <v>72</v>
      </c>
      <c r="L210">
        <v>6.7</v>
      </c>
      <c r="M210" s="5">
        <f t="shared" si="26"/>
        <v>28.714285714285715</v>
      </c>
      <c r="N210" t="s">
        <v>10</v>
      </c>
      <c r="O210" t="str">
        <f t="shared" si="27"/>
        <v>Errand/Supplies</v>
      </c>
    </row>
    <row r="211" spans="1:15" x14ac:dyDescent="0.3">
      <c r="A211" t="s">
        <v>1273</v>
      </c>
      <c r="B211" s="2">
        <v>42695</v>
      </c>
      <c r="C211" s="7">
        <v>0.77986111111111101</v>
      </c>
      <c r="D211" t="s">
        <v>1274</v>
      </c>
      <c r="E211" s="2">
        <v>42695</v>
      </c>
      <c r="F211" s="8">
        <v>0.78541666666666676</v>
      </c>
      <c r="G211" t="s">
        <v>7</v>
      </c>
      <c r="H211" s="7">
        <f t="shared" si="24"/>
        <v>5.5555555555557579E-3</v>
      </c>
      <c r="I211" s="13">
        <f t="shared" si="25"/>
        <v>0.13333333333333333</v>
      </c>
      <c r="J211" t="s">
        <v>16</v>
      </c>
      <c r="K211" t="s">
        <v>15</v>
      </c>
      <c r="L211">
        <v>3.4</v>
      </c>
      <c r="M211" s="5">
        <f t="shared" si="26"/>
        <v>25.5</v>
      </c>
      <c r="N211" t="s">
        <v>10</v>
      </c>
      <c r="O211" t="str">
        <f t="shared" si="27"/>
        <v>Errand/Supplies</v>
      </c>
    </row>
    <row r="212" spans="1:15" x14ac:dyDescent="0.3">
      <c r="A212" t="s">
        <v>1305</v>
      </c>
      <c r="B212" s="2">
        <v>42700</v>
      </c>
      <c r="C212" s="7">
        <v>0.82430555555555562</v>
      </c>
      <c r="D212" t="s">
        <v>1306</v>
      </c>
      <c r="E212" s="2">
        <v>42700</v>
      </c>
      <c r="F212" s="8">
        <v>0.82916666666666661</v>
      </c>
      <c r="G212" t="s">
        <v>7</v>
      </c>
      <c r="H212" s="7">
        <f t="shared" si="24"/>
        <v>4.8611111111109828E-3</v>
      </c>
      <c r="I212" s="13">
        <f t="shared" si="25"/>
        <v>0.11666666666666667</v>
      </c>
      <c r="J212" t="s">
        <v>15</v>
      </c>
      <c r="K212" t="s">
        <v>15</v>
      </c>
      <c r="L212">
        <v>2.5</v>
      </c>
      <c r="M212" s="5">
        <f t="shared" si="26"/>
        <v>21.428571428571427</v>
      </c>
      <c r="N212" t="s">
        <v>10</v>
      </c>
      <c r="O212" t="str">
        <f t="shared" si="27"/>
        <v>Errand/Supplies</v>
      </c>
    </row>
    <row r="213" spans="1:15" x14ac:dyDescent="0.3">
      <c r="A213" s="1">
        <v>42381.359027777777</v>
      </c>
      <c r="B213" s="6">
        <f t="shared" ref="B213:B222" si="28">INT(A213:A252)</f>
        <v>42381</v>
      </c>
      <c r="C213" s="7">
        <f t="shared" ref="C213:C222" si="29">(A213-B213)</f>
        <v>0.35902777777664596</v>
      </c>
      <c r="D213" s="1">
        <v>42381.370138888888</v>
      </c>
      <c r="E213" s="6">
        <f t="shared" ref="E213:E222" si="30">INT(D213)</f>
        <v>42381</v>
      </c>
      <c r="F213" s="8">
        <f t="shared" ref="F213:F222" si="31">D213-E213</f>
        <v>0.37013888888759539</v>
      </c>
      <c r="G213" t="s">
        <v>7</v>
      </c>
      <c r="H213" s="7">
        <f t="shared" si="24"/>
        <v>1.1111111110949423E-2</v>
      </c>
      <c r="I213" s="13">
        <f t="shared" si="25"/>
        <v>0.26666666666666666</v>
      </c>
      <c r="J213" t="s">
        <v>15</v>
      </c>
      <c r="K213" t="s">
        <v>15</v>
      </c>
      <c r="L213">
        <v>5.5</v>
      </c>
      <c r="M213" s="5">
        <f t="shared" si="26"/>
        <v>20.625</v>
      </c>
      <c r="N213" t="s">
        <v>10</v>
      </c>
      <c r="O213" t="str">
        <f t="shared" si="27"/>
        <v>Errand/Supplies</v>
      </c>
    </row>
    <row r="214" spans="1:15" x14ac:dyDescent="0.3">
      <c r="A214" s="1">
        <v>42441.774305555555</v>
      </c>
      <c r="B214" s="6">
        <f t="shared" si="28"/>
        <v>42441</v>
      </c>
      <c r="C214" s="7">
        <f t="shared" si="29"/>
        <v>0.77430555555474712</v>
      </c>
      <c r="D214" s="1">
        <v>42441.788888888892</v>
      </c>
      <c r="E214" s="6">
        <f t="shared" si="30"/>
        <v>42441</v>
      </c>
      <c r="F214" s="8">
        <f t="shared" si="31"/>
        <v>0.78888888889196096</v>
      </c>
      <c r="G214" t="s">
        <v>7</v>
      </c>
      <c r="H214" s="7">
        <f t="shared" si="24"/>
        <v>1.4583333337213844E-2</v>
      </c>
      <c r="I214" s="13">
        <f t="shared" si="25"/>
        <v>0.35</v>
      </c>
      <c r="J214" t="s">
        <v>15</v>
      </c>
      <c r="K214" t="s">
        <v>1317</v>
      </c>
      <c r="L214">
        <v>6.6</v>
      </c>
      <c r="M214" s="5">
        <f t="shared" si="26"/>
        <v>18.857142857142858</v>
      </c>
      <c r="N214" t="s">
        <v>10</v>
      </c>
      <c r="O214" t="str">
        <f t="shared" si="27"/>
        <v>Errand/Supplies</v>
      </c>
    </row>
    <row r="215" spans="1:15" x14ac:dyDescent="0.3">
      <c r="A215" s="1">
        <v>42594.59652777778</v>
      </c>
      <c r="B215" s="6">
        <f t="shared" si="28"/>
        <v>42594</v>
      </c>
      <c r="C215" s="7">
        <f t="shared" si="29"/>
        <v>0.59652777777955635</v>
      </c>
      <c r="D215" s="1">
        <v>42594.605555555558</v>
      </c>
      <c r="E215" s="6">
        <f t="shared" si="30"/>
        <v>42594</v>
      </c>
      <c r="F215" s="8">
        <f t="shared" si="31"/>
        <v>0.6055555555576575</v>
      </c>
      <c r="G215" t="s">
        <v>7</v>
      </c>
      <c r="H215" s="7">
        <f t="shared" si="24"/>
        <v>9.0277777781011537E-3</v>
      </c>
      <c r="I215" s="13">
        <f t="shared" si="25"/>
        <v>0.21666666666666667</v>
      </c>
      <c r="J215" t="s">
        <v>15</v>
      </c>
      <c r="K215" t="s">
        <v>15</v>
      </c>
      <c r="L215">
        <v>3.4</v>
      </c>
      <c r="M215" s="5">
        <f t="shared" si="26"/>
        <v>15.692307692307692</v>
      </c>
      <c r="N215" t="s">
        <v>10</v>
      </c>
      <c r="O215" t="str">
        <f t="shared" si="27"/>
        <v>Errand/Supplies</v>
      </c>
    </row>
    <row r="216" spans="1:15" x14ac:dyDescent="0.3">
      <c r="A216" s="1">
        <v>42594.620138888888</v>
      </c>
      <c r="B216" s="6">
        <f t="shared" si="28"/>
        <v>42594</v>
      </c>
      <c r="C216" s="7">
        <f t="shared" si="29"/>
        <v>0.62013888888759539</v>
      </c>
      <c r="D216" s="1">
        <v>42594.626388888886</v>
      </c>
      <c r="E216" s="6">
        <f t="shared" si="30"/>
        <v>42594</v>
      </c>
      <c r="F216" s="8">
        <f t="shared" si="31"/>
        <v>0.62638888888614019</v>
      </c>
      <c r="G216" t="s">
        <v>7</v>
      </c>
      <c r="H216" s="7">
        <f t="shared" si="24"/>
        <v>6.2499999985448085E-3</v>
      </c>
      <c r="I216" s="13">
        <f t="shared" si="25"/>
        <v>0.15</v>
      </c>
      <c r="J216" t="s">
        <v>15</v>
      </c>
      <c r="K216" t="s">
        <v>15</v>
      </c>
      <c r="L216">
        <v>3.4</v>
      </c>
      <c r="M216" s="5">
        <f t="shared" si="26"/>
        <v>22.666666666666668</v>
      </c>
      <c r="N216" t="s">
        <v>10</v>
      </c>
      <c r="O216" t="str">
        <f t="shared" si="27"/>
        <v>Errand/Supplies</v>
      </c>
    </row>
    <row r="217" spans="1:15" x14ac:dyDescent="0.3">
      <c r="A217" s="1">
        <v>42594.893055555556</v>
      </c>
      <c r="B217" s="6">
        <f t="shared" si="28"/>
        <v>42594</v>
      </c>
      <c r="C217" s="7">
        <f t="shared" si="29"/>
        <v>0.89305555555620231</v>
      </c>
      <c r="D217" s="1">
        <v>42594.896527777775</v>
      </c>
      <c r="E217" s="6">
        <f t="shared" si="30"/>
        <v>42594</v>
      </c>
      <c r="F217" s="8">
        <f t="shared" si="31"/>
        <v>0.89652777777519077</v>
      </c>
      <c r="G217" t="s">
        <v>7</v>
      </c>
      <c r="H217" s="7">
        <f t="shared" si="24"/>
        <v>3.4722222189884633E-3</v>
      </c>
      <c r="I217" s="13">
        <f t="shared" si="25"/>
        <v>8.3333333333333329E-2</v>
      </c>
      <c r="J217" t="s">
        <v>15</v>
      </c>
      <c r="K217" t="s">
        <v>15</v>
      </c>
      <c r="L217">
        <v>2</v>
      </c>
      <c r="M217" s="5">
        <f t="shared" si="26"/>
        <v>24</v>
      </c>
      <c r="N217" t="s">
        <v>10</v>
      </c>
      <c r="O217" t="str">
        <f t="shared" si="27"/>
        <v>Errand/Supplies</v>
      </c>
    </row>
    <row r="218" spans="1:15" x14ac:dyDescent="0.3">
      <c r="A218" s="1">
        <v>42625.506249999999</v>
      </c>
      <c r="B218" s="6">
        <f t="shared" si="28"/>
        <v>42625</v>
      </c>
      <c r="C218" s="7">
        <f t="shared" si="29"/>
        <v>0.50624999999854481</v>
      </c>
      <c r="D218" s="1">
        <v>42625.51666666667</v>
      </c>
      <c r="E218" s="6">
        <f t="shared" si="30"/>
        <v>42625</v>
      </c>
      <c r="F218" s="8">
        <f t="shared" si="31"/>
        <v>0.51666666667006211</v>
      </c>
      <c r="G218" t="s">
        <v>7</v>
      </c>
      <c r="H218" s="7">
        <f t="shared" si="24"/>
        <v>1.0416666671517305E-2</v>
      </c>
      <c r="I218" s="13">
        <f t="shared" si="25"/>
        <v>0.25</v>
      </c>
      <c r="J218" t="s">
        <v>15</v>
      </c>
      <c r="K218" t="s">
        <v>48</v>
      </c>
      <c r="L218">
        <v>5.0999999999999996</v>
      </c>
      <c r="M218" s="5">
        <f t="shared" si="26"/>
        <v>20.399999999999999</v>
      </c>
      <c r="N218" t="s">
        <v>10</v>
      </c>
      <c r="O218" t="str">
        <f t="shared" si="27"/>
        <v>Errand/Supplies</v>
      </c>
    </row>
    <row r="219" spans="1:15" x14ac:dyDescent="0.3">
      <c r="A219" s="1">
        <v>42655.612500000003</v>
      </c>
      <c r="B219" s="6">
        <f t="shared" si="28"/>
        <v>42655</v>
      </c>
      <c r="C219" s="7">
        <f t="shared" si="29"/>
        <v>0.61250000000291038</v>
      </c>
      <c r="D219" s="1">
        <v>42655.637499999997</v>
      </c>
      <c r="E219" s="6">
        <f t="shared" si="30"/>
        <v>42655</v>
      </c>
      <c r="F219" s="8">
        <f t="shared" si="31"/>
        <v>0.63749999999708962</v>
      </c>
      <c r="G219" t="s">
        <v>7</v>
      </c>
      <c r="H219" s="7">
        <f t="shared" si="24"/>
        <v>2.4999999994179234E-2</v>
      </c>
      <c r="I219" s="13">
        <f t="shared" si="25"/>
        <v>0.6</v>
      </c>
      <c r="J219" t="s">
        <v>1318</v>
      </c>
      <c r="K219" t="s">
        <v>15</v>
      </c>
      <c r="L219">
        <v>15.6</v>
      </c>
      <c r="M219" s="5">
        <f t="shared" si="26"/>
        <v>26</v>
      </c>
      <c r="N219" t="s">
        <v>10</v>
      </c>
      <c r="O219" t="str">
        <f t="shared" si="27"/>
        <v>Errand/Supplies</v>
      </c>
    </row>
    <row r="220" spans="1:15" x14ac:dyDescent="0.3">
      <c r="A220" s="1">
        <v>42686.795138888891</v>
      </c>
      <c r="B220" s="6">
        <f t="shared" si="28"/>
        <v>42686</v>
      </c>
      <c r="C220" s="7">
        <f t="shared" si="29"/>
        <v>0.79513888889050577</v>
      </c>
      <c r="D220" s="1">
        <v>42686.802083333336</v>
      </c>
      <c r="E220" s="6">
        <f t="shared" si="30"/>
        <v>42686</v>
      </c>
      <c r="F220" s="8">
        <f t="shared" si="31"/>
        <v>0.80208333333575865</v>
      </c>
      <c r="G220" t="s">
        <v>7</v>
      </c>
      <c r="H220" s="7">
        <f t="shared" si="24"/>
        <v>6.9444444452528842E-3</v>
      </c>
      <c r="I220" s="13">
        <f t="shared" si="25"/>
        <v>0.16666666666666666</v>
      </c>
      <c r="J220" t="s">
        <v>16</v>
      </c>
      <c r="K220" t="s">
        <v>15</v>
      </c>
      <c r="L220">
        <v>4.8</v>
      </c>
      <c r="M220" s="5">
        <f t="shared" si="26"/>
        <v>28.8</v>
      </c>
      <c r="N220" t="s">
        <v>10</v>
      </c>
      <c r="O220" t="str">
        <f t="shared" si="27"/>
        <v>Errand/Supplies</v>
      </c>
    </row>
    <row r="221" spans="1:15" x14ac:dyDescent="0.3">
      <c r="A221" s="1">
        <v>42686.908333333333</v>
      </c>
      <c r="B221" s="6">
        <f t="shared" si="28"/>
        <v>42686</v>
      </c>
      <c r="C221" s="7">
        <f t="shared" si="29"/>
        <v>0.90833333333284827</v>
      </c>
      <c r="D221" s="1">
        <v>42686.913888888892</v>
      </c>
      <c r="E221" s="6">
        <f t="shared" si="30"/>
        <v>42686</v>
      </c>
      <c r="F221" s="8">
        <f t="shared" si="31"/>
        <v>0.91388888889196096</v>
      </c>
      <c r="G221" t="s">
        <v>7</v>
      </c>
      <c r="H221" s="7">
        <f t="shared" si="24"/>
        <v>5.5555555591126904E-3</v>
      </c>
      <c r="I221" s="13">
        <f t="shared" si="25"/>
        <v>0.13333333333333333</v>
      </c>
      <c r="J221" t="s">
        <v>15</v>
      </c>
      <c r="K221" t="s">
        <v>15</v>
      </c>
      <c r="L221">
        <v>2.1</v>
      </c>
      <c r="M221" s="5">
        <f t="shared" si="26"/>
        <v>15.75</v>
      </c>
      <c r="N221" t="s">
        <v>10</v>
      </c>
      <c r="O221" t="str">
        <f t="shared" si="27"/>
        <v>Errand/Supplies</v>
      </c>
    </row>
    <row r="222" spans="1:15" x14ac:dyDescent="0.3">
      <c r="A222" s="1">
        <v>42716.556944444441</v>
      </c>
      <c r="B222" s="6">
        <f t="shared" si="28"/>
        <v>42716</v>
      </c>
      <c r="C222" s="7">
        <f t="shared" si="29"/>
        <v>0.55694444444088731</v>
      </c>
      <c r="D222" s="1">
        <v>42716.563888888886</v>
      </c>
      <c r="E222" s="6">
        <f t="shared" si="30"/>
        <v>42716</v>
      </c>
      <c r="F222" s="8">
        <f t="shared" si="31"/>
        <v>0.56388888888614019</v>
      </c>
      <c r="G222" t="s">
        <v>7</v>
      </c>
      <c r="H222" s="7">
        <f t="shared" si="24"/>
        <v>6.9444444452528842E-3</v>
      </c>
      <c r="I222" s="13">
        <f t="shared" si="25"/>
        <v>0.16666666666666666</v>
      </c>
      <c r="J222" t="s">
        <v>15</v>
      </c>
      <c r="K222" t="s">
        <v>15</v>
      </c>
      <c r="L222">
        <v>3.1</v>
      </c>
      <c r="M222" s="5">
        <f t="shared" si="26"/>
        <v>18.600000000000001</v>
      </c>
      <c r="N222" t="s">
        <v>10</v>
      </c>
      <c r="O222" t="str">
        <f t="shared" si="27"/>
        <v>Errand/Supplies</v>
      </c>
    </row>
    <row r="223" spans="1:15" x14ac:dyDescent="0.3">
      <c r="A223" t="s">
        <v>1319</v>
      </c>
      <c r="B223" s="2">
        <v>42717</v>
      </c>
      <c r="C223" s="7">
        <v>0.7631944444444444</v>
      </c>
      <c r="D223" t="s">
        <v>1320</v>
      </c>
      <c r="E223" s="2">
        <v>42717</v>
      </c>
      <c r="F223" s="8">
        <v>0.77013888888888893</v>
      </c>
      <c r="G223" t="s">
        <v>7</v>
      </c>
      <c r="H223" s="7">
        <f t="shared" si="24"/>
        <v>6.9444444444445308E-3</v>
      </c>
      <c r="I223" s="13">
        <f t="shared" si="25"/>
        <v>0.16666666666666666</v>
      </c>
      <c r="J223" t="s">
        <v>15</v>
      </c>
      <c r="K223" t="s">
        <v>15</v>
      </c>
      <c r="L223">
        <v>4.2</v>
      </c>
      <c r="M223" s="5">
        <f t="shared" si="26"/>
        <v>25.200000000000003</v>
      </c>
      <c r="N223" t="s">
        <v>10</v>
      </c>
      <c r="O223" t="str">
        <f t="shared" si="27"/>
        <v>Errand/Supplies</v>
      </c>
    </row>
    <row r="224" spans="1:15" x14ac:dyDescent="0.3">
      <c r="A224" t="s">
        <v>1337</v>
      </c>
      <c r="B224" s="2">
        <v>42722</v>
      </c>
      <c r="C224" s="7">
        <v>0.54375000000000007</v>
      </c>
      <c r="D224" t="s">
        <v>1338</v>
      </c>
      <c r="E224" s="2">
        <v>42722</v>
      </c>
      <c r="F224" s="8">
        <v>0.57013888888888886</v>
      </c>
      <c r="G224" t="s">
        <v>7</v>
      </c>
      <c r="H224" s="7">
        <f t="shared" si="24"/>
        <v>2.6388888888888795E-2</v>
      </c>
      <c r="I224" s="13">
        <f t="shared" si="25"/>
        <v>0.6333333333333333</v>
      </c>
      <c r="J224" t="s">
        <v>72</v>
      </c>
      <c r="K224" t="s">
        <v>72</v>
      </c>
      <c r="L224">
        <v>4.9000000000000004</v>
      </c>
      <c r="M224" s="5">
        <f t="shared" si="26"/>
        <v>7.7368421052631584</v>
      </c>
      <c r="N224" t="s">
        <v>10</v>
      </c>
      <c r="O224" t="str">
        <f t="shared" si="27"/>
        <v>Errand/Supplies</v>
      </c>
    </row>
    <row r="225" spans="1:15" x14ac:dyDescent="0.3">
      <c r="A225" t="s">
        <v>1339</v>
      </c>
      <c r="B225" s="2">
        <v>42722</v>
      </c>
      <c r="C225" s="7">
        <v>0.69305555555555554</v>
      </c>
      <c r="D225" t="s">
        <v>1340</v>
      </c>
      <c r="E225" s="2">
        <v>42722</v>
      </c>
      <c r="F225" s="8">
        <v>0.72569444444444453</v>
      </c>
      <c r="G225" t="s">
        <v>7</v>
      </c>
      <c r="H225" s="7">
        <f t="shared" si="24"/>
        <v>3.2638888888888995E-2</v>
      </c>
      <c r="I225" s="13">
        <f t="shared" si="25"/>
        <v>0.78333333333333333</v>
      </c>
      <c r="J225" t="s">
        <v>72</v>
      </c>
      <c r="K225" t="s">
        <v>72</v>
      </c>
      <c r="L225">
        <v>10.199999999999999</v>
      </c>
      <c r="M225" s="5">
        <f t="shared" si="26"/>
        <v>13.021276595744681</v>
      </c>
      <c r="N225" t="s">
        <v>10</v>
      </c>
      <c r="O225" t="str">
        <f t="shared" si="27"/>
        <v>Errand/Supplies</v>
      </c>
    </row>
    <row r="226" spans="1:15" x14ac:dyDescent="0.3">
      <c r="A226" t="s">
        <v>1343</v>
      </c>
      <c r="B226" s="2">
        <v>42723</v>
      </c>
      <c r="C226" s="7">
        <v>0.38055555555555554</v>
      </c>
      <c r="D226" t="s">
        <v>1344</v>
      </c>
      <c r="E226" s="2">
        <v>42723</v>
      </c>
      <c r="F226" s="8">
        <v>0.39999999999999997</v>
      </c>
      <c r="G226" t="s">
        <v>7</v>
      </c>
      <c r="H226" s="7">
        <f t="shared" si="24"/>
        <v>1.9444444444444431E-2</v>
      </c>
      <c r="I226" s="13">
        <f t="shared" si="25"/>
        <v>0.46666666666666667</v>
      </c>
      <c r="J226" t="s">
        <v>72</v>
      </c>
      <c r="K226" t="s">
        <v>88</v>
      </c>
      <c r="L226">
        <v>7.7</v>
      </c>
      <c r="M226" s="5">
        <f t="shared" si="26"/>
        <v>16.5</v>
      </c>
      <c r="N226" t="s">
        <v>10</v>
      </c>
      <c r="O226" t="str">
        <f t="shared" si="27"/>
        <v>Errand/Supplies</v>
      </c>
    </row>
    <row r="227" spans="1:15" x14ac:dyDescent="0.3">
      <c r="A227" t="s">
        <v>1348</v>
      </c>
      <c r="B227" s="2">
        <v>42723</v>
      </c>
      <c r="C227" s="7">
        <v>0.5444444444444444</v>
      </c>
      <c r="D227" t="s">
        <v>1349</v>
      </c>
      <c r="E227" s="2">
        <v>42723</v>
      </c>
      <c r="F227" s="8">
        <v>0.54722222222222217</v>
      </c>
      <c r="G227" t="s">
        <v>7</v>
      </c>
      <c r="H227" s="7">
        <f t="shared" si="24"/>
        <v>2.7777777777777679E-3</v>
      </c>
      <c r="I227" s="13">
        <f t="shared" si="25"/>
        <v>6.6666666666666666E-2</v>
      </c>
      <c r="J227" t="s">
        <v>1347</v>
      </c>
      <c r="K227" t="s">
        <v>72</v>
      </c>
      <c r="L227">
        <v>0.7</v>
      </c>
      <c r="M227" s="5">
        <f t="shared" si="26"/>
        <v>10.5</v>
      </c>
      <c r="N227" t="s">
        <v>10</v>
      </c>
      <c r="O227" t="str">
        <f t="shared" si="27"/>
        <v>Errand/Supplies</v>
      </c>
    </row>
    <row r="228" spans="1:15" x14ac:dyDescent="0.3">
      <c r="A228" t="s">
        <v>1368</v>
      </c>
      <c r="B228" s="2">
        <v>42724</v>
      </c>
      <c r="C228" s="7">
        <v>0.4375</v>
      </c>
      <c r="D228" t="s">
        <v>1369</v>
      </c>
      <c r="E228" s="2">
        <v>42724</v>
      </c>
      <c r="F228" s="8">
        <v>0.45</v>
      </c>
      <c r="G228" t="s">
        <v>7</v>
      </c>
      <c r="H228" s="7">
        <f t="shared" si="24"/>
        <v>1.2500000000000011E-2</v>
      </c>
      <c r="I228" s="13">
        <f t="shared" si="25"/>
        <v>0.3</v>
      </c>
      <c r="J228" t="s">
        <v>1347</v>
      </c>
      <c r="K228" t="s">
        <v>1347</v>
      </c>
      <c r="L228">
        <v>3.3</v>
      </c>
      <c r="M228" s="5">
        <f t="shared" si="26"/>
        <v>11</v>
      </c>
      <c r="N228" t="s">
        <v>10</v>
      </c>
      <c r="O228" t="str">
        <f t="shared" si="27"/>
        <v>Errand/Supplies</v>
      </c>
    </row>
    <row r="229" spans="1:15" x14ac:dyDescent="0.3">
      <c r="A229" t="s">
        <v>1372</v>
      </c>
      <c r="B229" s="2">
        <v>42724</v>
      </c>
      <c r="C229" s="7">
        <v>0.55138888888888882</v>
      </c>
      <c r="D229" t="s">
        <v>1373</v>
      </c>
      <c r="E229" s="2">
        <v>42724</v>
      </c>
      <c r="F229" s="8">
        <v>0.55555555555555558</v>
      </c>
      <c r="G229" t="s">
        <v>7</v>
      </c>
      <c r="H229" s="7">
        <f t="shared" si="24"/>
        <v>4.1666666666667629E-3</v>
      </c>
      <c r="I229" s="13">
        <f t="shared" si="25"/>
        <v>0.1</v>
      </c>
      <c r="J229" t="s">
        <v>72</v>
      </c>
      <c r="K229" t="s">
        <v>72</v>
      </c>
      <c r="L229">
        <v>1.7</v>
      </c>
      <c r="M229" s="5">
        <f t="shared" si="26"/>
        <v>17</v>
      </c>
      <c r="N229" t="s">
        <v>10</v>
      </c>
      <c r="O229" t="str">
        <f t="shared" si="27"/>
        <v>Errand/Supplies</v>
      </c>
    </row>
    <row r="230" spans="1:15" x14ac:dyDescent="0.3">
      <c r="A230" t="s">
        <v>1376</v>
      </c>
      <c r="B230" s="2">
        <v>42724</v>
      </c>
      <c r="C230" s="7">
        <v>0.67638888888888893</v>
      </c>
      <c r="D230" t="s">
        <v>1377</v>
      </c>
      <c r="E230" s="2">
        <v>42724</v>
      </c>
      <c r="F230" s="8">
        <v>0.68333333333333324</v>
      </c>
      <c r="G230" t="s">
        <v>7</v>
      </c>
      <c r="H230" s="7">
        <f t="shared" si="24"/>
        <v>6.9444444444443088E-3</v>
      </c>
      <c r="I230" s="13">
        <f t="shared" si="25"/>
        <v>0.16666666666666666</v>
      </c>
      <c r="J230" t="s">
        <v>88</v>
      </c>
      <c r="K230" t="s">
        <v>88</v>
      </c>
      <c r="L230">
        <v>1.8</v>
      </c>
      <c r="M230" s="5">
        <f t="shared" si="26"/>
        <v>10.8</v>
      </c>
      <c r="N230" t="s">
        <v>10</v>
      </c>
      <c r="O230" t="str">
        <f t="shared" si="27"/>
        <v>Errand/Supplies</v>
      </c>
    </row>
    <row r="231" spans="1:15" x14ac:dyDescent="0.3">
      <c r="A231" t="s">
        <v>1378</v>
      </c>
      <c r="B231" s="2">
        <v>42724</v>
      </c>
      <c r="C231" s="7">
        <v>0.7055555555555556</v>
      </c>
      <c r="D231" t="s">
        <v>1379</v>
      </c>
      <c r="E231" s="2">
        <v>42724</v>
      </c>
      <c r="F231" s="8">
        <v>0.71319444444444446</v>
      </c>
      <c r="G231" t="s">
        <v>7</v>
      </c>
      <c r="H231" s="7">
        <f t="shared" si="24"/>
        <v>7.6388888888888618E-3</v>
      </c>
      <c r="I231" s="13">
        <f t="shared" si="25"/>
        <v>0.18333333333333332</v>
      </c>
      <c r="J231" t="s">
        <v>88</v>
      </c>
      <c r="K231" t="s">
        <v>88</v>
      </c>
      <c r="L231">
        <v>1.4</v>
      </c>
      <c r="M231" s="5">
        <f t="shared" si="26"/>
        <v>7.6363636363636367</v>
      </c>
      <c r="N231" t="s">
        <v>10</v>
      </c>
      <c r="O231" t="str">
        <f t="shared" si="27"/>
        <v>Errand/Supplies</v>
      </c>
    </row>
    <row r="232" spans="1:15" x14ac:dyDescent="0.3">
      <c r="A232" t="s">
        <v>1384</v>
      </c>
      <c r="B232" s="2">
        <v>42725</v>
      </c>
      <c r="C232" s="7">
        <v>0.42638888888888887</v>
      </c>
      <c r="D232" t="s">
        <v>1385</v>
      </c>
      <c r="E232" s="2">
        <v>42725</v>
      </c>
      <c r="F232" s="8">
        <v>0.4375</v>
      </c>
      <c r="G232" t="s">
        <v>7</v>
      </c>
      <c r="H232" s="7">
        <f t="shared" si="24"/>
        <v>1.1111111111111127E-2</v>
      </c>
      <c r="I232" s="13">
        <f t="shared" si="25"/>
        <v>0.26666666666666666</v>
      </c>
      <c r="J232" t="s">
        <v>72</v>
      </c>
      <c r="K232" t="s">
        <v>88</v>
      </c>
      <c r="L232">
        <v>4.9000000000000004</v>
      </c>
      <c r="M232" s="5">
        <f t="shared" si="26"/>
        <v>18.375</v>
      </c>
      <c r="N232" t="s">
        <v>10</v>
      </c>
      <c r="O232" t="str">
        <f t="shared" si="27"/>
        <v>Errand/Supplies</v>
      </c>
    </row>
    <row r="233" spans="1:15" x14ac:dyDescent="0.3">
      <c r="A233" t="s">
        <v>1390</v>
      </c>
      <c r="B233" s="2">
        <v>42725</v>
      </c>
      <c r="C233" s="7">
        <v>0.65138888888888891</v>
      </c>
      <c r="D233" t="s">
        <v>1391</v>
      </c>
      <c r="E233" s="2">
        <v>42725</v>
      </c>
      <c r="F233" s="8">
        <v>0.65902777777777777</v>
      </c>
      <c r="G233" t="s">
        <v>7</v>
      </c>
      <c r="H233" s="7">
        <f t="shared" si="24"/>
        <v>7.6388888888888618E-3</v>
      </c>
      <c r="I233" s="13">
        <f t="shared" si="25"/>
        <v>0.18333333333333332</v>
      </c>
      <c r="J233" t="s">
        <v>72</v>
      </c>
      <c r="K233" t="s">
        <v>72</v>
      </c>
      <c r="L233">
        <v>2</v>
      </c>
      <c r="M233" s="5">
        <f t="shared" si="26"/>
        <v>10.90909090909091</v>
      </c>
      <c r="N233" t="s">
        <v>10</v>
      </c>
      <c r="O233" t="str">
        <f t="shared" si="27"/>
        <v>Errand/Supplies</v>
      </c>
    </row>
    <row r="234" spans="1:15" x14ac:dyDescent="0.3">
      <c r="A234" t="s">
        <v>1392</v>
      </c>
      <c r="B234" s="2">
        <v>42725</v>
      </c>
      <c r="C234" s="7">
        <v>0.66319444444444442</v>
      </c>
      <c r="D234" t="s">
        <v>1393</v>
      </c>
      <c r="E234" s="2">
        <v>42725</v>
      </c>
      <c r="F234" s="8">
        <v>0.67013888888888884</v>
      </c>
      <c r="G234" t="s">
        <v>7</v>
      </c>
      <c r="H234" s="7">
        <f t="shared" si="24"/>
        <v>6.9444444444444198E-3</v>
      </c>
      <c r="I234" s="13">
        <f t="shared" si="25"/>
        <v>0.16666666666666666</v>
      </c>
      <c r="J234" t="s">
        <v>72</v>
      </c>
      <c r="K234" t="s">
        <v>88</v>
      </c>
      <c r="L234">
        <v>2.1</v>
      </c>
      <c r="M234" s="5">
        <f t="shared" si="26"/>
        <v>12.600000000000001</v>
      </c>
      <c r="N234" t="s">
        <v>10</v>
      </c>
      <c r="O234" t="str">
        <f t="shared" si="27"/>
        <v>Errand/Supplies</v>
      </c>
    </row>
    <row r="235" spans="1:15" x14ac:dyDescent="0.3">
      <c r="A235" t="s">
        <v>1410</v>
      </c>
      <c r="B235" s="2">
        <v>42726</v>
      </c>
      <c r="C235" s="7">
        <v>0.7715277777777777</v>
      </c>
      <c r="D235" t="s">
        <v>1411</v>
      </c>
      <c r="E235" s="2">
        <v>42726</v>
      </c>
      <c r="F235" s="8">
        <v>0.77569444444444446</v>
      </c>
      <c r="G235" t="s">
        <v>7</v>
      </c>
      <c r="H235" s="7">
        <f t="shared" si="24"/>
        <v>4.1666666666667629E-3</v>
      </c>
      <c r="I235" s="13">
        <f t="shared" si="25"/>
        <v>0.1</v>
      </c>
      <c r="J235" t="s">
        <v>72</v>
      </c>
      <c r="K235" t="s">
        <v>72</v>
      </c>
      <c r="L235">
        <v>3.2</v>
      </c>
      <c r="M235" s="5">
        <f t="shared" si="26"/>
        <v>32</v>
      </c>
      <c r="N235" t="s">
        <v>10</v>
      </c>
      <c r="O235" t="str">
        <f t="shared" si="27"/>
        <v>Errand/Supplies</v>
      </c>
    </row>
    <row r="236" spans="1:15" x14ac:dyDescent="0.3">
      <c r="A236" t="s">
        <v>1426</v>
      </c>
      <c r="B236" s="2">
        <v>42727</v>
      </c>
      <c r="C236" s="7">
        <v>0.68263888888888891</v>
      </c>
      <c r="D236" t="s">
        <v>1427</v>
      </c>
      <c r="E236" s="2">
        <v>42727</v>
      </c>
      <c r="F236" s="8">
        <v>0.69027777777777777</v>
      </c>
      <c r="G236" t="s">
        <v>7</v>
      </c>
      <c r="H236" s="7">
        <f t="shared" si="24"/>
        <v>7.6388888888888618E-3</v>
      </c>
      <c r="I236" s="13">
        <f t="shared" si="25"/>
        <v>0.18333333333333332</v>
      </c>
      <c r="J236" t="s">
        <v>72</v>
      </c>
      <c r="K236" t="s">
        <v>72</v>
      </c>
      <c r="L236">
        <v>1.3</v>
      </c>
      <c r="M236" s="5">
        <f t="shared" si="26"/>
        <v>7.0909090909090917</v>
      </c>
      <c r="N236" t="s">
        <v>10</v>
      </c>
      <c r="O236" t="str">
        <f t="shared" si="27"/>
        <v>Errand/Supplies</v>
      </c>
    </row>
    <row r="237" spans="1:15" x14ac:dyDescent="0.3">
      <c r="A237" t="s">
        <v>1436</v>
      </c>
      <c r="B237" s="2">
        <v>42728</v>
      </c>
      <c r="C237" s="7">
        <v>0.53541666666666665</v>
      </c>
      <c r="D237" t="s">
        <v>1437</v>
      </c>
      <c r="E237" s="2">
        <v>42728</v>
      </c>
      <c r="F237" s="8">
        <v>0.53680555555555554</v>
      </c>
      <c r="G237" t="s">
        <v>7</v>
      </c>
      <c r="H237" s="7">
        <f t="shared" si="24"/>
        <v>1.388888888888884E-3</v>
      </c>
      <c r="I237" s="13">
        <f t="shared" si="25"/>
        <v>3.3333333333333333E-2</v>
      </c>
      <c r="J237" t="s">
        <v>894</v>
      </c>
      <c r="K237" t="s">
        <v>894</v>
      </c>
      <c r="L237">
        <v>1.6</v>
      </c>
      <c r="M237" s="5">
        <f t="shared" si="26"/>
        <v>48</v>
      </c>
      <c r="N237" t="s">
        <v>10</v>
      </c>
      <c r="O237" t="str">
        <f t="shared" si="27"/>
        <v>Errand/Supplies</v>
      </c>
    </row>
    <row r="238" spans="1:15" x14ac:dyDescent="0.3">
      <c r="A238" t="s">
        <v>1438</v>
      </c>
      <c r="B238" s="2">
        <v>42728</v>
      </c>
      <c r="C238" s="7">
        <v>0.54722222222222217</v>
      </c>
      <c r="D238" t="s">
        <v>1439</v>
      </c>
      <c r="E238" s="2">
        <v>42728</v>
      </c>
      <c r="F238" s="8">
        <v>0.56180555555555556</v>
      </c>
      <c r="G238" t="s">
        <v>7</v>
      </c>
      <c r="H238" s="7">
        <f t="shared" si="24"/>
        <v>1.4583333333333393E-2</v>
      </c>
      <c r="I238" s="13">
        <f t="shared" si="25"/>
        <v>0.35</v>
      </c>
      <c r="J238" t="s">
        <v>894</v>
      </c>
      <c r="K238" t="s">
        <v>894</v>
      </c>
      <c r="L238">
        <v>3.6</v>
      </c>
      <c r="M238" s="5">
        <f t="shared" si="26"/>
        <v>10.285714285714286</v>
      </c>
      <c r="N238" t="s">
        <v>10</v>
      </c>
      <c r="O238" t="str">
        <f t="shared" si="27"/>
        <v>Errand/Supplies</v>
      </c>
    </row>
    <row r="239" spans="1:15" x14ac:dyDescent="0.3">
      <c r="A239" t="s">
        <v>1440</v>
      </c>
      <c r="B239" s="2">
        <v>42728</v>
      </c>
      <c r="C239" s="7">
        <v>0.71666666666666667</v>
      </c>
      <c r="D239" t="s">
        <v>1441</v>
      </c>
      <c r="E239" s="2">
        <v>42728</v>
      </c>
      <c r="F239" s="8">
        <v>0.7270833333333333</v>
      </c>
      <c r="G239" t="s">
        <v>7</v>
      </c>
      <c r="H239" s="7">
        <f t="shared" si="24"/>
        <v>1.041666666666663E-2</v>
      </c>
      <c r="I239" s="13">
        <f t="shared" si="25"/>
        <v>0.25</v>
      </c>
      <c r="J239" t="s">
        <v>894</v>
      </c>
      <c r="K239" t="s">
        <v>894</v>
      </c>
      <c r="L239">
        <v>1.7</v>
      </c>
      <c r="M239" s="5">
        <f t="shared" si="26"/>
        <v>6.8</v>
      </c>
      <c r="N239" t="s">
        <v>10</v>
      </c>
      <c r="O239" t="str">
        <f t="shared" si="27"/>
        <v>Errand/Supplies</v>
      </c>
    </row>
    <row r="240" spans="1:15" x14ac:dyDescent="0.3">
      <c r="A240" t="s">
        <v>1444</v>
      </c>
      <c r="B240" s="2">
        <v>42728</v>
      </c>
      <c r="C240" s="7">
        <v>0.9194444444444444</v>
      </c>
      <c r="D240" t="s">
        <v>1445</v>
      </c>
      <c r="E240" s="2">
        <v>42728</v>
      </c>
      <c r="F240" s="8">
        <v>0.92291666666666661</v>
      </c>
      <c r="G240" t="s">
        <v>7</v>
      </c>
      <c r="H240" s="7">
        <f t="shared" si="24"/>
        <v>3.4722222222222099E-3</v>
      </c>
      <c r="I240" s="13">
        <f t="shared" si="25"/>
        <v>8.3333333333333329E-2</v>
      </c>
      <c r="J240" t="s">
        <v>894</v>
      </c>
      <c r="K240" t="s">
        <v>894</v>
      </c>
      <c r="L240">
        <v>0.6</v>
      </c>
      <c r="M240" s="5">
        <f t="shared" si="26"/>
        <v>7.2</v>
      </c>
      <c r="N240" t="s">
        <v>10</v>
      </c>
      <c r="O240" t="str">
        <f t="shared" si="27"/>
        <v>Errand/Supplies</v>
      </c>
    </row>
    <row r="241" spans="1:15" x14ac:dyDescent="0.3">
      <c r="A241" t="s">
        <v>1446</v>
      </c>
      <c r="B241" s="2">
        <v>42729</v>
      </c>
      <c r="C241" s="7">
        <v>6.9444444444444441E-3</v>
      </c>
      <c r="D241" t="s">
        <v>1447</v>
      </c>
      <c r="E241" s="2">
        <v>42729</v>
      </c>
      <c r="F241" s="8">
        <v>9.7222222222222224E-3</v>
      </c>
      <c r="G241" t="s">
        <v>7</v>
      </c>
      <c r="H241" s="7">
        <f t="shared" si="24"/>
        <v>2.7777777777777783E-3</v>
      </c>
      <c r="I241" s="13">
        <f t="shared" si="25"/>
        <v>6.6666666666666666E-2</v>
      </c>
      <c r="J241" t="s">
        <v>894</v>
      </c>
      <c r="K241" t="s">
        <v>894</v>
      </c>
      <c r="L241">
        <v>0.6</v>
      </c>
      <c r="M241" s="5">
        <f t="shared" si="26"/>
        <v>9</v>
      </c>
      <c r="N241" t="s">
        <v>10</v>
      </c>
      <c r="O241" t="str">
        <f t="shared" si="27"/>
        <v>Errand/Supplies</v>
      </c>
    </row>
    <row r="242" spans="1:15" x14ac:dyDescent="0.3">
      <c r="A242" t="s">
        <v>1477</v>
      </c>
      <c r="B242" s="2">
        <v>42732</v>
      </c>
      <c r="C242" s="7">
        <v>0.48749999999999999</v>
      </c>
      <c r="D242" t="s">
        <v>1478</v>
      </c>
      <c r="E242" s="2">
        <v>42732</v>
      </c>
      <c r="F242" s="8">
        <v>0.5083333333333333</v>
      </c>
      <c r="G242" t="s">
        <v>7</v>
      </c>
      <c r="H242" s="7">
        <f t="shared" si="24"/>
        <v>2.0833333333333315E-2</v>
      </c>
      <c r="I242" s="13">
        <f t="shared" si="25"/>
        <v>0.5</v>
      </c>
      <c r="J242" t="s">
        <v>72</v>
      </c>
      <c r="K242" t="s">
        <v>1464</v>
      </c>
      <c r="L242">
        <v>10.4</v>
      </c>
      <c r="M242" s="5">
        <f t="shared" si="26"/>
        <v>20.8</v>
      </c>
      <c r="N242" t="s">
        <v>10</v>
      </c>
      <c r="O242" t="str">
        <f t="shared" si="27"/>
        <v>Errand/Supplies</v>
      </c>
    </row>
    <row r="243" spans="1:15" x14ac:dyDescent="0.3">
      <c r="A243" t="s">
        <v>1479</v>
      </c>
      <c r="B243" s="2">
        <v>42732</v>
      </c>
      <c r="C243" s="7">
        <v>0.57847222222222217</v>
      </c>
      <c r="D243" t="s">
        <v>1480</v>
      </c>
      <c r="E243" s="2">
        <v>42732</v>
      </c>
      <c r="F243" s="8">
        <v>0.58402777777777781</v>
      </c>
      <c r="G243" t="s">
        <v>7</v>
      </c>
      <c r="H243" s="7">
        <f t="shared" si="24"/>
        <v>5.5555555555556468E-3</v>
      </c>
      <c r="I243" s="13">
        <f t="shared" si="25"/>
        <v>0.13333333333333333</v>
      </c>
      <c r="J243" t="s">
        <v>1464</v>
      </c>
      <c r="K243" t="s">
        <v>1464</v>
      </c>
      <c r="L243">
        <v>2</v>
      </c>
      <c r="M243" s="5">
        <f t="shared" si="26"/>
        <v>15</v>
      </c>
      <c r="N243" t="s">
        <v>10</v>
      </c>
      <c r="O243" t="str">
        <f t="shared" si="27"/>
        <v>Errand/Supplies</v>
      </c>
    </row>
    <row r="244" spans="1:15" x14ac:dyDescent="0.3">
      <c r="A244" t="s">
        <v>1483</v>
      </c>
      <c r="B244" s="2">
        <v>42732</v>
      </c>
      <c r="C244" s="7">
        <v>0.70972222222222225</v>
      </c>
      <c r="D244" t="s">
        <v>1484</v>
      </c>
      <c r="E244" s="2">
        <v>42732</v>
      </c>
      <c r="F244" s="8">
        <v>0.71944444444444444</v>
      </c>
      <c r="G244" t="s">
        <v>7</v>
      </c>
      <c r="H244" s="7">
        <f t="shared" si="24"/>
        <v>9.7222222222221877E-3</v>
      </c>
      <c r="I244" s="13">
        <f t="shared" si="25"/>
        <v>0.23333333333333334</v>
      </c>
      <c r="J244" t="s">
        <v>72</v>
      </c>
      <c r="K244" t="s">
        <v>1464</v>
      </c>
      <c r="L244">
        <v>4.4000000000000004</v>
      </c>
      <c r="M244" s="5">
        <f t="shared" si="26"/>
        <v>18.857142857142858</v>
      </c>
      <c r="N244" t="s">
        <v>10</v>
      </c>
      <c r="O244" t="str">
        <f t="shared" si="27"/>
        <v>Errand/Supplies</v>
      </c>
    </row>
    <row r="245" spans="1:15" x14ac:dyDescent="0.3">
      <c r="A245" t="s">
        <v>1485</v>
      </c>
      <c r="B245" s="2">
        <v>42732</v>
      </c>
      <c r="C245" s="7">
        <v>0.7729166666666667</v>
      </c>
      <c r="D245" t="s">
        <v>1486</v>
      </c>
      <c r="E245" s="2">
        <v>42732</v>
      </c>
      <c r="F245" s="8">
        <v>0.78888888888888886</v>
      </c>
      <c r="G245" t="s">
        <v>7</v>
      </c>
      <c r="H245" s="7">
        <f t="shared" si="24"/>
        <v>1.5972222222222165E-2</v>
      </c>
      <c r="I245" s="13">
        <f t="shared" si="25"/>
        <v>0.38333333333333336</v>
      </c>
      <c r="J245" t="s">
        <v>1464</v>
      </c>
      <c r="K245" t="s">
        <v>1464</v>
      </c>
      <c r="L245">
        <v>3.8</v>
      </c>
      <c r="M245" s="5">
        <f t="shared" si="26"/>
        <v>9.9130434782608692</v>
      </c>
      <c r="N245" t="s">
        <v>10</v>
      </c>
      <c r="O245" t="str">
        <f t="shared" si="27"/>
        <v>Errand/Supplies</v>
      </c>
    </row>
    <row r="246" spans="1:15" x14ac:dyDescent="0.3">
      <c r="A246" t="s">
        <v>1487</v>
      </c>
      <c r="B246" s="2">
        <v>42732</v>
      </c>
      <c r="C246" s="7">
        <v>0.9472222222222223</v>
      </c>
      <c r="D246" t="s">
        <v>1488</v>
      </c>
      <c r="E246" s="2">
        <v>42732</v>
      </c>
      <c r="F246" s="8">
        <v>0.97083333333333333</v>
      </c>
      <c r="G246" t="s">
        <v>7</v>
      </c>
      <c r="H246" s="7">
        <f t="shared" si="24"/>
        <v>2.3611111111111027E-2</v>
      </c>
      <c r="I246" s="13">
        <f t="shared" si="25"/>
        <v>0.56666666666666665</v>
      </c>
      <c r="J246" t="s">
        <v>1464</v>
      </c>
      <c r="K246" t="s">
        <v>1464</v>
      </c>
      <c r="L246">
        <v>5.0999999999999996</v>
      </c>
      <c r="M246" s="5">
        <f t="shared" si="26"/>
        <v>9</v>
      </c>
      <c r="N246" t="s">
        <v>10</v>
      </c>
      <c r="O246" t="str">
        <f t="shared" si="27"/>
        <v>Errand/Supplies</v>
      </c>
    </row>
    <row r="247" spans="1:15" x14ac:dyDescent="0.3">
      <c r="A247" t="s">
        <v>1489</v>
      </c>
      <c r="B247" s="2">
        <v>42733</v>
      </c>
      <c r="C247" s="7">
        <v>3.4027777777777775E-2</v>
      </c>
      <c r="D247" t="s">
        <v>1490</v>
      </c>
      <c r="E247" s="2">
        <v>42733</v>
      </c>
      <c r="F247" s="8">
        <v>4.5833333333333337E-2</v>
      </c>
      <c r="G247" t="s">
        <v>7</v>
      </c>
      <c r="H247" s="7">
        <f t="shared" si="24"/>
        <v>1.1805555555555562E-2</v>
      </c>
      <c r="I247" s="13">
        <f t="shared" si="25"/>
        <v>0.28333333333333333</v>
      </c>
      <c r="J247" t="s">
        <v>1464</v>
      </c>
      <c r="K247" t="s">
        <v>1464</v>
      </c>
      <c r="L247">
        <v>3.8</v>
      </c>
      <c r="M247" s="5">
        <f t="shared" si="26"/>
        <v>13.411764705882353</v>
      </c>
      <c r="N247" t="s">
        <v>10</v>
      </c>
      <c r="O247" t="str">
        <f t="shared" si="27"/>
        <v>Errand/Supplies</v>
      </c>
    </row>
    <row r="248" spans="1:15" x14ac:dyDescent="0.3">
      <c r="A248" t="s">
        <v>1495</v>
      </c>
      <c r="B248" s="2">
        <v>42733</v>
      </c>
      <c r="C248" s="7">
        <v>0.51736111111111105</v>
      </c>
      <c r="D248" t="s">
        <v>1496</v>
      </c>
      <c r="E248" s="2">
        <v>42733</v>
      </c>
      <c r="F248" s="8">
        <v>0.5229166666666667</v>
      </c>
      <c r="G248" t="s">
        <v>7</v>
      </c>
      <c r="H248" s="7">
        <f t="shared" si="24"/>
        <v>5.5555555555556468E-3</v>
      </c>
      <c r="I248" s="13">
        <f t="shared" si="25"/>
        <v>0.13333333333333333</v>
      </c>
      <c r="J248" t="s">
        <v>1464</v>
      </c>
      <c r="K248" t="s">
        <v>1464</v>
      </c>
      <c r="L248">
        <v>1.4</v>
      </c>
      <c r="M248" s="5">
        <f t="shared" si="26"/>
        <v>10.5</v>
      </c>
      <c r="N248" t="s">
        <v>10</v>
      </c>
      <c r="O248" t="str">
        <f t="shared" si="27"/>
        <v>Errand/Supplies</v>
      </c>
    </row>
    <row r="249" spans="1:15" x14ac:dyDescent="0.3">
      <c r="A249" t="s">
        <v>1497</v>
      </c>
      <c r="B249" s="2">
        <v>42733</v>
      </c>
      <c r="C249" s="7">
        <v>0.55347222222222225</v>
      </c>
      <c r="D249" t="s">
        <v>1498</v>
      </c>
      <c r="E249" s="2">
        <v>42733</v>
      </c>
      <c r="F249" s="8">
        <v>0.55833333333333335</v>
      </c>
      <c r="G249" t="s">
        <v>7</v>
      </c>
      <c r="H249" s="7">
        <f t="shared" si="24"/>
        <v>4.8611111111110938E-3</v>
      </c>
      <c r="I249" s="13">
        <f t="shared" si="25"/>
        <v>0.11666666666666667</v>
      </c>
      <c r="J249" t="s">
        <v>1464</v>
      </c>
      <c r="K249" t="s">
        <v>1464</v>
      </c>
      <c r="L249">
        <v>1.1000000000000001</v>
      </c>
      <c r="M249" s="5">
        <f t="shared" si="26"/>
        <v>9.4285714285714288</v>
      </c>
      <c r="N249" t="s">
        <v>10</v>
      </c>
      <c r="O249" t="str">
        <f t="shared" si="27"/>
        <v>Errand/Supplies</v>
      </c>
    </row>
    <row r="250" spans="1:15" x14ac:dyDescent="0.3">
      <c r="A250" t="s">
        <v>1503</v>
      </c>
      <c r="B250" s="2">
        <v>42733</v>
      </c>
      <c r="C250" s="7">
        <v>0.62847222222222221</v>
      </c>
      <c r="D250" t="s">
        <v>1504</v>
      </c>
      <c r="E250" s="2">
        <v>42733</v>
      </c>
      <c r="F250" s="8">
        <v>0.63611111111111118</v>
      </c>
      <c r="G250" t="s">
        <v>7</v>
      </c>
      <c r="H250" s="7">
        <f t="shared" si="24"/>
        <v>7.6388888888889728E-3</v>
      </c>
      <c r="I250" s="13">
        <f t="shared" si="25"/>
        <v>0.18333333333333332</v>
      </c>
      <c r="J250" t="s">
        <v>1464</v>
      </c>
      <c r="K250" t="s">
        <v>1464</v>
      </c>
      <c r="L250">
        <v>1.3</v>
      </c>
      <c r="M250" s="5">
        <f t="shared" si="26"/>
        <v>7.0909090909090917</v>
      </c>
      <c r="N250" t="s">
        <v>10</v>
      </c>
      <c r="O250" t="str">
        <f t="shared" si="27"/>
        <v>Errand/Supplies</v>
      </c>
    </row>
    <row r="251" spans="1:15" x14ac:dyDescent="0.3">
      <c r="A251" t="s">
        <v>1515</v>
      </c>
      <c r="B251" s="2">
        <v>42734</v>
      </c>
      <c r="C251" s="7">
        <v>0.42708333333333331</v>
      </c>
      <c r="D251" t="s">
        <v>1516</v>
      </c>
      <c r="E251" s="2">
        <v>42734</v>
      </c>
      <c r="F251" s="8">
        <v>0.43958333333333338</v>
      </c>
      <c r="G251" t="s">
        <v>7</v>
      </c>
      <c r="H251" s="7">
        <f t="shared" si="24"/>
        <v>1.2500000000000067E-2</v>
      </c>
      <c r="I251" s="13">
        <f t="shared" si="25"/>
        <v>0.3</v>
      </c>
      <c r="J251" t="s">
        <v>1464</v>
      </c>
      <c r="K251" t="s">
        <v>1464</v>
      </c>
      <c r="L251">
        <v>2.8</v>
      </c>
      <c r="M251" s="5">
        <f t="shared" si="26"/>
        <v>9.3333333333333339</v>
      </c>
      <c r="N251" t="s">
        <v>10</v>
      </c>
      <c r="O251" t="str">
        <f t="shared" si="27"/>
        <v>Errand/Supplies</v>
      </c>
    </row>
    <row r="252" spans="1:15" x14ac:dyDescent="0.3">
      <c r="A252" t="s">
        <v>1517</v>
      </c>
      <c r="B252" s="2">
        <v>42734</v>
      </c>
      <c r="C252" s="7">
        <v>0.47986111111111113</v>
      </c>
      <c r="D252" t="s">
        <v>1518</v>
      </c>
      <c r="E252" s="2">
        <v>42734</v>
      </c>
      <c r="F252" s="8">
        <v>0.49722222222222223</v>
      </c>
      <c r="G252" t="s">
        <v>7</v>
      </c>
      <c r="H252" s="7">
        <f t="shared" si="24"/>
        <v>1.7361111111111105E-2</v>
      </c>
      <c r="I252" s="13">
        <f t="shared" si="25"/>
        <v>0.41666666666666669</v>
      </c>
      <c r="J252" t="s">
        <v>1464</v>
      </c>
      <c r="K252" t="s">
        <v>1464</v>
      </c>
      <c r="L252">
        <v>2.9</v>
      </c>
      <c r="M252" s="5">
        <f t="shared" si="26"/>
        <v>6.9599999999999991</v>
      </c>
      <c r="N252" t="s">
        <v>10</v>
      </c>
      <c r="O252" t="str">
        <f t="shared" si="27"/>
        <v>Errand/Supplies</v>
      </c>
    </row>
    <row r="253" spans="1:15" x14ac:dyDescent="0.3">
      <c r="A253" t="s">
        <v>1519</v>
      </c>
      <c r="B253" s="2">
        <v>42734</v>
      </c>
      <c r="C253" s="7">
        <v>0.65347222222222223</v>
      </c>
      <c r="D253" t="s">
        <v>1520</v>
      </c>
      <c r="E253" s="2">
        <v>42734</v>
      </c>
      <c r="F253" s="8">
        <v>0.66875000000000007</v>
      </c>
      <c r="G253" t="s">
        <v>7</v>
      </c>
      <c r="H253" s="7">
        <f t="shared" si="24"/>
        <v>1.5277777777777835E-2</v>
      </c>
      <c r="I253" s="13">
        <f t="shared" si="25"/>
        <v>0.36666666666666664</v>
      </c>
      <c r="J253" t="s">
        <v>1464</v>
      </c>
      <c r="K253" t="s">
        <v>1464</v>
      </c>
      <c r="L253">
        <v>4.5999999999999996</v>
      </c>
      <c r="M253" s="5">
        <f t="shared" si="26"/>
        <v>12.545454545454545</v>
      </c>
      <c r="N253" t="s">
        <v>10</v>
      </c>
      <c r="O253" t="str">
        <f t="shared" si="27"/>
        <v>Errand/Supplies</v>
      </c>
    </row>
    <row r="254" spans="1:15" x14ac:dyDescent="0.3">
      <c r="A254" s="1">
        <v>42370.882638888892</v>
      </c>
      <c r="B254" s="2">
        <f t="shared" ref="B254:B259" si="32">INT(A254)</f>
        <v>42370</v>
      </c>
      <c r="C254" s="7">
        <f t="shared" ref="C254:C259" si="33">(A254-B254)</f>
        <v>0.88263888889196096</v>
      </c>
      <c r="D254" s="1">
        <v>42370.886805555558</v>
      </c>
      <c r="E254" s="6">
        <f t="shared" ref="E254:E259" si="34">INT(D254)</f>
        <v>42370</v>
      </c>
      <c r="F254" s="8">
        <f t="shared" ref="F254:F259" si="35">D254-E254</f>
        <v>0.8868055555576575</v>
      </c>
      <c r="G254" t="s">
        <v>7</v>
      </c>
      <c r="H254" s="7">
        <f t="shared" si="24"/>
        <v>4.166666665696539E-3</v>
      </c>
      <c r="I254" s="13">
        <f t="shared" si="25"/>
        <v>0.1</v>
      </c>
      <c r="J254" t="s">
        <v>8</v>
      </c>
      <c r="K254" t="s">
        <v>8</v>
      </c>
      <c r="L254">
        <v>5.0999999999999996</v>
      </c>
      <c r="M254" s="5">
        <f t="shared" si="26"/>
        <v>50.999999999999993</v>
      </c>
      <c r="N254" t="s">
        <v>9</v>
      </c>
      <c r="O254" t="str">
        <f t="shared" si="27"/>
        <v>Meal/Entertain</v>
      </c>
    </row>
    <row r="255" spans="1:15" x14ac:dyDescent="0.3">
      <c r="A255" s="1">
        <v>42522.71875</v>
      </c>
      <c r="B255" s="6">
        <f t="shared" si="32"/>
        <v>42522</v>
      </c>
      <c r="C255" s="7">
        <f t="shared" si="33"/>
        <v>0.71875</v>
      </c>
      <c r="D255" s="1">
        <v>42522.72152777778</v>
      </c>
      <c r="E255" s="6">
        <f t="shared" si="34"/>
        <v>42522</v>
      </c>
      <c r="F255" s="8">
        <f t="shared" si="35"/>
        <v>0.72152777777955635</v>
      </c>
      <c r="G255" t="s">
        <v>7</v>
      </c>
      <c r="H255" s="7">
        <f t="shared" si="24"/>
        <v>2.7777777795563452E-3</v>
      </c>
      <c r="I255" s="13">
        <f t="shared" si="25"/>
        <v>6.6666666666666666E-2</v>
      </c>
      <c r="J255" t="s">
        <v>12</v>
      </c>
      <c r="K255" t="s">
        <v>12</v>
      </c>
      <c r="L255">
        <v>4.3</v>
      </c>
      <c r="M255" s="5">
        <f t="shared" si="26"/>
        <v>64.5</v>
      </c>
      <c r="N255" t="s">
        <v>9</v>
      </c>
      <c r="O255" t="str">
        <f t="shared" si="27"/>
        <v>Meal/Entertain</v>
      </c>
    </row>
    <row r="256" spans="1:15" x14ac:dyDescent="0.3">
      <c r="A256" s="1">
        <v>42675.563888888886</v>
      </c>
      <c r="B256" s="6">
        <f t="shared" si="32"/>
        <v>42675</v>
      </c>
      <c r="C256" s="7">
        <f t="shared" si="33"/>
        <v>0.56388888888614019</v>
      </c>
      <c r="D256" s="1">
        <v>42675.573611111111</v>
      </c>
      <c r="E256" s="6">
        <f t="shared" si="34"/>
        <v>42675</v>
      </c>
      <c r="F256" s="8">
        <f t="shared" si="35"/>
        <v>0.57361111111094942</v>
      </c>
      <c r="G256" t="s">
        <v>7</v>
      </c>
      <c r="H256" s="7">
        <f t="shared" si="24"/>
        <v>9.7222222248092294E-3</v>
      </c>
      <c r="I256" s="13">
        <f t="shared" si="25"/>
        <v>0.23333333333333334</v>
      </c>
      <c r="J256" t="s">
        <v>21</v>
      </c>
      <c r="K256" t="s">
        <v>26</v>
      </c>
      <c r="L256">
        <v>1.7</v>
      </c>
      <c r="M256" s="5">
        <f t="shared" si="26"/>
        <v>7.2857142857142856</v>
      </c>
      <c r="N256" t="s">
        <v>9</v>
      </c>
      <c r="O256" t="str">
        <f t="shared" si="27"/>
        <v>Meal/Entertain</v>
      </c>
    </row>
    <row r="257" spans="1:15" x14ac:dyDescent="0.3">
      <c r="A257" s="1">
        <v>42675.604166666664</v>
      </c>
      <c r="B257" s="6">
        <f t="shared" si="32"/>
        <v>42675</v>
      </c>
      <c r="C257" s="7">
        <f t="shared" si="33"/>
        <v>0.60416666666424135</v>
      </c>
      <c r="D257" s="1">
        <v>42675.613194444442</v>
      </c>
      <c r="E257" s="6">
        <f t="shared" si="34"/>
        <v>42675</v>
      </c>
      <c r="F257" s="8">
        <f t="shared" si="35"/>
        <v>0.6131944444423425</v>
      </c>
      <c r="G257" t="s">
        <v>7</v>
      </c>
      <c r="H257" s="7">
        <f t="shared" si="24"/>
        <v>9.0277777781011537E-3</v>
      </c>
      <c r="I257" s="13">
        <f t="shared" si="25"/>
        <v>0.21666666666666667</v>
      </c>
      <c r="J257" t="s">
        <v>26</v>
      </c>
      <c r="K257" t="s">
        <v>21</v>
      </c>
      <c r="L257">
        <v>1.9</v>
      </c>
      <c r="M257" s="5">
        <f t="shared" si="26"/>
        <v>8.7692307692307683</v>
      </c>
      <c r="N257" t="s">
        <v>9</v>
      </c>
      <c r="O257" t="str">
        <f t="shared" si="27"/>
        <v>Meal/Entertain</v>
      </c>
    </row>
    <row r="258" spans="1:15" x14ac:dyDescent="0.3">
      <c r="A258" s="1">
        <v>42705.522916666669</v>
      </c>
      <c r="B258" s="6">
        <f t="shared" si="32"/>
        <v>42705</v>
      </c>
      <c r="C258" s="7">
        <f t="shared" si="33"/>
        <v>0.52291666666860692</v>
      </c>
      <c r="D258" s="1">
        <v>42705.53402777778</v>
      </c>
      <c r="E258" s="6">
        <f t="shared" si="34"/>
        <v>42705</v>
      </c>
      <c r="F258" s="8">
        <f t="shared" si="35"/>
        <v>0.53402777777955635</v>
      </c>
      <c r="G258" t="s">
        <v>7</v>
      </c>
      <c r="H258" s="7">
        <f t="shared" ref="H258:H321" si="36">IF(F258&gt;C258,F258-C258,F258-C258+1)</f>
        <v>1.1111111110949423E-2</v>
      </c>
      <c r="I258" s="13">
        <f t="shared" ref="I258:I321" si="37">(HOUR(H258)*60+MINUTE(H258))/60</f>
        <v>0.26666666666666666</v>
      </c>
      <c r="J258" t="s">
        <v>21</v>
      </c>
      <c r="K258" t="s">
        <v>27</v>
      </c>
      <c r="L258">
        <v>1.9</v>
      </c>
      <c r="M258" s="5">
        <f t="shared" ref="M258:M321" si="38">L258/I258</f>
        <v>7.125</v>
      </c>
      <c r="N258" t="s">
        <v>9</v>
      </c>
      <c r="O258" t="str">
        <f t="shared" ref="O258:O321" si="39">IF(ISBLANK($N258),"No Purpose",$N258)</f>
        <v>Meal/Entertain</v>
      </c>
    </row>
    <row r="259" spans="1:15" x14ac:dyDescent="0.3">
      <c r="A259" s="1">
        <v>42705.536805555559</v>
      </c>
      <c r="B259" s="6">
        <f t="shared" si="32"/>
        <v>42705</v>
      </c>
      <c r="C259" s="7">
        <f t="shared" si="33"/>
        <v>0.53680555555911269</v>
      </c>
      <c r="D259" s="1">
        <v>42705.54791666667</v>
      </c>
      <c r="E259" s="6">
        <f t="shared" si="34"/>
        <v>42705</v>
      </c>
      <c r="F259" s="8">
        <f t="shared" si="35"/>
        <v>0.54791666667006211</v>
      </c>
      <c r="G259" t="s">
        <v>7</v>
      </c>
      <c r="H259" s="7">
        <f t="shared" si="36"/>
        <v>1.1111111110949423E-2</v>
      </c>
      <c r="I259" s="13">
        <f t="shared" si="37"/>
        <v>0.26666666666666666</v>
      </c>
      <c r="J259" t="s">
        <v>27</v>
      </c>
      <c r="K259" t="s">
        <v>28</v>
      </c>
      <c r="L259">
        <v>4</v>
      </c>
      <c r="M259" s="5">
        <f t="shared" si="38"/>
        <v>15</v>
      </c>
      <c r="N259" t="s">
        <v>9</v>
      </c>
      <c r="O259" t="str">
        <f t="shared" si="39"/>
        <v>Meal/Entertain</v>
      </c>
    </row>
    <row r="260" spans="1:15" x14ac:dyDescent="0.3">
      <c r="B260" s="2">
        <v>42384</v>
      </c>
      <c r="C260" s="7">
        <v>0.48819444444444443</v>
      </c>
      <c r="E260" s="2">
        <v>42384</v>
      </c>
      <c r="F260" s="8">
        <v>0.50208333333333333</v>
      </c>
      <c r="G260" t="s">
        <v>7</v>
      </c>
      <c r="H260" s="7">
        <f t="shared" si="36"/>
        <v>1.3888888888888895E-2</v>
      </c>
      <c r="I260" s="13">
        <f t="shared" si="37"/>
        <v>0.33333333333333331</v>
      </c>
      <c r="J260" t="s">
        <v>15</v>
      </c>
      <c r="K260" t="s">
        <v>36</v>
      </c>
      <c r="L260">
        <v>10.4</v>
      </c>
      <c r="M260" s="5">
        <f t="shared" si="38"/>
        <v>31.200000000000003</v>
      </c>
      <c r="N260" t="s">
        <v>9</v>
      </c>
      <c r="O260" t="str">
        <f t="shared" si="39"/>
        <v>Meal/Entertain</v>
      </c>
    </row>
    <row r="261" spans="1:15" x14ac:dyDescent="0.3">
      <c r="B261" s="2">
        <v>42384</v>
      </c>
      <c r="C261" s="7">
        <v>0.55972222222222223</v>
      </c>
      <c r="E261" s="2">
        <v>42384</v>
      </c>
      <c r="F261" s="8">
        <v>0.57222222222222219</v>
      </c>
      <c r="G261" t="s">
        <v>7</v>
      </c>
      <c r="H261" s="7">
        <f t="shared" si="36"/>
        <v>1.2499999999999956E-2</v>
      </c>
      <c r="I261" s="13">
        <f t="shared" si="37"/>
        <v>0.3</v>
      </c>
      <c r="J261" t="s">
        <v>36</v>
      </c>
      <c r="K261" t="s">
        <v>15</v>
      </c>
      <c r="L261">
        <v>10.4</v>
      </c>
      <c r="M261" s="5">
        <f t="shared" si="38"/>
        <v>34.666666666666671</v>
      </c>
      <c r="N261" t="s">
        <v>9</v>
      </c>
      <c r="O261" t="str">
        <f t="shared" si="39"/>
        <v>Meal/Entertain</v>
      </c>
    </row>
    <row r="262" spans="1:15" x14ac:dyDescent="0.3">
      <c r="B262" s="2">
        <v>42387</v>
      </c>
      <c r="C262" s="7">
        <v>0.62152777777777779</v>
      </c>
      <c r="E262" s="2">
        <v>42387</v>
      </c>
      <c r="F262" s="8">
        <v>0.62916666666666665</v>
      </c>
      <c r="G262" t="s">
        <v>7</v>
      </c>
      <c r="H262" s="7">
        <f t="shared" si="36"/>
        <v>7.6388888888888618E-3</v>
      </c>
      <c r="I262" s="13">
        <f t="shared" si="37"/>
        <v>0.18333333333333332</v>
      </c>
      <c r="J262" t="s">
        <v>15</v>
      </c>
      <c r="K262" t="s">
        <v>15</v>
      </c>
      <c r="L262">
        <v>4.8</v>
      </c>
      <c r="M262" s="5">
        <f t="shared" si="38"/>
        <v>26.181818181818183</v>
      </c>
      <c r="N262" t="s">
        <v>9</v>
      </c>
      <c r="O262" t="str">
        <f t="shared" si="39"/>
        <v>Meal/Entertain</v>
      </c>
    </row>
    <row r="263" spans="1:15" x14ac:dyDescent="0.3">
      <c r="B263" s="2">
        <v>42387</v>
      </c>
      <c r="C263" s="7">
        <v>0.67569444444444438</v>
      </c>
      <c r="E263" s="2">
        <v>42387</v>
      </c>
      <c r="F263" s="8">
        <v>0.68333333333333324</v>
      </c>
      <c r="G263" t="s">
        <v>7</v>
      </c>
      <c r="H263" s="7">
        <f t="shared" si="36"/>
        <v>7.6388888888888618E-3</v>
      </c>
      <c r="I263" s="13">
        <f t="shared" si="37"/>
        <v>0.18333333333333332</v>
      </c>
      <c r="J263" t="s">
        <v>37</v>
      </c>
      <c r="K263" t="s">
        <v>38</v>
      </c>
      <c r="L263">
        <v>4.7</v>
      </c>
      <c r="M263" s="5">
        <f t="shared" si="38"/>
        <v>25.63636363636364</v>
      </c>
      <c r="N263" t="s">
        <v>9</v>
      </c>
      <c r="O263" t="str">
        <f t="shared" si="39"/>
        <v>Meal/Entertain</v>
      </c>
    </row>
    <row r="264" spans="1:15" x14ac:dyDescent="0.3">
      <c r="B264" s="2">
        <v>42390</v>
      </c>
      <c r="C264" s="7">
        <v>0.61319444444444449</v>
      </c>
      <c r="E264" s="2">
        <v>42390</v>
      </c>
      <c r="F264" s="8">
        <v>0.61875000000000002</v>
      </c>
      <c r="G264" t="s">
        <v>7</v>
      </c>
      <c r="H264" s="7">
        <f t="shared" si="36"/>
        <v>5.5555555555555358E-3</v>
      </c>
      <c r="I264" s="13">
        <f t="shared" si="37"/>
        <v>0.13333333333333333</v>
      </c>
      <c r="J264" t="s">
        <v>15</v>
      </c>
      <c r="K264" t="s">
        <v>15</v>
      </c>
      <c r="L264">
        <v>2.4</v>
      </c>
      <c r="M264" s="5">
        <f t="shared" si="38"/>
        <v>18</v>
      </c>
      <c r="N264" t="s">
        <v>9</v>
      </c>
      <c r="O264" t="str">
        <f t="shared" si="39"/>
        <v>Meal/Entertain</v>
      </c>
    </row>
    <row r="265" spans="1:15" x14ac:dyDescent="0.3">
      <c r="B265" s="2">
        <v>42390</v>
      </c>
      <c r="C265" s="7">
        <v>0.66736111111111107</v>
      </c>
      <c r="E265" s="2">
        <v>42390</v>
      </c>
      <c r="F265" s="8">
        <v>0.67083333333333339</v>
      </c>
      <c r="G265" t="s">
        <v>7</v>
      </c>
      <c r="H265" s="7">
        <f t="shared" si="36"/>
        <v>3.4722222222223209E-3</v>
      </c>
      <c r="I265" s="13">
        <f t="shared" si="37"/>
        <v>8.3333333333333329E-2</v>
      </c>
      <c r="J265" t="s">
        <v>15</v>
      </c>
      <c r="K265" t="s">
        <v>15</v>
      </c>
      <c r="L265">
        <v>1</v>
      </c>
      <c r="M265" s="5">
        <f t="shared" si="38"/>
        <v>12</v>
      </c>
      <c r="N265" t="s">
        <v>9</v>
      </c>
      <c r="O265" t="str">
        <f t="shared" si="39"/>
        <v>Meal/Entertain</v>
      </c>
    </row>
    <row r="266" spans="1:15" x14ac:dyDescent="0.3">
      <c r="B266" s="2">
        <v>42395</v>
      </c>
      <c r="C266" s="7">
        <v>0.44513888888888892</v>
      </c>
      <c r="E266" s="2">
        <v>42395</v>
      </c>
      <c r="F266" s="8">
        <v>0.4513888888888889</v>
      </c>
      <c r="G266" t="s">
        <v>7</v>
      </c>
      <c r="H266" s="7">
        <f t="shared" si="36"/>
        <v>6.2499999999999778E-3</v>
      </c>
      <c r="I266" s="13">
        <f t="shared" si="37"/>
        <v>0.15</v>
      </c>
      <c r="J266" t="s">
        <v>38</v>
      </c>
      <c r="K266" t="s">
        <v>43</v>
      </c>
      <c r="L266">
        <v>2</v>
      </c>
      <c r="M266" s="5">
        <f t="shared" si="38"/>
        <v>13.333333333333334</v>
      </c>
      <c r="N266" t="s">
        <v>9</v>
      </c>
      <c r="O266" t="str">
        <f t="shared" si="39"/>
        <v>Meal/Entertain</v>
      </c>
    </row>
    <row r="267" spans="1:15" x14ac:dyDescent="0.3">
      <c r="B267" s="2">
        <v>42398</v>
      </c>
      <c r="C267" s="7">
        <v>0.88958333333333339</v>
      </c>
      <c r="E267" s="2">
        <v>42398</v>
      </c>
      <c r="F267" s="8">
        <v>0.90277777777777779</v>
      </c>
      <c r="G267" t="s">
        <v>7</v>
      </c>
      <c r="H267" s="7">
        <f t="shared" si="36"/>
        <v>1.3194444444444398E-2</v>
      </c>
      <c r="I267" s="13">
        <f t="shared" si="37"/>
        <v>0.31666666666666665</v>
      </c>
      <c r="J267" t="s">
        <v>48</v>
      </c>
      <c r="K267" t="s">
        <v>15</v>
      </c>
      <c r="L267">
        <v>5.5</v>
      </c>
      <c r="M267" s="5">
        <f t="shared" si="38"/>
        <v>17.368421052631579</v>
      </c>
      <c r="N267" t="s">
        <v>9</v>
      </c>
      <c r="O267" t="str">
        <f t="shared" si="39"/>
        <v>Meal/Entertain</v>
      </c>
    </row>
    <row r="268" spans="1:15" x14ac:dyDescent="0.3">
      <c r="A268" s="1">
        <v>42371.538888888892</v>
      </c>
      <c r="B268" s="6">
        <f>INT(A268:A306)</f>
        <v>42371</v>
      </c>
      <c r="C268" s="7">
        <f t="shared" ref="C268:C278" si="40">(A268-B268)</f>
        <v>0.53888888889196096</v>
      </c>
      <c r="D268" s="1">
        <v>42371.546527777777</v>
      </c>
      <c r="E268" s="6">
        <f>INT(D268:D306)</f>
        <v>42371</v>
      </c>
      <c r="F268" s="8">
        <f t="shared" ref="F268:F278" si="41">(D268-E268)</f>
        <v>0.54652777777664596</v>
      </c>
      <c r="G268" t="s">
        <v>7</v>
      </c>
      <c r="H268" s="7">
        <f t="shared" si="36"/>
        <v>7.6388888846850023E-3</v>
      </c>
      <c r="I268" s="13">
        <f t="shared" si="37"/>
        <v>0.18333333333333332</v>
      </c>
      <c r="J268" s="3" t="s">
        <v>50</v>
      </c>
      <c r="K268" t="s">
        <v>38</v>
      </c>
      <c r="L268">
        <v>3.9</v>
      </c>
      <c r="M268" s="5">
        <f t="shared" si="38"/>
        <v>21.272727272727273</v>
      </c>
      <c r="N268" t="s">
        <v>9</v>
      </c>
      <c r="O268" t="str">
        <f t="shared" si="39"/>
        <v>Meal/Entertain</v>
      </c>
    </row>
    <row r="269" spans="1:15" x14ac:dyDescent="0.3">
      <c r="A269" s="1">
        <v>42462.400694444441</v>
      </c>
      <c r="B269" s="6">
        <f>INT(A269:A307)</f>
        <v>42462</v>
      </c>
      <c r="C269" s="7">
        <f t="shared" si="40"/>
        <v>0.40069444444088731</v>
      </c>
      <c r="D269" s="1">
        <v>42462.42291666667</v>
      </c>
      <c r="E269" s="6">
        <f>INT(D269:D307)</f>
        <v>42462</v>
      </c>
      <c r="F269" s="8">
        <f t="shared" si="41"/>
        <v>0.42291666667006211</v>
      </c>
      <c r="G269" t="s">
        <v>7</v>
      </c>
      <c r="H269" s="7">
        <f t="shared" si="36"/>
        <v>2.2222222229174804E-2</v>
      </c>
      <c r="I269" s="13">
        <f t="shared" si="37"/>
        <v>0.53333333333333333</v>
      </c>
      <c r="J269" t="s">
        <v>16</v>
      </c>
      <c r="K269" t="s">
        <v>15</v>
      </c>
      <c r="L269">
        <v>9.6999999999999993</v>
      </c>
      <c r="M269" s="5">
        <f t="shared" si="38"/>
        <v>18.1875</v>
      </c>
      <c r="N269" t="s">
        <v>9</v>
      </c>
      <c r="O269" t="str">
        <f t="shared" si="39"/>
        <v>Meal/Entertain</v>
      </c>
    </row>
    <row r="270" spans="1:15" x14ac:dyDescent="0.3">
      <c r="A270" s="1">
        <v>42462.43472222222</v>
      </c>
      <c r="B270" s="6">
        <f>INT(A270:A308)</f>
        <v>42462</v>
      </c>
      <c r="C270" s="7">
        <f t="shared" si="40"/>
        <v>0.43472222222044365</v>
      </c>
      <c r="D270" s="1">
        <v>42462.438888888886</v>
      </c>
      <c r="E270" s="6">
        <f>INT(D270:D308)</f>
        <v>42462</v>
      </c>
      <c r="F270" s="8">
        <f t="shared" si="41"/>
        <v>0.43888888888614019</v>
      </c>
      <c r="G270" t="s">
        <v>7</v>
      </c>
      <c r="H270" s="7">
        <f t="shared" si="36"/>
        <v>4.166666665696539E-3</v>
      </c>
      <c r="I270" s="13">
        <f t="shared" si="37"/>
        <v>0.1</v>
      </c>
      <c r="J270" t="s">
        <v>15</v>
      </c>
      <c r="K270" t="s">
        <v>15</v>
      </c>
      <c r="L270">
        <v>1.6</v>
      </c>
      <c r="M270" s="5">
        <f t="shared" si="38"/>
        <v>16</v>
      </c>
      <c r="N270" t="s">
        <v>9</v>
      </c>
      <c r="O270" t="str">
        <f t="shared" si="39"/>
        <v>Meal/Entertain</v>
      </c>
    </row>
    <row r="271" spans="1:15" x14ac:dyDescent="0.3">
      <c r="A271" s="1">
        <v>42462.665972222225</v>
      </c>
      <c r="B271" s="6">
        <f>INT(A271:A309)</f>
        <v>42462</v>
      </c>
      <c r="C271" s="7">
        <f t="shared" si="40"/>
        <v>0.66597222222480923</v>
      </c>
      <c r="D271" s="1">
        <v>42462.668749999997</v>
      </c>
      <c r="E271" s="6">
        <f>INT(D271:D309)</f>
        <v>42462</v>
      </c>
      <c r="F271" s="8">
        <f t="shared" si="41"/>
        <v>0.66874999999708962</v>
      </c>
      <c r="G271" t="s">
        <v>7</v>
      </c>
      <c r="H271" s="7">
        <f t="shared" si="36"/>
        <v>2.7777777722803876E-3</v>
      </c>
      <c r="I271" s="13">
        <f t="shared" si="37"/>
        <v>6.6666666666666666E-2</v>
      </c>
      <c r="J271" t="s">
        <v>15</v>
      </c>
      <c r="K271" t="s">
        <v>15</v>
      </c>
      <c r="L271">
        <v>1.1000000000000001</v>
      </c>
      <c r="M271" s="5">
        <f t="shared" si="38"/>
        <v>16.5</v>
      </c>
      <c r="N271" t="s">
        <v>9</v>
      </c>
      <c r="O271" t="str">
        <f t="shared" si="39"/>
        <v>Meal/Entertain</v>
      </c>
    </row>
    <row r="272" spans="1:15" x14ac:dyDescent="0.3">
      <c r="A272" s="1">
        <v>42462.690972222219</v>
      </c>
      <c r="B272" s="6">
        <f t="shared" ref="B272:B278" si="42">INT(A272:A309)</f>
        <v>42462</v>
      </c>
      <c r="C272" s="7">
        <f t="shared" si="40"/>
        <v>0.69097222221898846</v>
      </c>
      <c r="D272" s="1">
        <v>42462.693749999999</v>
      </c>
      <c r="E272" s="6">
        <f t="shared" ref="E272:E278" si="43">INT(D272:D309)</f>
        <v>42462</v>
      </c>
      <c r="F272" s="8">
        <f t="shared" si="41"/>
        <v>0.69374999999854481</v>
      </c>
      <c r="G272" t="s">
        <v>7</v>
      </c>
      <c r="H272" s="7">
        <f t="shared" si="36"/>
        <v>2.7777777795563452E-3</v>
      </c>
      <c r="I272" s="13">
        <f t="shared" si="37"/>
        <v>6.6666666666666666E-2</v>
      </c>
      <c r="J272" t="s">
        <v>15</v>
      </c>
      <c r="K272" t="s">
        <v>15</v>
      </c>
      <c r="L272">
        <v>1.6</v>
      </c>
      <c r="M272" s="5">
        <f t="shared" si="38"/>
        <v>24</v>
      </c>
      <c r="N272" t="s">
        <v>9</v>
      </c>
      <c r="O272" t="str">
        <f t="shared" si="39"/>
        <v>Meal/Entertain</v>
      </c>
    </row>
    <row r="273" spans="1:15" x14ac:dyDescent="0.3">
      <c r="A273" s="1">
        <v>42523.811111111114</v>
      </c>
      <c r="B273" s="6">
        <f t="shared" si="42"/>
        <v>42523</v>
      </c>
      <c r="C273" s="7">
        <f t="shared" si="40"/>
        <v>0.81111111111385981</v>
      </c>
      <c r="D273" s="1">
        <v>42523.817361111112</v>
      </c>
      <c r="E273" s="6">
        <f t="shared" si="43"/>
        <v>42523</v>
      </c>
      <c r="F273" s="8">
        <f t="shared" si="41"/>
        <v>0.81736111111240461</v>
      </c>
      <c r="G273" t="s">
        <v>7</v>
      </c>
      <c r="H273" s="7">
        <f t="shared" si="36"/>
        <v>6.2499999985448085E-3</v>
      </c>
      <c r="I273" s="13">
        <f t="shared" si="37"/>
        <v>0.15</v>
      </c>
      <c r="J273" t="s">
        <v>54</v>
      </c>
      <c r="K273" t="s">
        <v>38</v>
      </c>
      <c r="L273">
        <v>3.2</v>
      </c>
      <c r="M273" s="5">
        <f t="shared" si="38"/>
        <v>21.333333333333336</v>
      </c>
      <c r="N273" t="s">
        <v>9</v>
      </c>
      <c r="O273" t="str">
        <f t="shared" si="39"/>
        <v>Meal/Entertain</v>
      </c>
    </row>
    <row r="274" spans="1:15" x14ac:dyDescent="0.3">
      <c r="A274" s="1">
        <v>42584.539583333331</v>
      </c>
      <c r="B274" s="6">
        <f t="shared" si="42"/>
        <v>42584</v>
      </c>
      <c r="C274" s="7">
        <f t="shared" si="40"/>
        <v>0.53958333333139308</v>
      </c>
      <c r="D274" s="1">
        <v>42584.547222222223</v>
      </c>
      <c r="E274" s="6">
        <f t="shared" si="43"/>
        <v>42584</v>
      </c>
      <c r="F274" s="8">
        <f t="shared" si="41"/>
        <v>0.54722222222335404</v>
      </c>
      <c r="G274" t="s">
        <v>7</v>
      </c>
      <c r="H274" s="7">
        <f t="shared" si="36"/>
        <v>7.6388888919609599E-3</v>
      </c>
      <c r="I274" s="13">
        <f t="shared" si="37"/>
        <v>0.18333333333333332</v>
      </c>
      <c r="J274" t="s">
        <v>38</v>
      </c>
      <c r="K274" t="s">
        <v>54</v>
      </c>
      <c r="L274">
        <v>4.3</v>
      </c>
      <c r="M274" s="5">
        <f t="shared" si="38"/>
        <v>23.454545454545457</v>
      </c>
      <c r="N274" t="s">
        <v>9</v>
      </c>
      <c r="O274" t="str">
        <f t="shared" si="39"/>
        <v>Meal/Entertain</v>
      </c>
    </row>
    <row r="275" spans="1:15" x14ac:dyDescent="0.3">
      <c r="A275" s="1">
        <v>42584.583333333336</v>
      </c>
      <c r="B275" s="6">
        <f t="shared" si="42"/>
        <v>42584</v>
      </c>
      <c r="C275" s="7">
        <f t="shared" si="40"/>
        <v>0.58333333333575865</v>
      </c>
      <c r="D275" s="1">
        <v>42584.590277777781</v>
      </c>
      <c r="E275" s="6">
        <f t="shared" si="43"/>
        <v>42584</v>
      </c>
      <c r="F275" s="8">
        <f t="shared" si="41"/>
        <v>0.59027777778101154</v>
      </c>
      <c r="G275" t="s">
        <v>7</v>
      </c>
      <c r="H275" s="7">
        <f t="shared" si="36"/>
        <v>6.9444444452528842E-3</v>
      </c>
      <c r="I275" s="13">
        <f t="shared" si="37"/>
        <v>0.16666666666666666</v>
      </c>
      <c r="J275" t="s">
        <v>54</v>
      </c>
      <c r="K275" t="s">
        <v>38</v>
      </c>
      <c r="L275">
        <v>2.7</v>
      </c>
      <c r="M275" s="5">
        <f t="shared" si="38"/>
        <v>16.200000000000003</v>
      </c>
      <c r="N275" t="s">
        <v>9</v>
      </c>
      <c r="O275" t="str">
        <f t="shared" si="39"/>
        <v>Meal/Entertain</v>
      </c>
    </row>
    <row r="276" spans="1:15" x14ac:dyDescent="0.3">
      <c r="A276" s="1">
        <v>42615.85</v>
      </c>
      <c r="B276" s="6">
        <f t="shared" si="42"/>
        <v>42615</v>
      </c>
      <c r="C276" s="7">
        <f t="shared" si="40"/>
        <v>0.84999999999854481</v>
      </c>
      <c r="D276" s="1">
        <v>42615.861111111109</v>
      </c>
      <c r="E276" s="6">
        <f t="shared" si="43"/>
        <v>42615</v>
      </c>
      <c r="F276" s="8">
        <f t="shared" si="41"/>
        <v>0.86111111110949423</v>
      </c>
      <c r="G276" t="s">
        <v>7</v>
      </c>
      <c r="H276" s="7">
        <f t="shared" si="36"/>
        <v>1.1111111110949423E-2</v>
      </c>
      <c r="I276" s="13">
        <f t="shared" si="37"/>
        <v>0.26666666666666666</v>
      </c>
      <c r="J276" t="s">
        <v>16</v>
      </c>
      <c r="K276" t="s">
        <v>15</v>
      </c>
      <c r="L276">
        <v>6.1</v>
      </c>
      <c r="M276" s="5">
        <f t="shared" si="38"/>
        <v>22.875</v>
      </c>
      <c r="N276" t="s">
        <v>9</v>
      </c>
      <c r="O276" t="str">
        <f t="shared" si="39"/>
        <v>Meal/Entertain</v>
      </c>
    </row>
    <row r="277" spans="1:15" x14ac:dyDescent="0.3">
      <c r="A277" s="1">
        <v>42676.686111111114</v>
      </c>
      <c r="B277" s="6">
        <f t="shared" si="42"/>
        <v>42676</v>
      </c>
      <c r="C277" s="7">
        <f t="shared" si="40"/>
        <v>0.68611111111385981</v>
      </c>
      <c r="D277" s="1">
        <v>42676.715277777781</v>
      </c>
      <c r="E277" s="6">
        <f t="shared" si="43"/>
        <v>42676</v>
      </c>
      <c r="F277" s="8">
        <f t="shared" si="41"/>
        <v>0.71527777778101154</v>
      </c>
      <c r="G277" t="s">
        <v>7</v>
      </c>
      <c r="H277" s="7">
        <f t="shared" si="36"/>
        <v>2.9166666667151731E-2</v>
      </c>
      <c r="I277" s="13">
        <f t="shared" si="37"/>
        <v>0.7</v>
      </c>
      <c r="J277" t="s">
        <v>15</v>
      </c>
      <c r="K277" t="s">
        <v>40</v>
      </c>
      <c r="L277">
        <v>17.3</v>
      </c>
      <c r="M277" s="5">
        <f t="shared" si="38"/>
        <v>24.714285714285715</v>
      </c>
      <c r="N277" t="s">
        <v>9</v>
      </c>
      <c r="O277" t="str">
        <f t="shared" si="39"/>
        <v>Meal/Entertain</v>
      </c>
    </row>
    <row r="278" spans="1:15" x14ac:dyDescent="0.3">
      <c r="A278" s="1">
        <v>42676.742361111108</v>
      </c>
      <c r="B278" s="6">
        <f t="shared" si="42"/>
        <v>42676</v>
      </c>
      <c r="C278" s="7">
        <f t="shared" si="40"/>
        <v>0.74236111110803904</v>
      </c>
      <c r="D278" s="1">
        <v>42676.756944444445</v>
      </c>
      <c r="E278" s="6">
        <f t="shared" si="43"/>
        <v>42676</v>
      </c>
      <c r="F278" s="8">
        <f t="shared" si="41"/>
        <v>0.75694444444525288</v>
      </c>
      <c r="G278" t="s">
        <v>7</v>
      </c>
      <c r="H278" s="7">
        <f t="shared" si="36"/>
        <v>1.4583333337213844E-2</v>
      </c>
      <c r="I278" s="13">
        <f t="shared" si="37"/>
        <v>0.35</v>
      </c>
      <c r="J278" t="s">
        <v>58</v>
      </c>
      <c r="K278" t="s">
        <v>59</v>
      </c>
      <c r="L278">
        <v>5.7</v>
      </c>
      <c r="M278" s="5">
        <f t="shared" si="38"/>
        <v>16.285714285714288</v>
      </c>
      <c r="N278" t="s">
        <v>9</v>
      </c>
      <c r="O278" t="str">
        <f t="shared" si="39"/>
        <v>Meal/Entertain</v>
      </c>
    </row>
    <row r="279" spans="1:15" x14ac:dyDescent="0.3">
      <c r="B279" s="2">
        <v>42416</v>
      </c>
      <c r="C279" s="7">
        <v>0.72013888888888899</v>
      </c>
      <c r="D279" t="s">
        <v>79</v>
      </c>
      <c r="E279" s="2">
        <v>42416</v>
      </c>
      <c r="F279" s="8">
        <v>0.72638888888888886</v>
      </c>
      <c r="G279" t="s">
        <v>7</v>
      </c>
      <c r="H279" s="7">
        <f t="shared" si="36"/>
        <v>6.2499999999998668E-3</v>
      </c>
      <c r="I279" s="13">
        <f t="shared" si="37"/>
        <v>0.15</v>
      </c>
      <c r="J279" t="s">
        <v>74</v>
      </c>
      <c r="K279" t="s">
        <v>80</v>
      </c>
      <c r="L279">
        <v>1.1000000000000001</v>
      </c>
      <c r="M279" s="5">
        <f t="shared" si="38"/>
        <v>7.3333333333333339</v>
      </c>
      <c r="N279" t="s">
        <v>9</v>
      </c>
      <c r="O279" t="str">
        <f t="shared" si="39"/>
        <v>Meal/Entertain</v>
      </c>
    </row>
    <row r="280" spans="1:15" x14ac:dyDescent="0.3">
      <c r="B280" s="2">
        <v>42417</v>
      </c>
      <c r="C280" s="7">
        <v>0.63680555555555551</v>
      </c>
      <c r="D280" t="s">
        <v>83</v>
      </c>
      <c r="E280" s="2">
        <v>42417</v>
      </c>
      <c r="F280" s="8">
        <v>0.64027777777777783</v>
      </c>
      <c r="G280" t="s">
        <v>7</v>
      </c>
      <c r="H280" s="7">
        <f t="shared" si="36"/>
        <v>3.4722222222223209E-3</v>
      </c>
      <c r="I280" s="13">
        <f t="shared" si="37"/>
        <v>8.3333333333333329E-2</v>
      </c>
      <c r="J280" t="s">
        <v>74</v>
      </c>
      <c r="K280" t="s">
        <v>74</v>
      </c>
      <c r="L280">
        <v>1.7</v>
      </c>
      <c r="M280" s="5">
        <f t="shared" si="38"/>
        <v>20.400000000000002</v>
      </c>
      <c r="N280" t="s">
        <v>9</v>
      </c>
      <c r="O280" t="str">
        <f t="shared" si="39"/>
        <v>Meal/Entertain</v>
      </c>
    </row>
    <row r="281" spans="1:15" x14ac:dyDescent="0.3">
      <c r="B281" s="2">
        <v>42421</v>
      </c>
      <c r="C281" s="7">
        <v>0.50902777777777775</v>
      </c>
      <c r="D281" t="s">
        <v>114</v>
      </c>
      <c r="E281" s="2">
        <v>42421</v>
      </c>
      <c r="F281" s="8">
        <v>0.52430555555555558</v>
      </c>
      <c r="G281" t="s">
        <v>7</v>
      </c>
      <c r="H281" s="7">
        <f t="shared" si="36"/>
        <v>1.5277777777777835E-2</v>
      </c>
      <c r="I281" s="13">
        <f t="shared" si="37"/>
        <v>0.36666666666666664</v>
      </c>
      <c r="J281" t="s">
        <v>88</v>
      </c>
      <c r="K281" t="s">
        <v>72</v>
      </c>
      <c r="L281">
        <v>8.8000000000000007</v>
      </c>
      <c r="M281" s="5">
        <f t="shared" si="38"/>
        <v>24.000000000000004</v>
      </c>
      <c r="N281" t="s">
        <v>9</v>
      </c>
      <c r="O281" t="str">
        <f t="shared" si="39"/>
        <v>Meal/Entertain</v>
      </c>
    </row>
    <row r="282" spans="1:15" x14ac:dyDescent="0.3">
      <c r="B282" s="2">
        <v>42421</v>
      </c>
      <c r="C282" s="7">
        <v>0.65</v>
      </c>
      <c r="D282" t="s">
        <v>120</v>
      </c>
      <c r="E282" s="2">
        <v>42421</v>
      </c>
      <c r="F282" s="8">
        <v>0.65347222222222223</v>
      </c>
      <c r="G282" t="s">
        <v>7</v>
      </c>
      <c r="H282" s="7">
        <f t="shared" si="36"/>
        <v>3.4722222222222099E-3</v>
      </c>
      <c r="I282" s="13">
        <f t="shared" si="37"/>
        <v>8.3333333333333329E-2</v>
      </c>
      <c r="J282" t="s">
        <v>119</v>
      </c>
      <c r="K282" t="s">
        <v>72</v>
      </c>
      <c r="L282">
        <v>2.2000000000000002</v>
      </c>
      <c r="M282" s="5">
        <f t="shared" si="38"/>
        <v>26.400000000000002</v>
      </c>
      <c r="N282" t="s">
        <v>9</v>
      </c>
      <c r="O282" t="str">
        <f t="shared" si="39"/>
        <v>Meal/Entertain</v>
      </c>
    </row>
    <row r="283" spans="1:15" x14ac:dyDescent="0.3">
      <c r="B283" s="2">
        <v>42425</v>
      </c>
      <c r="C283" s="7">
        <v>0.71944444444444444</v>
      </c>
      <c r="D283" t="s">
        <v>129</v>
      </c>
      <c r="E283" s="2">
        <v>42425</v>
      </c>
      <c r="F283" s="8">
        <v>0.73333333333333339</v>
      </c>
      <c r="G283" t="s">
        <v>7</v>
      </c>
      <c r="H283" s="7">
        <f t="shared" si="36"/>
        <v>1.3888888888888951E-2</v>
      </c>
      <c r="I283" s="13">
        <f t="shared" si="37"/>
        <v>0.33333333333333331</v>
      </c>
      <c r="J283" t="s">
        <v>38</v>
      </c>
      <c r="K283" t="s">
        <v>56</v>
      </c>
      <c r="L283">
        <v>6</v>
      </c>
      <c r="M283" s="5">
        <f t="shared" si="38"/>
        <v>18</v>
      </c>
      <c r="N283" t="s">
        <v>9</v>
      </c>
      <c r="O283" t="str">
        <f t="shared" si="39"/>
        <v>Meal/Entertain</v>
      </c>
    </row>
    <row r="284" spans="1:15" x14ac:dyDescent="0.3">
      <c r="B284" s="2">
        <v>42425</v>
      </c>
      <c r="C284" s="7">
        <v>0.76527777777777783</v>
      </c>
      <c r="D284" t="s">
        <v>130</v>
      </c>
      <c r="E284" s="2">
        <v>42425</v>
      </c>
      <c r="F284" s="8">
        <v>0.77708333333333324</v>
      </c>
      <c r="G284" t="s">
        <v>7</v>
      </c>
      <c r="H284" s="7">
        <f t="shared" si="36"/>
        <v>1.1805555555555403E-2</v>
      </c>
      <c r="I284" s="13">
        <f t="shared" si="37"/>
        <v>0.28333333333333333</v>
      </c>
      <c r="J284" t="s">
        <v>56</v>
      </c>
      <c r="K284" t="s">
        <v>38</v>
      </c>
      <c r="L284">
        <v>5.8</v>
      </c>
      <c r="M284" s="5">
        <f t="shared" si="38"/>
        <v>20.470588235294116</v>
      </c>
      <c r="N284" t="s">
        <v>9</v>
      </c>
      <c r="O284" t="str">
        <f t="shared" si="39"/>
        <v>Meal/Entertain</v>
      </c>
    </row>
    <row r="285" spans="1:15" x14ac:dyDescent="0.3">
      <c r="A285" s="1">
        <v>42372.782638888886</v>
      </c>
      <c r="B285" s="6">
        <f t="shared" ref="B285:B294" si="44">INT(A285:A324)</f>
        <v>42372</v>
      </c>
      <c r="C285" s="7">
        <f t="shared" ref="C285:C294" si="45">(A285-B285)</f>
        <v>0.78263888888614019</v>
      </c>
      <c r="D285" s="1">
        <v>42372.798611111109</v>
      </c>
      <c r="E285" s="6">
        <f t="shared" ref="E285:E294" si="46">INT(D285)</f>
        <v>42372</v>
      </c>
      <c r="F285" s="8">
        <f t="shared" ref="F285:F294" si="47">D285-E285</f>
        <v>0.79861111110949423</v>
      </c>
      <c r="G285" t="s">
        <v>7</v>
      </c>
      <c r="H285" s="7">
        <f t="shared" si="36"/>
        <v>1.5972222223354038E-2</v>
      </c>
      <c r="I285" s="13">
        <f t="shared" si="37"/>
        <v>0.38333333333333336</v>
      </c>
      <c r="J285" t="s">
        <v>38</v>
      </c>
      <c r="K285" t="s">
        <v>146</v>
      </c>
      <c r="L285">
        <v>8</v>
      </c>
      <c r="M285" s="5">
        <f t="shared" si="38"/>
        <v>20.869565217391305</v>
      </c>
      <c r="N285" t="s">
        <v>9</v>
      </c>
      <c r="O285" t="str">
        <f t="shared" si="39"/>
        <v>Meal/Entertain</v>
      </c>
    </row>
    <row r="286" spans="1:15" x14ac:dyDescent="0.3">
      <c r="A286" s="1">
        <v>42432.613888888889</v>
      </c>
      <c r="B286" s="6">
        <f t="shared" si="44"/>
        <v>42432</v>
      </c>
      <c r="C286" s="7">
        <f t="shared" si="45"/>
        <v>0.61388888888905058</v>
      </c>
      <c r="D286" s="1">
        <v>42432.623611111114</v>
      </c>
      <c r="E286" s="6">
        <f t="shared" si="46"/>
        <v>42432</v>
      </c>
      <c r="F286" s="8">
        <f t="shared" si="47"/>
        <v>0.62361111111385981</v>
      </c>
      <c r="G286" t="s">
        <v>7</v>
      </c>
      <c r="H286" s="7">
        <f t="shared" si="36"/>
        <v>9.7222222248092294E-3</v>
      </c>
      <c r="I286" s="13">
        <f t="shared" si="37"/>
        <v>0.23333333333333334</v>
      </c>
      <c r="J286" t="s">
        <v>38</v>
      </c>
      <c r="K286" t="s">
        <v>50</v>
      </c>
      <c r="L286">
        <v>5.2</v>
      </c>
      <c r="M286" s="5">
        <f t="shared" si="38"/>
        <v>22.285714285714285</v>
      </c>
      <c r="N286" t="s">
        <v>9</v>
      </c>
      <c r="O286" t="str">
        <f t="shared" si="39"/>
        <v>Meal/Entertain</v>
      </c>
    </row>
    <row r="287" spans="1:15" x14ac:dyDescent="0.3">
      <c r="A287" s="1">
        <v>42463.663888888892</v>
      </c>
      <c r="B287" s="6">
        <f t="shared" si="44"/>
        <v>42463</v>
      </c>
      <c r="C287" s="7">
        <f t="shared" si="45"/>
        <v>0.66388888889196096</v>
      </c>
      <c r="D287" s="1">
        <v>42463.672222222223</v>
      </c>
      <c r="E287" s="6">
        <f t="shared" si="46"/>
        <v>42463</v>
      </c>
      <c r="F287" s="8">
        <f t="shared" si="47"/>
        <v>0.67222222222335404</v>
      </c>
      <c r="G287" t="s">
        <v>7</v>
      </c>
      <c r="H287" s="7">
        <f t="shared" si="36"/>
        <v>8.333333331393078E-3</v>
      </c>
      <c r="I287" s="13">
        <f t="shared" si="37"/>
        <v>0.2</v>
      </c>
      <c r="J287" t="s">
        <v>40</v>
      </c>
      <c r="K287" t="s">
        <v>40</v>
      </c>
      <c r="L287">
        <v>4.9000000000000004</v>
      </c>
      <c r="M287" s="5">
        <f t="shared" si="38"/>
        <v>24.5</v>
      </c>
      <c r="N287" t="s">
        <v>9</v>
      </c>
      <c r="O287" t="str">
        <f t="shared" si="39"/>
        <v>Meal/Entertain</v>
      </c>
    </row>
    <row r="288" spans="1:15" x14ac:dyDescent="0.3">
      <c r="A288" s="1">
        <v>42463.802777777775</v>
      </c>
      <c r="B288" s="6">
        <f t="shared" si="44"/>
        <v>42463</v>
      </c>
      <c r="C288" s="7">
        <f t="shared" si="45"/>
        <v>0.80277777777519077</v>
      </c>
      <c r="D288" s="1">
        <v>42463.809027777781</v>
      </c>
      <c r="E288" s="6">
        <f t="shared" si="46"/>
        <v>42463</v>
      </c>
      <c r="F288" s="8">
        <f t="shared" si="47"/>
        <v>0.80902777778101154</v>
      </c>
      <c r="G288" t="s">
        <v>7</v>
      </c>
      <c r="H288" s="7">
        <f t="shared" si="36"/>
        <v>6.2500000058207661E-3</v>
      </c>
      <c r="I288" s="13">
        <f t="shared" si="37"/>
        <v>0.15</v>
      </c>
      <c r="J288" t="s">
        <v>16</v>
      </c>
      <c r="K288" t="s">
        <v>15</v>
      </c>
      <c r="L288">
        <v>2</v>
      </c>
      <c r="M288" s="5">
        <f t="shared" si="38"/>
        <v>13.333333333333334</v>
      </c>
      <c r="N288" t="s">
        <v>9</v>
      </c>
      <c r="O288" t="str">
        <f t="shared" si="39"/>
        <v>Meal/Entertain</v>
      </c>
    </row>
    <row r="289" spans="1:15" x14ac:dyDescent="0.3">
      <c r="A289" s="1">
        <v>42493.488888888889</v>
      </c>
      <c r="B289" s="6">
        <f t="shared" si="44"/>
        <v>42493</v>
      </c>
      <c r="C289" s="7">
        <f t="shared" si="45"/>
        <v>0.48888888888905058</v>
      </c>
      <c r="D289" s="1">
        <v>42493.499305555553</v>
      </c>
      <c r="E289" s="6">
        <f t="shared" si="46"/>
        <v>42493</v>
      </c>
      <c r="F289" s="8">
        <f t="shared" si="47"/>
        <v>0.49930555555329192</v>
      </c>
      <c r="G289" t="s">
        <v>7</v>
      </c>
      <c r="H289" s="7">
        <f t="shared" si="36"/>
        <v>1.0416666664241347E-2</v>
      </c>
      <c r="I289" s="13">
        <f t="shared" si="37"/>
        <v>0.25</v>
      </c>
      <c r="J289" t="s">
        <v>15</v>
      </c>
      <c r="K289" t="s">
        <v>16</v>
      </c>
      <c r="L289">
        <v>6.5</v>
      </c>
      <c r="M289" s="5">
        <f t="shared" si="38"/>
        <v>26</v>
      </c>
      <c r="N289" t="s">
        <v>9</v>
      </c>
      <c r="O289" t="str">
        <f t="shared" si="39"/>
        <v>Meal/Entertain</v>
      </c>
    </row>
    <row r="290" spans="1:15" x14ac:dyDescent="0.3">
      <c r="A290" s="1">
        <v>42493.61041666667</v>
      </c>
      <c r="B290" s="6">
        <f t="shared" si="44"/>
        <v>42493</v>
      </c>
      <c r="C290" s="7">
        <f t="shared" si="45"/>
        <v>0.61041666667006211</v>
      </c>
      <c r="D290" s="1">
        <v>42493.625694444447</v>
      </c>
      <c r="E290" s="6">
        <f t="shared" si="46"/>
        <v>42493</v>
      </c>
      <c r="F290" s="8">
        <f t="shared" si="47"/>
        <v>0.62569444444670808</v>
      </c>
      <c r="G290" t="s">
        <v>7</v>
      </c>
      <c r="H290" s="7">
        <f t="shared" si="36"/>
        <v>1.5277777776645962E-2</v>
      </c>
      <c r="I290" s="13">
        <f t="shared" si="37"/>
        <v>0.36666666666666664</v>
      </c>
      <c r="J290" t="s">
        <v>38</v>
      </c>
      <c r="K290" t="s">
        <v>146</v>
      </c>
      <c r="L290">
        <v>7.8</v>
      </c>
      <c r="M290" s="5">
        <f t="shared" si="38"/>
        <v>21.272727272727273</v>
      </c>
      <c r="N290" t="s">
        <v>9</v>
      </c>
      <c r="O290" t="str">
        <f t="shared" si="39"/>
        <v>Meal/Entertain</v>
      </c>
    </row>
    <row r="291" spans="1:15" x14ac:dyDescent="0.3">
      <c r="A291" s="1">
        <v>42493.702777777777</v>
      </c>
      <c r="B291" s="6">
        <f t="shared" si="44"/>
        <v>42493</v>
      </c>
      <c r="C291" s="7">
        <f t="shared" si="45"/>
        <v>0.70277777777664596</v>
      </c>
      <c r="D291" s="1">
        <v>42493.717361111114</v>
      </c>
      <c r="E291" s="6">
        <f t="shared" si="46"/>
        <v>42493</v>
      </c>
      <c r="F291" s="8">
        <f t="shared" si="47"/>
        <v>0.71736111111385981</v>
      </c>
      <c r="G291" t="s">
        <v>7</v>
      </c>
      <c r="H291" s="7">
        <f t="shared" si="36"/>
        <v>1.4583333337213844E-2</v>
      </c>
      <c r="I291" s="13">
        <f t="shared" si="37"/>
        <v>0.35</v>
      </c>
      <c r="J291" t="s">
        <v>15</v>
      </c>
      <c r="K291" t="s">
        <v>16</v>
      </c>
      <c r="L291">
        <v>7.8</v>
      </c>
      <c r="M291" s="5">
        <f t="shared" si="38"/>
        <v>22.285714285714288</v>
      </c>
      <c r="N291" t="s">
        <v>9</v>
      </c>
      <c r="O291" t="str">
        <f t="shared" si="39"/>
        <v>Meal/Entertain</v>
      </c>
    </row>
    <row r="292" spans="1:15" x14ac:dyDescent="0.3">
      <c r="A292" s="1">
        <v>42493.724305555559</v>
      </c>
      <c r="B292" s="6">
        <f t="shared" si="44"/>
        <v>42493</v>
      </c>
      <c r="C292" s="7">
        <f t="shared" si="45"/>
        <v>0.72430555555911269</v>
      </c>
      <c r="D292" s="1">
        <v>42493.731944444444</v>
      </c>
      <c r="E292" s="6">
        <f t="shared" si="46"/>
        <v>42493</v>
      </c>
      <c r="F292" s="8">
        <f t="shared" si="47"/>
        <v>0.73194444444379769</v>
      </c>
      <c r="G292" t="s">
        <v>7</v>
      </c>
      <c r="H292" s="7">
        <f t="shared" si="36"/>
        <v>7.6388888846850023E-3</v>
      </c>
      <c r="I292" s="13">
        <f t="shared" si="37"/>
        <v>0.18333333333333332</v>
      </c>
      <c r="J292" t="s">
        <v>16</v>
      </c>
      <c r="K292" t="s">
        <v>15</v>
      </c>
      <c r="L292">
        <v>3.9</v>
      </c>
      <c r="M292" s="5">
        <f t="shared" si="38"/>
        <v>21.272727272727273</v>
      </c>
      <c r="N292" t="s">
        <v>9</v>
      </c>
      <c r="O292" t="str">
        <f t="shared" si="39"/>
        <v>Meal/Entertain</v>
      </c>
    </row>
    <row r="293" spans="1:15" x14ac:dyDescent="0.3">
      <c r="A293" s="1">
        <v>42585.649305555555</v>
      </c>
      <c r="B293" s="6">
        <f t="shared" si="44"/>
        <v>42585</v>
      </c>
      <c r="C293" s="7">
        <f t="shared" si="45"/>
        <v>0.64930555555474712</v>
      </c>
      <c r="D293" s="1">
        <v>42585.666666666664</v>
      </c>
      <c r="E293" s="6">
        <f t="shared" si="46"/>
        <v>42585</v>
      </c>
      <c r="F293" s="8">
        <f t="shared" si="47"/>
        <v>0.66666666666424135</v>
      </c>
      <c r="G293" t="s">
        <v>7</v>
      </c>
      <c r="H293" s="7">
        <f t="shared" si="36"/>
        <v>1.7361111109494232E-2</v>
      </c>
      <c r="I293" s="13">
        <f t="shared" si="37"/>
        <v>0.41666666666666669</v>
      </c>
      <c r="J293" t="s">
        <v>139</v>
      </c>
      <c r="K293" t="s">
        <v>38</v>
      </c>
      <c r="L293">
        <v>7.6</v>
      </c>
      <c r="M293" s="5">
        <f t="shared" si="38"/>
        <v>18.239999999999998</v>
      </c>
      <c r="N293" t="s">
        <v>9</v>
      </c>
      <c r="O293" t="str">
        <f t="shared" si="39"/>
        <v>Meal/Entertain</v>
      </c>
    </row>
    <row r="294" spans="1:15" x14ac:dyDescent="0.3">
      <c r="A294" s="1">
        <v>42677.407638888886</v>
      </c>
      <c r="B294" s="6">
        <f t="shared" si="44"/>
        <v>42677</v>
      </c>
      <c r="C294" s="7">
        <f t="shared" si="45"/>
        <v>0.40763888888614019</v>
      </c>
      <c r="D294" s="1">
        <v>42677.415972222225</v>
      </c>
      <c r="E294" s="6">
        <f t="shared" si="46"/>
        <v>42677</v>
      </c>
      <c r="F294" s="8">
        <f t="shared" si="47"/>
        <v>0.41597222222480923</v>
      </c>
      <c r="G294" t="s">
        <v>7</v>
      </c>
      <c r="H294" s="7">
        <f t="shared" si="36"/>
        <v>8.3333333386690356E-3</v>
      </c>
      <c r="I294" s="13">
        <f t="shared" si="37"/>
        <v>0.2</v>
      </c>
      <c r="J294" t="s">
        <v>153</v>
      </c>
      <c r="K294" t="s">
        <v>154</v>
      </c>
      <c r="L294">
        <v>2</v>
      </c>
      <c r="M294" s="5">
        <f t="shared" si="38"/>
        <v>10</v>
      </c>
      <c r="N294" t="s">
        <v>9</v>
      </c>
      <c r="O294" t="str">
        <f t="shared" si="39"/>
        <v>Meal/Entertain</v>
      </c>
    </row>
    <row r="295" spans="1:15" x14ac:dyDescent="0.3">
      <c r="A295" t="s">
        <v>156</v>
      </c>
      <c r="B295" s="2">
        <v>42442</v>
      </c>
      <c r="C295" s="7">
        <v>0.37986111111111115</v>
      </c>
      <c r="D295" t="s">
        <v>157</v>
      </c>
      <c r="E295" s="2">
        <v>42442</v>
      </c>
      <c r="F295" s="8">
        <v>0.40069444444444446</v>
      </c>
      <c r="G295" t="s">
        <v>7</v>
      </c>
      <c r="H295" s="7">
        <f t="shared" si="36"/>
        <v>2.0833333333333315E-2</v>
      </c>
      <c r="I295" s="13">
        <f t="shared" si="37"/>
        <v>0.5</v>
      </c>
      <c r="J295" t="s">
        <v>153</v>
      </c>
      <c r="K295" t="s">
        <v>158</v>
      </c>
      <c r="L295">
        <v>5.7</v>
      </c>
      <c r="M295" s="5">
        <f t="shared" si="38"/>
        <v>11.4</v>
      </c>
      <c r="N295" t="s">
        <v>9</v>
      </c>
      <c r="O295" t="str">
        <f t="shared" si="39"/>
        <v>Meal/Entertain</v>
      </c>
    </row>
    <row r="296" spans="1:15" x14ac:dyDescent="0.3">
      <c r="A296" t="s">
        <v>159</v>
      </c>
      <c r="B296" s="2">
        <v>42442</v>
      </c>
      <c r="C296" s="7">
        <v>0.76597222222222217</v>
      </c>
      <c r="D296" t="s">
        <v>160</v>
      </c>
      <c r="E296" s="2">
        <v>42442</v>
      </c>
      <c r="F296" s="8">
        <v>0.77986111111111101</v>
      </c>
      <c r="G296" t="s">
        <v>7</v>
      </c>
      <c r="H296" s="7">
        <f t="shared" si="36"/>
        <v>1.388888888888884E-2</v>
      </c>
      <c r="I296" s="13">
        <f t="shared" si="37"/>
        <v>0.33333333333333331</v>
      </c>
      <c r="J296" t="s">
        <v>151</v>
      </c>
      <c r="K296" t="s">
        <v>161</v>
      </c>
      <c r="L296">
        <v>8.4</v>
      </c>
      <c r="M296" s="5">
        <f t="shared" si="38"/>
        <v>25.200000000000003</v>
      </c>
      <c r="N296" t="s">
        <v>9</v>
      </c>
      <c r="O296" t="str">
        <f t="shared" si="39"/>
        <v>Meal/Entertain</v>
      </c>
    </row>
    <row r="297" spans="1:15" x14ac:dyDescent="0.3">
      <c r="A297" t="s">
        <v>162</v>
      </c>
      <c r="B297" s="2">
        <v>42442</v>
      </c>
      <c r="C297" s="7">
        <v>0.83819444444444446</v>
      </c>
      <c r="D297" t="s">
        <v>163</v>
      </c>
      <c r="E297" s="2">
        <v>42442</v>
      </c>
      <c r="F297" s="8">
        <v>0.85277777777777775</v>
      </c>
      <c r="G297" t="s">
        <v>7</v>
      </c>
      <c r="H297" s="7">
        <f t="shared" si="36"/>
        <v>1.4583333333333282E-2</v>
      </c>
      <c r="I297" s="13">
        <f t="shared" si="37"/>
        <v>0.35</v>
      </c>
      <c r="J297" t="s">
        <v>164</v>
      </c>
      <c r="K297" t="s">
        <v>153</v>
      </c>
      <c r="L297">
        <v>6.2</v>
      </c>
      <c r="M297" s="5">
        <f t="shared" si="38"/>
        <v>17.714285714285715</v>
      </c>
      <c r="N297" t="s">
        <v>9</v>
      </c>
      <c r="O297" t="str">
        <f t="shared" si="39"/>
        <v>Meal/Entertain</v>
      </c>
    </row>
    <row r="298" spans="1:15" x14ac:dyDescent="0.3">
      <c r="A298" t="s">
        <v>165</v>
      </c>
      <c r="B298" s="2">
        <v>42442</v>
      </c>
      <c r="C298" s="7">
        <v>0.86041666666666661</v>
      </c>
      <c r="D298" t="s">
        <v>166</v>
      </c>
      <c r="E298" s="2">
        <v>42442</v>
      </c>
      <c r="F298" s="8">
        <v>0.87361111111111101</v>
      </c>
      <c r="G298" t="s">
        <v>7</v>
      </c>
      <c r="H298" s="7">
        <f t="shared" si="36"/>
        <v>1.3194444444444398E-2</v>
      </c>
      <c r="I298" s="13">
        <f t="shared" si="37"/>
        <v>0.31666666666666665</v>
      </c>
      <c r="J298" t="s">
        <v>153</v>
      </c>
      <c r="K298" t="s">
        <v>161</v>
      </c>
      <c r="L298">
        <v>10.5</v>
      </c>
      <c r="M298" s="5">
        <f t="shared" si="38"/>
        <v>33.15789473684211</v>
      </c>
      <c r="N298" t="s">
        <v>9</v>
      </c>
      <c r="O298" t="str">
        <f t="shared" si="39"/>
        <v>Meal/Entertain</v>
      </c>
    </row>
    <row r="299" spans="1:15" x14ac:dyDescent="0.3">
      <c r="A299" t="s">
        <v>167</v>
      </c>
      <c r="B299" s="2">
        <v>42442</v>
      </c>
      <c r="C299" s="7">
        <v>0.88263888888888886</v>
      </c>
      <c r="D299" t="s">
        <v>168</v>
      </c>
      <c r="E299" s="2">
        <v>42442</v>
      </c>
      <c r="F299" s="8">
        <v>0.89097222222222217</v>
      </c>
      <c r="G299" t="s">
        <v>7</v>
      </c>
      <c r="H299" s="7">
        <f t="shared" si="36"/>
        <v>8.3333333333333037E-3</v>
      </c>
      <c r="I299" s="13">
        <f t="shared" si="37"/>
        <v>0.2</v>
      </c>
      <c r="J299" t="s">
        <v>161</v>
      </c>
      <c r="K299" t="s">
        <v>169</v>
      </c>
      <c r="L299">
        <v>7.2</v>
      </c>
      <c r="M299" s="5">
        <f t="shared" si="38"/>
        <v>36</v>
      </c>
      <c r="N299" t="s">
        <v>9</v>
      </c>
      <c r="O299" t="str">
        <f t="shared" si="39"/>
        <v>Meal/Entertain</v>
      </c>
    </row>
    <row r="300" spans="1:15" x14ac:dyDescent="0.3">
      <c r="A300" t="s">
        <v>176</v>
      </c>
      <c r="B300" s="2">
        <v>42444</v>
      </c>
      <c r="C300" s="7">
        <v>0.36458333333333331</v>
      </c>
      <c r="D300" t="s">
        <v>177</v>
      </c>
      <c r="E300" s="2">
        <v>42444</v>
      </c>
      <c r="F300" s="8">
        <v>0.37291666666666662</v>
      </c>
      <c r="G300" t="s">
        <v>7</v>
      </c>
      <c r="H300" s="7">
        <f t="shared" si="36"/>
        <v>8.3333333333333037E-3</v>
      </c>
      <c r="I300" s="13">
        <f t="shared" si="37"/>
        <v>0.2</v>
      </c>
      <c r="J300" t="s">
        <v>153</v>
      </c>
      <c r="K300" t="s">
        <v>158</v>
      </c>
      <c r="L300">
        <v>2</v>
      </c>
      <c r="M300" s="5">
        <f t="shared" si="38"/>
        <v>10</v>
      </c>
      <c r="N300" t="s">
        <v>9</v>
      </c>
      <c r="O300" t="str">
        <f t="shared" si="39"/>
        <v>Meal/Entertain</v>
      </c>
    </row>
    <row r="301" spans="1:15" x14ac:dyDescent="0.3">
      <c r="A301" t="s">
        <v>178</v>
      </c>
      <c r="B301" s="2">
        <v>42444</v>
      </c>
      <c r="C301" s="7">
        <v>0.8666666666666667</v>
      </c>
      <c r="D301" t="s">
        <v>179</v>
      </c>
      <c r="E301" s="2">
        <v>42444</v>
      </c>
      <c r="F301" s="8">
        <v>0.87569444444444444</v>
      </c>
      <c r="G301" t="s">
        <v>7</v>
      </c>
      <c r="H301" s="7">
        <f t="shared" si="36"/>
        <v>9.0277777777777457E-3</v>
      </c>
      <c r="I301" s="13">
        <f t="shared" si="37"/>
        <v>0.21666666666666667</v>
      </c>
      <c r="J301" t="s">
        <v>31</v>
      </c>
      <c r="K301" t="s">
        <v>153</v>
      </c>
      <c r="L301">
        <v>2.8</v>
      </c>
      <c r="M301" s="5">
        <f t="shared" si="38"/>
        <v>12.923076923076922</v>
      </c>
      <c r="N301" t="s">
        <v>9</v>
      </c>
      <c r="O301" t="str">
        <f t="shared" si="39"/>
        <v>Meal/Entertain</v>
      </c>
    </row>
    <row r="302" spans="1:15" x14ac:dyDescent="0.3">
      <c r="A302" t="s">
        <v>180</v>
      </c>
      <c r="B302" s="2">
        <v>42445</v>
      </c>
      <c r="C302" s="7">
        <v>0.48194444444444445</v>
      </c>
      <c r="D302" t="s">
        <v>181</v>
      </c>
      <c r="E302" s="2">
        <v>42445</v>
      </c>
      <c r="F302" s="8">
        <v>0.48958333333333331</v>
      </c>
      <c r="G302" t="s">
        <v>7</v>
      </c>
      <c r="H302" s="7">
        <f t="shared" si="36"/>
        <v>7.6388888888888618E-3</v>
      </c>
      <c r="I302" s="13">
        <f t="shared" si="37"/>
        <v>0.18333333333333332</v>
      </c>
      <c r="J302" t="s">
        <v>153</v>
      </c>
      <c r="K302" t="s">
        <v>154</v>
      </c>
      <c r="L302">
        <v>1.7</v>
      </c>
      <c r="M302" s="5">
        <f t="shared" si="38"/>
        <v>9.2727272727272734</v>
      </c>
      <c r="N302" t="s">
        <v>9</v>
      </c>
      <c r="O302" t="str">
        <f t="shared" si="39"/>
        <v>Meal/Entertain</v>
      </c>
    </row>
    <row r="303" spans="1:15" x14ac:dyDescent="0.3">
      <c r="A303" t="s">
        <v>184</v>
      </c>
      <c r="B303" s="2">
        <v>42445</v>
      </c>
      <c r="C303" s="7">
        <v>0.77986111111111101</v>
      </c>
      <c r="D303" t="s">
        <v>185</v>
      </c>
      <c r="E303" s="2">
        <v>42445</v>
      </c>
      <c r="F303" s="8">
        <v>0.78888888888888886</v>
      </c>
      <c r="G303" t="s">
        <v>7</v>
      </c>
      <c r="H303" s="7">
        <f t="shared" si="36"/>
        <v>9.0277777777778567E-3</v>
      </c>
      <c r="I303" s="13">
        <f t="shared" si="37"/>
        <v>0.21666666666666667</v>
      </c>
      <c r="J303" t="s">
        <v>150</v>
      </c>
      <c r="K303" t="s">
        <v>154</v>
      </c>
      <c r="L303">
        <v>2.1</v>
      </c>
      <c r="M303" s="5">
        <f t="shared" si="38"/>
        <v>9.6923076923076916</v>
      </c>
      <c r="N303" t="s">
        <v>9</v>
      </c>
      <c r="O303" t="str">
        <f t="shared" si="39"/>
        <v>Meal/Entertain</v>
      </c>
    </row>
    <row r="304" spans="1:15" x14ac:dyDescent="0.3">
      <c r="A304" t="s">
        <v>194</v>
      </c>
      <c r="B304" s="2">
        <v>42446</v>
      </c>
      <c r="C304" s="7">
        <v>0.72222222222222221</v>
      </c>
      <c r="D304" t="s">
        <v>195</v>
      </c>
      <c r="E304" s="2">
        <v>42446</v>
      </c>
      <c r="F304" s="8">
        <v>0.75138888888888899</v>
      </c>
      <c r="G304" t="s">
        <v>7</v>
      </c>
      <c r="H304" s="7">
        <f t="shared" si="36"/>
        <v>2.9166666666666785E-2</v>
      </c>
      <c r="I304" s="13">
        <f t="shared" si="37"/>
        <v>0.7</v>
      </c>
      <c r="J304" t="s">
        <v>21</v>
      </c>
      <c r="K304" t="s">
        <v>196</v>
      </c>
      <c r="L304">
        <v>15.5</v>
      </c>
      <c r="M304" s="5">
        <f t="shared" si="38"/>
        <v>22.142857142857146</v>
      </c>
      <c r="N304" t="s">
        <v>9</v>
      </c>
      <c r="O304" t="str">
        <f t="shared" si="39"/>
        <v>Meal/Entertain</v>
      </c>
    </row>
    <row r="305" spans="1:15" x14ac:dyDescent="0.3">
      <c r="A305" t="s">
        <v>204</v>
      </c>
      <c r="B305" s="2">
        <v>42447</v>
      </c>
      <c r="C305" s="7">
        <v>0.30208333333333331</v>
      </c>
      <c r="D305" t="s">
        <v>205</v>
      </c>
      <c r="E305" s="2">
        <v>42447</v>
      </c>
      <c r="F305" s="8">
        <v>0.30624999999999997</v>
      </c>
      <c r="G305" t="s">
        <v>7</v>
      </c>
      <c r="H305" s="7">
        <f t="shared" si="36"/>
        <v>4.1666666666666519E-3</v>
      </c>
      <c r="I305" s="13">
        <f t="shared" si="37"/>
        <v>0.1</v>
      </c>
      <c r="J305" t="s">
        <v>21</v>
      </c>
      <c r="K305" t="s">
        <v>21</v>
      </c>
      <c r="L305">
        <v>1.1000000000000001</v>
      </c>
      <c r="M305" s="5">
        <f t="shared" si="38"/>
        <v>11</v>
      </c>
      <c r="N305" t="s">
        <v>9</v>
      </c>
      <c r="O305" t="str">
        <f t="shared" si="39"/>
        <v>Meal/Entertain</v>
      </c>
    </row>
    <row r="306" spans="1:15" x14ac:dyDescent="0.3">
      <c r="A306" t="s">
        <v>206</v>
      </c>
      <c r="B306" s="2">
        <v>42447</v>
      </c>
      <c r="C306" s="7">
        <v>0.3576388888888889</v>
      </c>
      <c r="D306" t="s">
        <v>207</v>
      </c>
      <c r="E306" s="2">
        <v>42447</v>
      </c>
      <c r="F306" s="8">
        <v>0.36319444444444443</v>
      </c>
      <c r="G306" t="s">
        <v>7</v>
      </c>
      <c r="H306" s="7">
        <f t="shared" si="36"/>
        <v>5.5555555555555358E-3</v>
      </c>
      <c r="I306" s="13">
        <f t="shared" si="37"/>
        <v>0.13333333333333333</v>
      </c>
      <c r="J306" t="s">
        <v>21</v>
      </c>
      <c r="K306" t="s">
        <v>21</v>
      </c>
      <c r="L306">
        <v>1.1000000000000001</v>
      </c>
      <c r="M306" s="5">
        <f t="shared" si="38"/>
        <v>8.25</v>
      </c>
      <c r="N306" t="s">
        <v>9</v>
      </c>
      <c r="O306" t="str">
        <f t="shared" si="39"/>
        <v>Meal/Entertain</v>
      </c>
    </row>
    <row r="307" spans="1:15" x14ac:dyDescent="0.3">
      <c r="A307" t="s">
        <v>214</v>
      </c>
      <c r="B307" s="2">
        <v>42448</v>
      </c>
      <c r="C307" s="7">
        <v>0.38194444444444442</v>
      </c>
      <c r="D307" t="s">
        <v>215</v>
      </c>
      <c r="E307" s="2">
        <v>42448</v>
      </c>
      <c r="F307" s="8">
        <v>0.3923611111111111</v>
      </c>
      <c r="G307" t="s">
        <v>7</v>
      </c>
      <c r="H307" s="7">
        <f t="shared" si="36"/>
        <v>1.0416666666666685E-2</v>
      </c>
      <c r="I307" s="13">
        <f t="shared" si="37"/>
        <v>0.25</v>
      </c>
      <c r="J307" t="s">
        <v>21</v>
      </c>
      <c r="K307" t="s">
        <v>203</v>
      </c>
      <c r="L307">
        <v>9.4</v>
      </c>
      <c r="M307" s="5">
        <f t="shared" si="38"/>
        <v>37.6</v>
      </c>
      <c r="N307" t="s">
        <v>9</v>
      </c>
      <c r="O307" t="str">
        <f t="shared" si="39"/>
        <v>Meal/Entertain</v>
      </c>
    </row>
    <row r="308" spans="1:15" x14ac:dyDescent="0.3">
      <c r="A308" t="s">
        <v>221</v>
      </c>
      <c r="B308" s="2">
        <v>42448</v>
      </c>
      <c r="C308" s="7">
        <v>0.64861111111111114</v>
      </c>
      <c r="D308" t="s">
        <v>222</v>
      </c>
      <c r="E308" s="2">
        <v>42448</v>
      </c>
      <c r="F308" s="8">
        <v>0.69305555555555554</v>
      </c>
      <c r="G308" t="s">
        <v>7</v>
      </c>
      <c r="H308" s="7">
        <f t="shared" si="36"/>
        <v>4.4444444444444398E-2</v>
      </c>
      <c r="I308" s="13">
        <f t="shared" si="37"/>
        <v>1.0666666666666667</v>
      </c>
      <c r="J308" t="s">
        <v>33</v>
      </c>
      <c r="K308" t="s">
        <v>223</v>
      </c>
      <c r="L308">
        <v>36.5</v>
      </c>
      <c r="M308" s="5">
        <f t="shared" si="38"/>
        <v>34.21875</v>
      </c>
      <c r="N308" t="s">
        <v>9</v>
      </c>
      <c r="O308" t="str">
        <f t="shared" si="39"/>
        <v>Meal/Entertain</v>
      </c>
    </row>
    <row r="309" spans="1:15" x14ac:dyDescent="0.3">
      <c r="A309" t="s">
        <v>224</v>
      </c>
      <c r="B309" s="2">
        <v>42448</v>
      </c>
      <c r="C309" s="7">
        <v>0.72013888888888899</v>
      </c>
      <c r="D309" t="s">
        <v>225</v>
      </c>
      <c r="E309" s="2">
        <v>42448</v>
      </c>
      <c r="F309" s="8">
        <v>0.73055555555555562</v>
      </c>
      <c r="G309" t="s">
        <v>7</v>
      </c>
      <c r="H309" s="7">
        <f t="shared" si="36"/>
        <v>1.041666666666663E-2</v>
      </c>
      <c r="I309" s="13">
        <f t="shared" si="37"/>
        <v>0.25</v>
      </c>
      <c r="J309" t="s">
        <v>223</v>
      </c>
      <c r="K309" t="s">
        <v>226</v>
      </c>
      <c r="L309">
        <v>3.1</v>
      </c>
      <c r="M309" s="5">
        <f t="shared" si="38"/>
        <v>12.4</v>
      </c>
      <c r="N309" t="s">
        <v>9</v>
      </c>
      <c r="O309" t="str">
        <f t="shared" si="39"/>
        <v>Meal/Entertain</v>
      </c>
    </row>
    <row r="310" spans="1:15" x14ac:dyDescent="0.3">
      <c r="A310" t="s">
        <v>249</v>
      </c>
      <c r="B310" s="2">
        <v>42450</v>
      </c>
      <c r="C310" s="7">
        <v>0.67013888888888884</v>
      </c>
      <c r="D310" t="s">
        <v>250</v>
      </c>
      <c r="E310" s="2">
        <v>42450</v>
      </c>
      <c r="F310" s="8">
        <v>0.67569444444444438</v>
      </c>
      <c r="G310" t="s">
        <v>7</v>
      </c>
      <c r="H310" s="7">
        <f t="shared" si="36"/>
        <v>5.5555555555555358E-3</v>
      </c>
      <c r="I310" s="13">
        <f t="shared" si="37"/>
        <v>0.13333333333333333</v>
      </c>
      <c r="J310" t="s">
        <v>31</v>
      </c>
      <c r="K310" t="s">
        <v>21</v>
      </c>
      <c r="L310">
        <v>0.9</v>
      </c>
      <c r="M310" s="5">
        <f t="shared" si="38"/>
        <v>6.75</v>
      </c>
      <c r="N310" t="s">
        <v>9</v>
      </c>
      <c r="O310" t="str">
        <f t="shared" si="39"/>
        <v>Meal/Entertain</v>
      </c>
    </row>
    <row r="311" spans="1:15" x14ac:dyDescent="0.3">
      <c r="A311" t="s">
        <v>253</v>
      </c>
      <c r="B311" s="2">
        <v>42450</v>
      </c>
      <c r="C311" s="7">
        <v>0.84583333333333333</v>
      </c>
      <c r="D311" t="s">
        <v>254</v>
      </c>
      <c r="E311" s="2">
        <v>42450</v>
      </c>
      <c r="F311" s="8">
        <v>0.87152777777777779</v>
      </c>
      <c r="G311" t="s">
        <v>7</v>
      </c>
      <c r="H311" s="7">
        <f t="shared" si="36"/>
        <v>2.5694444444444464E-2</v>
      </c>
      <c r="I311" s="13">
        <f t="shared" si="37"/>
        <v>0.6166666666666667</v>
      </c>
      <c r="J311" t="s">
        <v>203</v>
      </c>
      <c r="K311" t="s">
        <v>21</v>
      </c>
      <c r="L311">
        <v>25.6</v>
      </c>
      <c r="M311" s="5">
        <f t="shared" si="38"/>
        <v>41.513513513513516</v>
      </c>
      <c r="N311" t="s">
        <v>9</v>
      </c>
      <c r="O311" t="str">
        <f t="shared" si="39"/>
        <v>Meal/Entertain</v>
      </c>
    </row>
    <row r="312" spans="1:15" x14ac:dyDescent="0.3">
      <c r="A312" t="s">
        <v>255</v>
      </c>
      <c r="B312" s="2">
        <v>42451</v>
      </c>
      <c r="C312" s="7">
        <v>0.26180555555555557</v>
      </c>
      <c r="D312" t="s">
        <v>256</v>
      </c>
      <c r="E312" s="2">
        <v>42451</v>
      </c>
      <c r="F312" s="8">
        <v>0.27986111111111112</v>
      </c>
      <c r="G312" t="s">
        <v>7</v>
      </c>
      <c r="H312" s="7">
        <f t="shared" si="36"/>
        <v>1.8055555555555547E-2</v>
      </c>
      <c r="I312" s="13">
        <f t="shared" si="37"/>
        <v>0.43333333333333335</v>
      </c>
      <c r="J312" t="s">
        <v>21</v>
      </c>
      <c r="K312" t="s">
        <v>257</v>
      </c>
      <c r="L312">
        <v>23</v>
      </c>
      <c r="M312" s="5">
        <f t="shared" si="38"/>
        <v>53.076923076923073</v>
      </c>
      <c r="N312" t="s">
        <v>9</v>
      </c>
      <c r="O312" t="str">
        <f t="shared" si="39"/>
        <v>Meal/Entertain</v>
      </c>
    </row>
    <row r="313" spans="1:15" x14ac:dyDescent="0.3">
      <c r="A313" t="s">
        <v>291</v>
      </c>
      <c r="B313" s="2">
        <v>42456</v>
      </c>
      <c r="C313" s="7">
        <v>4.9305555555555554E-2</v>
      </c>
      <c r="D313" t="s">
        <v>292</v>
      </c>
      <c r="E313" s="2">
        <v>42456</v>
      </c>
      <c r="F313" s="8">
        <v>5.7638888888888885E-2</v>
      </c>
      <c r="G313" t="s">
        <v>7</v>
      </c>
      <c r="H313" s="7">
        <f t="shared" si="36"/>
        <v>8.3333333333333315E-3</v>
      </c>
      <c r="I313" s="13">
        <f t="shared" si="37"/>
        <v>0.2</v>
      </c>
      <c r="J313" t="s">
        <v>285</v>
      </c>
      <c r="K313" t="s">
        <v>278</v>
      </c>
      <c r="L313">
        <v>6.6</v>
      </c>
      <c r="M313" s="5">
        <f t="shared" si="38"/>
        <v>32.999999999999993</v>
      </c>
      <c r="N313" t="s">
        <v>9</v>
      </c>
      <c r="O313" t="str">
        <f t="shared" si="39"/>
        <v>Meal/Entertain</v>
      </c>
    </row>
    <row r="314" spans="1:15" x14ac:dyDescent="0.3">
      <c r="A314" t="s">
        <v>316</v>
      </c>
      <c r="B314" s="2">
        <v>42459</v>
      </c>
      <c r="C314" s="7">
        <v>0.92013888888888884</v>
      </c>
      <c r="D314" t="s">
        <v>317</v>
      </c>
      <c r="E314" s="2">
        <v>42459</v>
      </c>
      <c r="F314" s="8">
        <v>0.95486111111111116</v>
      </c>
      <c r="G314" t="s">
        <v>7</v>
      </c>
      <c r="H314" s="7">
        <f t="shared" si="36"/>
        <v>3.4722222222222321E-2</v>
      </c>
      <c r="I314" s="13">
        <f t="shared" si="37"/>
        <v>0.83333333333333337</v>
      </c>
      <c r="J314" t="s">
        <v>285</v>
      </c>
      <c r="K314" t="s">
        <v>278</v>
      </c>
      <c r="L314">
        <v>28.8</v>
      </c>
      <c r="M314" s="5">
        <f t="shared" si="38"/>
        <v>34.56</v>
      </c>
      <c r="N314" t="s">
        <v>9</v>
      </c>
      <c r="O314" t="str">
        <f t="shared" si="39"/>
        <v>Meal/Entertain</v>
      </c>
    </row>
    <row r="315" spans="1:15" x14ac:dyDescent="0.3">
      <c r="A315" t="s">
        <v>320</v>
      </c>
      <c r="B315" s="2">
        <v>42460</v>
      </c>
      <c r="C315" s="7">
        <v>0.60902777777777783</v>
      </c>
      <c r="D315" t="s">
        <v>321</v>
      </c>
      <c r="E315" s="2">
        <v>42460</v>
      </c>
      <c r="F315" s="8">
        <v>0.63124999999999998</v>
      </c>
      <c r="G315" t="s">
        <v>7</v>
      </c>
      <c r="H315" s="7">
        <f t="shared" si="36"/>
        <v>2.2222222222222143E-2</v>
      </c>
      <c r="I315" s="13">
        <f t="shared" si="37"/>
        <v>0.53333333333333333</v>
      </c>
      <c r="J315" t="s">
        <v>285</v>
      </c>
      <c r="K315" t="s">
        <v>278</v>
      </c>
      <c r="L315">
        <v>16.399999999999999</v>
      </c>
      <c r="M315" s="5">
        <f t="shared" si="38"/>
        <v>30.749999999999996</v>
      </c>
      <c r="N315" t="s">
        <v>9</v>
      </c>
      <c r="O315" t="str">
        <f t="shared" si="39"/>
        <v>Meal/Entertain</v>
      </c>
    </row>
    <row r="316" spans="1:15" x14ac:dyDescent="0.3">
      <c r="A316" s="1">
        <v>42494.902083333334</v>
      </c>
      <c r="B316" s="6">
        <f>INT(A316:A355)</f>
        <v>42494</v>
      </c>
      <c r="C316" s="7">
        <f>(A316-B316)</f>
        <v>0.90208333333430346</v>
      </c>
      <c r="D316" s="1">
        <v>42494.913194444445</v>
      </c>
      <c r="E316" s="6">
        <f>INT(D316)</f>
        <v>42494</v>
      </c>
      <c r="F316" s="8">
        <f>D316-E316</f>
        <v>0.91319444444525288</v>
      </c>
      <c r="G316" t="s">
        <v>7</v>
      </c>
      <c r="H316" s="7">
        <f t="shared" si="36"/>
        <v>1.1111111110949423E-2</v>
      </c>
      <c r="I316" s="13">
        <f t="shared" si="37"/>
        <v>0.26666666666666666</v>
      </c>
      <c r="J316" t="s">
        <v>38</v>
      </c>
      <c r="K316" t="s">
        <v>146</v>
      </c>
      <c r="L316">
        <v>7.9</v>
      </c>
      <c r="M316" s="5">
        <f t="shared" si="38"/>
        <v>29.625</v>
      </c>
      <c r="N316" t="s">
        <v>9</v>
      </c>
      <c r="O316" t="str">
        <f t="shared" si="39"/>
        <v>Meal/Entertain</v>
      </c>
    </row>
    <row r="317" spans="1:15" x14ac:dyDescent="0.3">
      <c r="A317" s="1">
        <v>42525.013194444444</v>
      </c>
      <c r="B317" s="6">
        <f>INT(A317:A356)</f>
        <v>42525</v>
      </c>
      <c r="C317" s="7">
        <f>(A317-B317)</f>
        <v>1.3194444443797693E-2</v>
      </c>
      <c r="D317" s="1">
        <v>42525.027083333334</v>
      </c>
      <c r="E317" s="6">
        <f>INT(D317)</f>
        <v>42525</v>
      </c>
      <c r="F317" s="8">
        <f>D317-E317</f>
        <v>2.7083333334303461E-2</v>
      </c>
      <c r="G317" t="s">
        <v>7</v>
      </c>
      <c r="H317" s="7">
        <f t="shared" si="36"/>
        <v>1.3888888890505768E-2</v>
      </c>
      <c r="I317" s="13">
        <f t="shared" si="37"/>
        <v>0.33333333333333331</v>
      </c>
      <c r="J317" t="s">
        <v>146</v>
      </c>
      <c r="K317" t="s">
        <v>38</v>
      </c>
      <c r="L317">
        <v>8</v>
      </c>
      <c r="M317" s="5">
        <f t="shared" si="38"/>
        <v>24</v>
      </c>
      <c r="N317" t="s">
        <v>9</v>
      </c>
      <c r="O317" t="str">
        <f t="shared" si="39"/>
        <v>Meal/Entertain</v>
      </c>
    </row>
    <row r="318" spans="1:15" x14ac:dyDescent="0.3">
      <c r="A318" s="1">
        <v>42555.763888888891</v>
      </c>
      <c r="B318" s="6">
        <f>INT(A318:A357)</f>
        <v>42555</v>
      </c>
      <c r="C318" s="7">
        <f>(A318-B318)</f>
        <v>0.76388888889050577</v>
      </c>
      <c r="D318" s="1">
        <v>42555.777083333334</v>
      </c>
      <c r="E318" s="6">
        <f>INT(D318)</f>
        <v>42555</v>
      </c>
      <c r="F318" s="8">
        <f>D318-E318</f>
        <v>0.77708333333430346</v>
      </c>
      <c r="G318" t="s">
        <v>7</v>
      </c>
      <c r="H318" s="7">
        <f t="shared" si="36"/>
        <v>1.3194444443797693E-2</v>
      </c>
      <c r="I318" s="13">
        <f t="shared" si="37"/>
        <v>0.31666666666666665</v>
      </c>
      <c r="J318" t="s">
        <v>15</v>
      </c>
      <c r="K318" t="s">
        <v>16</v>
      </c>
      <c r="L318">
        <v>6.1</v>
      </c>
      <c r="M318" s="5">
        <f t="shared" si="38"/>
        <v>19.263157894736842</v>
      </c>
      <c r="N318" t="s">
        <v>9</v>
      </c>
      <c r="O318" t="str">
        <f t="shared" si="39"/>
        <v>Meal/Entertain</v>
      </c>
    </row>
    <row r="319" spans="1:15" x14ac:dyDescent="0.3">
      <c r="A319" s="1">
        <v>42586.56527777778</v>
      </c>
      <c r="B319" s="6">
        <f>INT(A319:A358)</f>
        <v>42586</v>
      </c>
      <c r="C319" s="7">
        <f>(A319-B319)</f>
        <v>0.56527777777955635</v>
      </c>
      <c r="D319" s="1">
        <v>42586.57708333333</v>
      </c>
      <c r="E319" s="6">
        <f>INT(D319)</f>
        <v>42586</v>
      </c>
      <c r="F319" s="8">
        <f>D319-E319</f>
        <v>0.57708333332993789</v>
      </c>
      <c r="G319" t="s">
        <v>7</v>
      </c>
      <c r="H319" s="7">
        <f t="shared" si="36"/>
        <v>1.1805555550381541E-2</v>
      </c>
      <c r="I319" s="13">
        <f t="shared" si="37"/>
        <v>0.28333333333333333</v>
      </c>
      <c r="J319" t="s">
        <v>36</v>
      </c>
      <c r="K319" t="s">
        <v>15</v>
      </c>
      <c r="L319">
        <v>8.6999999999999993</v>
      </c>
      <c r="M319" s="5">
        <f t="shared" si="38"/>
        <v>30.705882352941174</v>
      </c>
      <c r="N319" t="s">
        <v>9</v>
      </c>
      <c r="O319" t="str">
        <f t="shared" si="39"/>
        <v>Meal/Entertain</v>
      </c>
    </row>
    <row r="320" spans="1:15" x14ac:dyDescent="0.3">
      <c r="A320" s="1">
        <v>42708.570833333331</v>
      </c>
      <c r="B320" s="6">
        <f>INT(A320:A359)</f>
        <v>42708</v>
      </c>
      <c r="C320" s="7">
        <f>(A320-B320)</f>
        <v>0.57083333333139308</v>
      </c>
      <c r="D320" s="1">
        <v>42708.584027777775</v>
      </c>
      <c r="E320" s="6">
        <f>INT(D320)</f>
        <v>42708</v>
      </c>
      <c r="F320" s="8">
        <f>D320-E320</f>
        <v>0.58402777777519077</v>
      </c>
      <c r="G320" t="s">
        <v>7</v>
      </c>
      <c r="H320" s="7">
        <f t="shared" si="36"/>
        <v>1.3194444443797693E-2</v>
      </c>
      <c r="I320" s="13">
        <f t="shared" si="37"/>
        <v>0.31666666666666665</v>
      </c>
      <c r="J320" t="s">
        <v>16</v>
      </c>
      <c r="K320" t="s">
        <v>15</v>
      </c>
      <c r="L320">
        <v>6.5</v>
      </c>
      <c r="M320" s="5">
        <f t="shared" si="38"/>
        <v>20.526315789473685</v>
      </c>
      <c r="N320" t="s">
        <v>9</v>
      </c>
      <c r="O320" t="str">
        <f t="shared" si="39"/>
        <v>Meal/Entertain</v>
      </c>
    </row>
    <row r="321" spans="1:15" x14ac:dyDescent="0.3">
      <c r="A321" t="s">
        <v>341</v>
      </c>
      <c r="B321" s="2">
        <v>42476</v>
      </c>
      <c r="C321" s="7">
        <v>0.63194444444444442</v>
      </c>
      <c r="D321" t="s">
        <v>342</v>
      </c>
      <c r="E321" s="2">
        <v>42476</v>
      </c>
      <c r="F321" s="8">
        <v>0.6430555555555556</v>
      </c>
      <c r="G321" t="s">
        <v>7</v>
      </c>
      <c r="H321" s="7">
        <f t="shared" si="36"/>
        <v>1.1111111111111183E-2</v>
      </c>
      <c r="I321" s="13">
        <f t="shared" si="37"/>
        <v>0.26666666666666666</v>
      </c>
      <c r="J321" t="s">
        <v>16</v>
      </c>
      <c r="K321" t="s">
        <v>15</v>
      </c>
      <c r="L321">
        <v>6.1</v>
      </c>
      <c r="M321" s="5">
        <f t="shared" si="38"/>
        <v>22.875</v>
      </c>
      <c r="N321" t="s">
        <v>9</v>
      </c>
      <c r="O321" t="str">
        <f t="shared" si="39"/>
        <v>Meal/Entertain</v>
      </c>
    </row>
    <row r="322" spans="1:15" x14ac:dyDescent="0.3">
      <c r="A322" t="s">
        <v>343</v>
      </c>
      <c r="B322" s="2">
        <v>42479</v>
      </c>
      <c r="C322" s="7">
        <v>0.73888888888888893</v>
      </c>
      <c r="D322" t="s">
        <v>344</v>
      </c>
      <c r="E322" s="2">
        <v>42479</v>
      </c>
      <c r="F322" s="8">
        <v>0.75555555555555554</v>
      </c>
      <c r="G322" t="s">
        <v>7</v>
      </c>
      <c r="H322" s="7">
        <f t="shared" ref="H322:H385" si="48">IF(F322&gt;C322,F322-C322,F322-C322+1)</f>
        <v>1.6666666666666607E-2</v>
      </c>
      <c r="I322" s="13">
        <f t="shared" ref="I322:I385" si="49">(HOUR(H322)*60+MINUTE(H322))/60</f>
        <v>0.4</v>
      </c>
      <c r="J322" t="s">
        <v>38</v>
      </c>
      <c r="K322" t="s">
        <v>146</v>
      </c>
      <c r="L322">
        <v>8.1999999999999993</v>
      </c>
      <c r="M322" s="5">
        <f t="shared" ref="M322:M385" si="50">L322/I322</f>
        <v>20.499999999999996</v>
      </c>
      <c r="N322" t="s">
        <v>9</v>
      </c>
      <c r="O322" t="str">
        <f t="shared" ref="O322:O385" si="51">IF(ISBLANK($N322),"No Purpose",$N322)</f>
        <v>Meal/Entertain</v>
      </c>
    </row>
    <row r="323" spans="1:15" x14ac:dyDescent="0.3">
      <c r="A323" t="s">
        <v>345</v>
      </c>
      <c r="B323" s="2">
        <v>42479</v>
      </c>
      <c r="C323" s="7">
        <v>0.83124999999999993</v>
      </c>
      <c r="D323" t="s">
        <v>346</v>
      </c>
      <c r="E323" s="2">
        <v>42479</v>
      </c>
      <c r="F323" s="8">
        <v>0.84652777777777777</v>
      </c>
      <c r="G323" t="s">
        <v>7</v>
      </c>
      <c r="H323" s="7">
        <f t="shared" si="48"/>
        <v>1.5277777777777835E-2</v>
      </c>
      <c r="I323" s="13">
        <f t="shared" si="49"/>
        <v>0.36666666666666664</v>
      </c>
      <c r="J323" t="s">
        <v>146</v>
      </c>
      <c r="K323" t="s">
        <v>38</v>
      </c>
      <c r="L323">
        <v>8</v>
      </c>
      <c r="M323" s="5">
        <f t="shared" si="50"/>
        <v>21.81818181818182</v>
      </c>
      <c r="N323" t="s">
        <v>9</v>
      </c>
      <c r="O323" t="str">
        <f t="shared" si="51"/>
        <v>Meal/Entertain</v>
      </c>
    </row>
    <row r="324" spans="1:15" x14ac:dyDescent="0.3">
      <c r="A324" t="s">
        <v>355</v>
      </c>
      <c r="B324" s="2">
        <v>42483</v>
      </c>
      <c r="C324" s="7">
        <v>0.7104166666666667</v>
      </c>
      <c r="D324" t="s">
        <v>356</v>
      </c>
      <c r="E324" s="2">
        <v>42483</v>
      </c>
      <c r="F324" s="8">
        <v>0.71944444444444444</v>
      </c>
      <c r="G324" t="s">
        <v>7</v>
      </c>
      <c r="H324" s="7">
        <f t="shared" si="48"/>
        <v>9.0277777777777457E-3</v>
      </c>
      <c r="I324" s="13">
        <f t="shared" si="49"/>
        <v>0.21666666666666667</v>
      </c>
      <c r="J324" t="s">
        <v>38</v>
      </c>
      <c r="K324" t="s">
        <v>56</v>
      </c>
      <c r="L324">
        <v>6</v>
      </c>
      <c r="M324" s="5">
        <f t="shared" si="50"/>
        <v>27.69230769230769</v>
      </c>
      <c r="N324" t="s">
        <v>9</v>
      </c>
      <c r="O324" t="str">
        <f t="shared" si="51"/>
        <v>Meal/Entertain</v>
      </c>
    </row>
    <row r="325" spans="1:15" x14ac:dyDescent="0.3">
      <c r="A325" t="s">
        <v>357</v>
      </c>
      <c r="B325" s="2">
        <v>42483</v>
      </c>
      <c r="C325" s="7">
        <v>0.78402777777777777</v>
      </c>
      <c r="D325" t="s">
        <v>358</v>
      </c>
      <c r="E325" s="2">
        <v>42483</v>
      </c>
      <c r="F325" s="8">
        <v>0.79513888888888884</v>
      </c>
      <c r="G325" t="s">
        <v>7</v>
      </c>
      <c r="H325" s="7">
        <f t="shared" si="48"/>
        <v>1.1111111111111072E-2</v>
      </c>
      <c r="I325" s="13">
        <f t="shared" si="49"/>
        <v>0.26666666666666666</v>
      </c>
      <c r="J325" t="s">
        <v>56</v>
      </c>
      <c r="K325" t="s">
        <v>38</v>
      </c>
      <c r="L325">
        <v>6.5</v>
      </c>
      <c r="M325" s="5">
        <f t="shared" si="50"/>
        <v>24.375</v>
      </c>
      <c r="N325" t="s">
        <v>9</v>
      </c>
      <c r="O325" t="str">
        <f t="shared" si="51"/>
        <v>Meal/Entertain</v>
      </c>
    </row>
    <row r="326" spans="1:15" x14ac:dyDescent="0.3">
      <c r="A326" t="s">
        <v>385</v>
      </c>
      <c r="B326" s="2">
        <v>42490</v>
      </c>
      <c r="C326" s="7">
        <v>0.77916666666666667</v>
      </c>
      <c r="D326" t="s">
        <v>386</v>
      </c>
      <c r="E326" s="2">
        <v>42490</v>
      </c>
      <c r="F326" s="8">
        <v>0.7895833333333333</v>
      </c>
      <c r="G326" t="s">
        <v>7</v>
      </c>
      <c r="H326" s="7">
        <f t="shared" si="48"/>
        <v>1.041666666666663E-2</v>
      </c>
      <c r="I326" s="13">
        <f t="shared" si="49"/>
        <v>0.25</v>
      </c>
      <c r="J326" t="s">
        <v>38</v>
      </c>
      <c r="K326" t="s">
        <v>139</v>
      </c>
      <c r="L326">
        <v>7.7</v>
      </c>
      <c r="M326" s="5">
        <f t="shared" si="50"/>
        <v>30.8</v>
      </c>
      <c r="N326" t="s">
        <v>9</v>
      </c>
      <c r="O326" t="str">
        <f t="shared" si="51"/>
        <v>Meal/Entertain</v>
      </c>
    </row>
    <row r="327" spans="1:15" x14ac:dyDescent="0.3">
      <c r="A327" s="1">
        <v>42374.572916666664</v>
      </c>
      <c r="B327" s="6">
        <f t="shared" ref="B327:B333" si="52">INT(A327:A366)</f>
        <v>42374</v>
      </c>
      <c r="C327" s="7">
        <f t="shared" ref="C327:C333" si="53">(A327-B327)</f>
        <v>0.57291666666424135</v>
      </c>
      <c r="D327" s="1">
        <v>42374.578472222223</v>
      </c>
      <c r="E327" s="6">
        <f t="shared" ref="E327:E333" si="54">INT(D327)</f>
        <v>42374</v>
      </c>
      <c r="F327" s="8">
        <f t="shared" ref="F327:F333" si="55">D327-E327</f>
        <v>0.57847222222335404</v>
      </c>
      <c r="G327" t="s">
        <v>7</v>
      </c>
      <c r="H327" s="7">
        <f t="shared" si="48"/>
        <v>5.5555555591126904E-3</v>
      </c>
      <c r="I327" s="13">
        <f t="shared" si="49"/>
        <v>0.13333333333333333</v>
      </c>
      <c r="J327" t="s">
        <v>38</v>
      </c>
      <c r="K327" t="s">
        <v>44</v>
      </c>
      <c r="L327">
        <v>2.1</v>
      </c>
      <c r="M327" s="5">
        <f t="shared" si="50"/>
        <v>15.75</v>
      </c>
      <c r="N327" t="s">
        <v>9</v>
      </c>
      <c r="O327" t="str">
        <f t="shared" si="51"/>
        <v>Meal/Entertain</v>
      </c>
    </row>
    <row r="328" spans="1:15" x14ac:dyDescent="0.3">
      <c r="A328" s="1">
        <v>42405.650694444441</v>
      </c>
      <c r="B328" s="6">
        <f t="shared" si="52"/>
        <v>42405</v>
      </c>
      <c r="C328" s="7">
        <f t="shared" si="53"/>
        <v>0.65069444444088731</v>
      </c>
      <c r="D328" s="1">
        <v>42405.658333333333</v>
      </c>
      <c r="E328" s="6">
        <f t="shared" si="54"/>
        <v>42405</v>
      </c>
      <c r="F328" s="8">
        <f t="shared" si="55"/>
        <v>0.65833333333284827</v>
      </c>
      <c r="G328" t="s">
        <v>7</v>
      </c>
      <c r="H328" s="7">
        <f t="shared" si="48"/>
        <v>7.6388888919609599E-3</v>
      </c>
      <c r="I328" s="13">
        <f t="shared" si="49"/>
        <v>0.18333333333333332</v>
      </c>
      <c r="J328" t="s">
        <v>44</v>
      </c>
      <c r="K328" t="s">
        <v>38</v>
      </c>
      <c r="L328">
        <v>3.9</v>
      </c>
      <c r="M328" s="5">
        <f t="shared" si="50"/>
        <v>21.272727272727273</v>
      </c>
      <c r="N328" t="s">
        <v>9</v>
      </c>
      <c r="O328" t="str">
        <f t="shared" si="51"/>
        <v>Meal/Entertain</v>
      </c>
    </row>
    <row r="329" spans="1:15" x14ac:dyDescent="0.3">
      <c r="A329" s="1">
        <v>42434.930555555555</v>
      </c>
      <c r="B329" s="6">
        <f t="shared" si="52"/>
        <v>42434</v>
      </c>
      <c r="C329" s="7">
        <f t="shared" si="53"/>
        <v>0.93055555555474712</v>
      </c>
      <c r="D329" s="1">
        <v>42434.936111111114</v>
      </c>
      <c r="E329" s="6">
        <f t="shared" si="54"/>
        <v>42434</v>
      </c>
      <c r="F329" s="8">
        <f t="shared" si="55"/>
        <v>0.93611111111385981</v>
      </c>
      <c r="G329" t="s">
        <v>7</v>
      </c>
      <c r="H329" s="7">
        <f t="shared" si="48"/>
        <v>5.5555555591126904E-3</v>
      </c>
      <c r="I329" s="13">
        <f t="shared" si="49"/>
        <v>0.13333333333333333</v>
      </c>
      <c r="J329" t="s">
        <v>16</v>
      </c>
      <c r="K329" t="s">
        <v>15</v>
      </c>
      <c r="L329">
        <v>2.5</v>
      </c>
      <c r="M329" s="5">
        <f t="shared" si="50"/>
        <v>18.75</v>
      </c>
      <c r="N329" t="s">
        <v>9</v>
      </c>
      <c r="O329" t="str">
        <f t="shared" si="51"/>
        <v>Meal/Entertain</v>
      </c>
    </row>
    <row r="330" spans="1:15" x14ac:dyDescent="0.3">
      <c r="A330" s="1">
        <v>42465.636111111111</v>
      </c>
      <c r="B330" s="6">
        <f t="shared" si="52"/>
        <v>42465</v>
      </c>
      <c r="C330" s="7">
        <f t="shared" si="53"/>
        <v>0.63611111111094942</v>
      </c>
      <c r="D330" s="1">
        <v>42465.650694444441</v>
      </c>
      <c r="E330" s="6">
        <f t="shared" si="54"/>
        <v>42465</v>
      </c>
      <c r="F330" s="8">
        <f t="shared" si="55"/>
        <v>0.65069444444088731</v>
      </c>
      <c r="G330" t="s">
        <v>7</v>
      </c>
      <c r="H330" s="7">
        <f t="shared" si="48"/>
        <v>1.4583333329937886E-2</v>
      </c>
      <c r="I330" s="13">
        <f t="shared" si="49"/>
        <v>0.35</v>
      </c>
      <c r="J330" t="s">
        <v>15</v>
      </c>
      <c r="K330" t="s">
        <v>16</v>
      </c>
      <c r="L330">
        <v>8.6999999999999993</v>
      </c>
      <c r="M330" s="5">
        <f t="shared" si="50"/>
        <v>24.857142857142858</v>
      </c>
      <c r="N330" t="s">
        <v>9</v>
      </c>
      <c r="O330" t="str">
        <f t="shared" si="51"/>
        <v>Meal/Entertain</v>
      </c>
    </row>
    <row r="331" spans="1:15" x14ac:dyDescent="0.3">
      <c r="A331" s="1">
        <v>42465.895833333336</v>
      </c>
      <c r="B331" s="6">
        <f t="shared" si="52"/>
        <v>42465</v>
      </c>
      <c r="C331" s="7">
        <f t="shared" si="53"/>
        <v>0.89583333333575865</v>
      </c>
      <c r="D331" s="1">
        <v>42465.9</v>
      </c>
      <c r="E331" s="6">
        <f t="shared" si="54"/>
        <v>42465</v>
      </c>
      <c r="F331" s="8">
        <f t="shared" si="55"/>
        <v>0.90000000000145519</v>
      </c>
      <c r="G331" t="s">
        <v>7</v>
      </c>
      <c r="H331" s="7">
        <f t="shared" si="48"/>
        <v>4.166666665696539E-3</v>
      </c>
      <c r="I331" s="13">
        <f t="shared" si="49"/>
        <v>0.1</v>
      </c>
      <c r="J331" t="s">
        <v>391</v>
      </c>
      <c r="K331" t="s">
        <v>392</v>
      </c>
      <c r="L331">
        <v>4.5</v>
      </c>
      <c r="M331" s="5">
        <f t="shared" si="50"/>
        <v>45</v>
      </c>
      <c r="N331" t="s">
        <v>9</v>
      </c>
      <c r="O331" t="str">
        <f t="shared" si="51"/>
        <v>Meal/Entertain</v>
      </c>
    </row>
    <row r="332" spans="1:15" x14ac:dyDescent="0.3">
      <c r="A332" s="1">
        <v>42465.929861111108</v>
      </c>
      <c r="B332" s="6">
        <f t="shared" si="52"/>
        <v>42465</v>
      </c>
      <c r="C332" s="7">
        <f t="shared" si="53"/>
        <v>0.92986111110803904</v>
      </c>
      <c r="D332" s="1">
        <v>42465.935416666667</v>
      </c>
      <c r="E332" s="6">
        <f t="shared" si="54"/>
        <v>42465</v>
      </c>
      <c r="F332" s="8">
        <f t="shared" si="55"/>
        <v>0.93541666666715173</v>
      </c>
      <c r="G332" t="s">
        <v>7</v>
      </c>
      <c r="H332" s="7">
        <f t="shared" si="48"/>
        <v>5.5555555591126904E-3</v>
      </c>
      <c r="I332" s="13">
        <f t="shared" si="49"/>
        <v>0.13333333333333333</v>
      </c>
      <c r="J332" t="s">
        <v>392</v>
      </c>
      <c r="K332" t="s">
        <v>391</v>
      </c>
      <c r="L332">
        <v>5</v>
      </c>
      <c r="M332" s="5">
        <f t="shared" si="50"/>
        <v>37.5</v>
      </c>
      <c r="N332" t="s">
        <v>9</v>
      </c>
      <c r="O332" t="str">
        <f t="shared" si="51"/>
        <v>Meal/Entertain</v>
      </c>
    </row>
    <row r="333" spans="1:15" x14ac:dyDescent="0.3">
      <c r="A333" s="1">
        <v>42495.89166666667</v>
      </c>
      <c r="B333" s="6">
        <f t="shared" si="52"/>
        <v>42495</v>
      </c>
      <c r="C333" s="7">
        <f t="shared" si="53"/>
        <v>0.89166666667006211</v>
      </c>
      <c r="D333" s="1">
        <v>42495.9</v>
      </c>
      <c r="E333" s="6">
        <f t="shared" si="54"/>
        <v>42495</v>
      </c>
      <c r="F333" s="8">
        <f t="shared" si="55"/>
        <v>0.90000000000145519</v>
      </c>
      <c r="G333" t="s">
        <v>7</v>
      </c>
      <c r="H333" s="7">
        <f t="shared" si="48"/>
        <v>8.333333331393078E-3</v>
      </c>
      <c r="I333" s="13">
        <f t="shared" si="49"/>
        <v>0.2</v>
      </c>
      <c r="J333" t="s">
        <v>393</v>
      </c>
      <c r="K333" t="s">
        <v>394</v>
      </c>
      <c r="L333">
        <v>14.2</v>
      </c>
      <c r="M333" s="5">
        <f t="shared" si="50"/>
        <v>70.999999999999986</v>
      </c>
      <c r="N333" t="s">
        <v>9</v>
      </c>
      <c r="O333" t="str">
        <f t="shared" si="51"/>
        <v>Meal/Entertain</v>
      </c>
    </row>
    <row r="334" spans="1:15" x14ac:dyDescent="0.3">
      <c r="A334" t="s">
        <v>401</v>
      </c>
      <c r="B334" s="2">
        <v>42504</v>
      </c>
      <c r="C334" s="7">
        <v>0.77430555555555547</v>
      </c>
      <c r="D334" t="s">
        <v>402</v>
      </c>
      <c r="E334" s="2">
        <v>42504</v>
      </c>
      <c r="F334" s="8">
        <v>0.77708333333333324</v>
      </c>
      <c r="G334" t="s">
        <v>7</v>
      </c>
      <c r="H334" s="7">
        <f t="shared" si="48"/>
        <v>2.7777777777777679E-3</v>
      </c>
      <c r="I334" s="13">
        <f t="shared" si="49"/>
        <v>6.6666666666666666E-2</v>
      </c>
      <c r="J334" t="s">
        <v>15</v>
      </c>
      <c r="K334" t="s">
        <v>16</v>
      </c>
      <c r="L334">
        <v>3.1</v>
      </c>
      <c r="M334" s="5">
        <f t="shared" si="50"/>
        <v>46.5</v>
      </c>
      <c r="N334" t="s">
        <v>9</v>
      </c>
      <c r="O334" t="str">
        <f t="shared" si="51"/>
        <v>Meal/Entertain</v>
      </c>
    </row>
    <row r="335" spans="1:15" x14ac:dyDescent="0.3">
      <c r="A335" t="s">
        <v>403</v>
      </c>
      <c r="B335" s="2">
        <v>42504</v>
      </c>
      <c r="C335" s="7">
        <v>0.9590277777777777</v>
      </c>
      <c r="D335" t="s">
        <v>404</v>
      </c>
      <c r="E335" s="2">
        <v>42504</v>
      </c>
      <c r="F335" s="8">
        <v>0.96180555555555547</v>
      </c>
      <c r="G335" t="s">
        <v>7</v>
      </c>
      <c r="H335" s="7">
        <f t="shared" si="48"/>
        <v>2.7777777777777679E-3</v>
      </c>
      <c r="I335" s="13">
        <f t="shared" si="49"/>
        <v>6.6666666666666666E-2</v>
      </c>
      <c r="J335" t="s">
        <v>16</v>
      </c>
      <c r="K335" t="s">
        <v>15</v>
      </c>
      <c r="L335">
        <v>3.1</v>
      </c>
      <c r="M335" s="5">
        <f t="shared" si="50"/>
        <v>46.5</v>
      </c>
      <c r="N335" t="s">
        <v>9</v>
      </c>
      <c r="O335" t="str">
        <f t="shared" si="51"/>
        <v>Meal/Entertain</v>
      </c>
    </row>
    <row r="336" spans="1:15" x14ac:dyDescent="0.3">
      <c r="A336" t="s">
        <v>415</v>
      </c>
      <c r="B336" s="2">
        <v>42509</v>
      </c>
      <c r="C336" s="7">
        <v>0.60902777777777783</v>
      </c>
      <c r="D336" t="s">
        <v>416</v>
      </c>
      <c r="E336" s="2">
        <v>42509</v>
      </c>
      <c r="F336" s="8">
        <v>0.62569444444444444</v>
      </c>
      <c r="G336" t="s">
        <v>7</v>
      </c>
      <c r="H336" s="7">
        <f t="shared" si="48"/>
        <v>1.6666666666666607E-2</v>
      </c>
      <c r="I336" s="13">
        <f t="shared" si="49"/>
        <v>0.4</v>
      </c>
      <c r="J336" t="s">
        <v>417</v>
      </c>
      <c r="K336" t="s">
        <v>418</v>
      </c>
      <c r="L336">
        <v>2.9</v>
      </c>
      <c r="M336" s="5">
        <f t="shared" si="50"/>
        <v>7.2499999999999991</v>
      </c>
      <c r="N336" t="s">
        <v>9</v>
      </c>
      <c r="O336" t="str">
        <f t="shared" si="51"/>
        <v>Meal/Entertain</v>
      </c>
    </row>
    <row r="337" spans="1:15" x14ac:dyDescent="0.3">
      <c r="A337" t="s">
        <v>422</v>
      </c>
      <c r="B337" s="2">
        <v>42510</v>
      </c>
      <c r="C337" s="7">
        <v>0.65486111111111112</v>
      </c>
      <c r="D337" t="s">
        <v>423</v>
      </c>
      <c r="E337" s="2">
        <v>42510</v>
      </c>
      <c r="F337" s="8">
        <v>0.67499999999999993</v>
      </c>
      <c r="G337" t="s">
        <v>7</v>
      </c>
      <c r="H337" s="7">
        <f t="shared" si="48"/>
        <v>2.0138888888888817E-2</v>
      </c>
      <c r="I337" s="13">
        <f t="shared" si="49"/>
        <v>0.48333333333333334</v>
      </c>
      <c r="J337" t="s">
        <v>16</v>
      </c>
      <c r="K337" t="s">
        <v>15</v>
      </c>
      <c r="L337">
        <v>8.1999999999999993</v>
      </c>
      <c r="M337" s="5">
        <f t="shared" si="50"/>
        <v>16.96551724137931</v>
      </c>
      <c r="N337" t="s">
        <v>9</v>
      </c>
      <c r="O337" t="str">
        <f t="shared" si="51"/>
        <v>Meal/Entertain</v>
      </c>
    </row>
    <row r="338" spans="1:15" x14ac:dyDescent="0.3">
      <c r="A338" t="s">
        <v>424</v>
      </c>
      <c r="B338" s="2">
        <v>42512</v>
      </c>
      <c r="C338" s="7">
        <v>0.65208333333333335</v>
      </c>
      <c r="D338" t="s">
        <v>425</v>
      </c>
      <c r="E338" s="2">
        <v>42512</v>
      </c>
      <c r="F338" s="8">
        <v>0.65694444444444444</v>
      </c>
      <c r="G338" t="s">
        <v>7</v>
      </c>
      <c r="H338" s="7">
        <f t="shared" si="48"/>
        <v>4.8611111111110938E-3</v>
      </c>
      <c r="I338" s="13">
        <f t="shared" si="49"/>
        <v>0.11666666666666667</v>
      </c>
      <c r="J338" t="s">
        <v>15</v>
      </c>
      <c r="K338" t="s">
        <v>16</v>
      </c>
      <c r="L338">
        <v>3</v>
      </c>
      <c r="M338" s="5">
        <f t="shared" si="50"/>
        <v>25.714285714285715</v>
      </c>
      <c r="N338" t="s">
        <v>9</v>
      </c>
      <c r="O338" t="str">
        <f t="shared" si="51"/>
        <v>Meal/Entertain</v>
      </c>
    </row>
    <row r="339" spans="1:15" x14ac:dyDescent="0.3">
      <c r="A339" t="s">
        <v>426</v>
      </c>
      <c r="B339" s="2">
        <v>42512</v>
      </c>
      <c r="C339" s="7">
        <v>0.78194444444444444</v>
      </c>
      <c r="D339" t="s">
        <v>427</v>
      </c>
      <c r="E339" s="2">
        <v>42512</v>
      </c>
      <c r="F339" s="8">
        <v>0.78680555555555554</v>
      </c>
      <c r="G339" t="s">
        <v>7</v>
      </c>
      <c r="H339" s="7">
        <f t="shared" si="48"/>
        <v>4.8611111111110938E-3</v>
      </c>
      <c r="I339" s="13">
        <f t="shared" si="49"/>
        <v>0.11666666666666667</v>
      </c>
      <c r="J339" t="s">
        <v>16</v>
      </c>
      <c r="K339" t="s">
        <v>15</v>
      </c>
      <c r="L339">
        <v>2.5</v>
      </c>
      <c r="M339" s="5">
        <f t="shared" si="50"/>
        <v>21.428571428571427</v>
      </c>
      <c r="N339" t="s">
        <v>9</v>
      </c>
      <c r="O339" t="str">
        <f t="shared" si="51"/>
        <v>Meal/Entertain</v>
      </c>
    </row>
    <row r="340" spans="1:15" x14ac:dyDescent="0.3">
      <c r="A340" t="s">
        <v>428</v>
      </c>
      <c r="B340" s="2">
        <v>42513</v>
      </c>
      <c r="C340" s="7">
        <v>0.84652777777777777</v>
      </c>
      <c r="D340" t="s">
        <v>429</v>
      </c>
      <c r="E340" s="2">
        <v>42513</v>
      </c>
      <c r="F340" s="8">
        <v>0.8520833333333333</v>
      </c>
      <c r="G340" t="s">
        <v>7</v>
      </c>
      <c r="H340" s="7">
        <f t="shared" si="48"/>
        <v>5.5555555555555358E-3</v>
      </c>
      <c r="I340" s="13">
        <f t="shared" si="49"/>
        <v>0.13333333333333333</v>
      </c>
      <c r="J340" t="s">
        <v>38</v>
      </c>
      <c r="K340" t="s">
        <v>430</v>
      </c>
      <c r="L340">
        <v>3.6</v>
      </c>
      <c r="M340" s="5">
        <f t="shared" si="50"/>
        <v>27</v>
      </c>
      <c r="N340" t="s">
        <v>9</v>
      </c>
      <c r="O340" t="str">
        <f t="shared" si="51"/>
        <v>Meal/Entertain</v>
      </c>
    </row>
    <row r="341" spans="1:15" x14ac:dyDescent="0.3">
      <c r="A341" t="s">
        <v>443</v>
      </c>
      <c r="B341" s="2">
        <v>42518</v>
      </c>
      <c r="C341" s="7">
        <v>0.53611111111111109</v>
      </c>
      <c r="D341" t="s">
        <v>444</v>
      </c>
      <c r="E341" s="2">
        <v>42518</v>
      </c>
      <c r="F341" s="8">
        <v>0.54583333333333328</v>
      </c>
      <c r="G341" t="s">
        <v>7</v>
      </c>
      <c r="H341" s="7">
        <f t="shared" si="48"/>
        <v>9.7222222222221877E-3</v>
      </c>
      <c r="I341" s="13">
        <f t="shared" si="49"/>
        <v>0.23333333333333334</v>
      </c>
      <c r="J341" t="s">
        <v>15</v>
      </c>
      <c r="K341" t="s">
        <v>16</v>
      </c>
      <c r="L341">
        <v>6.1</v>
      </c>
      <c r="M341" s="5">
        <f t="shared" si="50"/>
        <v>26.142857142857142</v>
      </c>
      <c r="N341" t="s">
        <v>9</v>
      </c>
      <c r="O341" t="str">
        <f t="shared" si="51"/>
        <v>Meal/Entertain</v>
      </c>
    </row>
    <row r="342" spans="1:15" x14ac:dyDescent="0.3">
      <c r="A342" s="1">
        <v>42435.646527777775</v>
      </c>
      <c r="B342" s="6">
        <f t="shared" ref="B342:B351" si="56">INT(A342:A381)</f>
        <v>42435</v>
      </c>
      <c r="C342" s="7">
        <f t="shared" ref="C342:C351" si="57">(A342-B342)</f>
        <v>0.64652777777519077</v>
      </c>
      <c r="D342" s="1">
        <v>42435.662499999999</v>
      </c>
      <c r="E342" s="6">
        <f t="shared" ref="E342:E351" si="58">INT(D342)</f>
        <v>42435</v>
      </c>
      <c r="F342" s="8">
        <f t="shared" ref="F342:F351" si="59">D342-E342</f>
        <v>0.66249999999854481</v>
      </c>
      <c r="G342" t="s">
        <v>7</v>
      </c>
      <c r="H342" s="7">
        <f t="shared" si="48"/>
        <v>1.5972222223354038E-2</v>
      </c>
      <c r="I342" s="13">
        <f t="shared" si="49"/>
        <v>0.38333333333333336</v>
      </c>
      <c r="J342" t="s">
        <v>15</v>
      </c>
      <c r="K342" t="s">
        <v>16</v>
      </c>
      <c r="L342">
        <v>6</v>
      </c>
      <c r="M342" s="5">
        <f t="shared" si="50"/>
        <v>15.652173913043477</v>
      </c>
      <c r="N342" t="s">
        <v>9</v>
      </c>
      <c r="O342" t="str">
        <f t="shared" si="51"/>
        <v>Meal/Entertain</v>
      </c>
    </row>
    <row r="343" spans="1:15" x14ac:dyDescent="0.3">
      <c r="A343" s="1">
        <v>42496.664583333331</v>
      </c>
      <c r="B343" s="6">
        <f t="shared" si="56"/>
        <v>42496</v>
      </c>
      <c r="C343" s="7">
        <f t="shared" si="57"/>
        <v>0.66458333333139308</v>
      </c>
      <c r="D343" s="1">
        <v>42496.672222222223</v>
      </c>
      <c r="E343" s="6">
        <f t="shared" si="58"/>
        <v>42496</v>
      </c>
      <c r="F343" s="8">
        <f t="shared" si="59"/>
        <v>0.67222222222335404</v>
      </c>
      <c r="G343" t="s">
        <v>7</v>
      </c>
      <c r="H343" s="7">
        <f t="shared" si="48"/>
        <v>7.6388888919609599E-3</v>
      </c>
      <c r="I343" s="13">
        <f t="shared" si="49"/>
        <v>0.18333333333333332</v>
      </c>
      <c r="J343" t="s">
        <v>148</v>
      </c>
      <c r="K343" t="s">
        <v>148</v>
      </c>
      <c r="L343">
        <v>3.8</v>
      </c>
      <c r="M343" s="5">
        <f t="shared" si="50"/>
        <v>20.727272727272727</v>
      </c>
      <c r="N343" t="s">
        <v>9</v>
      </c>
      <c r="O343" t="str">
        <f t="shared" si="51"/>
        <v>Meal/Entertain</v>
      </c>
    </row>
    <row r="344" spans="1:15" x14ac:dyDescent="0.3">
      <c r="A344" s="1">
        <v>42496.753472222219</v>
      </c>
      <c r="B344" s="6">
        <f t="shared" si="56"/>
        <v>42496</v>
      </c>
      <c r="C344" s="7">
        <f t="shared" si="57"/>
        <v>0.75347222221898846</v>
      </c>
      <c r="D344" s="1">
        <v>42496.759722222225</v>
      </c>
      <c r="E344" s="6">
        <f t="shared" si="58"/>
        <v>42496</v>
      </c>
      <c r="F344" s="8">
        <f t="shared" si="59"/>
        <v>0.75972222222480923</v>
      </c>
      <c r="G344" t="s">
        <v>7</v>
      </c>
      <c r="H344" s="7">
        <f t="shared" si="48"/>
        <v>6.2500000058207661E-3</v>
      </c>
      <c r="I344" s="13">
        <f t="shared" si="49"/>
        <v>0.15</v>
      </c>
      <c r="J344" t="s">
        <v>16</v>
      </c>
      <c r="K344" t="s">
        <v>15</v>
      </c>
      <c r="L344">
        <v>2.5</v>
      </c>
      <c r="M344" s="5">
        <f t="shared" si="50"/>
        <v>16.666666666666668</v>
      </c>
      <c r="N344" t="s">
        <v>9</v>
      </c>
      <c r="O344" t="str">
        <f t="shared" si="51"/>
        <v>Meal/Entertain</v>
      </c>
    </row>
    <row r="345" spans="1:15" x14ac:dyDescent="0.3">
      <c r="A345" s="1">
        <v>42527.837500000001</v>
      </c>
      <c r="B345" s="6">
        <f t="shared" si="56"/>
        <v>42527</v>
      </c>
      <c r="C345" s="7">
        <f t="shared" si="57"/>
        <v>0.83750000000145519</v>
      </c>
      <c r="D345" s="1">
        <v>42527.847222222219</v>
      </c>
      <c r="E345" s="6">
        <f t="shared" si="58"/>
        <v>42527</v>
      </c>
      <c r="F345" s="8">
        <f t="shared" si="59"/>
        <v>0.84722222221898846</v>
      </c>
      <c r="G345" t="s">
        <v>7</v>
      </c>
      <c r="H345" s="7">
        <f t="shared" si="48"/>
        <v>9.7222222175332718E-3</v>
      </c>
      <c r="I345" s="13">
        <f t="shared" si="49"/>
        <v>0.23333333333333334</v>
      </c>
      <c r="J345" t="s">
        <v>15</v>
      </c>
      <c r="K345" t="s">
        <v>48</v>
      </c>
      <c r="L345">
        <v>5.7</v>
      </c>
      <c r="M345" s="5">
        <f t="shared" si="50"/>
        <v>24.428571428571431</v>
      </c>
      <c r="N345" t="s">
        <v>9</v>
      </c>
      <c r="O345" t="str">
        <f t="shared" si="51"/>
        <v>Meal/Entertain</v>
      </c>
    </row>
    <row r="346" spans="1:15" x14ac:dyDescent="0.3">
      <c r="A346" s="1">
        <v>42527.880555555559</v>
      </c>
      <c r="B346" s="6">
        <f t="shared" si="56"/>
        <v>42527</v>
      </c>
      <c r="C346" s="7">
        <f t="shared" si="57"/>
        <v>0.88055555555911269</v>
      </c>
      <c r="D346" s="1">
        <v>42527.900694444441</v>
      </c>
      <c r="E346" s="6">
        <f t="shared" si="58"/>
        <v>42527</v>
      </c>
      <c r="F346" s="8">
        <f t="shared" si="59"/>
        <v>0.90069444444088731</v>
      </c>
      <c r="G346" t="s">
        <v>7</v>
      </c>
      <c r="H346" s="7">
        <f t="shared" si="48"/>
        <v>2.0138888881774619E-2</v>
      </c>
      <c r="I346" s="13">
        <f t="shared" si="49"/>
        <v>0.48333333333333334</v>
      </c>
      <c r="J346" t="s">
        <v>48</v>
      </c>
      <c r="K346" t="s">
        <v>15</v>
      </c>
      <c r="L346">
        <v>7.2</v>
      </c>
      <c r="M346" s="5">
        <f t="shared" si="50"/>
        <v>14.896551724137931</v>
      </c>
      <c r="N346" t="s">
        <v>9</v>
      </c>
      <c r="O346" t="str">
        <f t="shared" si="51"/>
        <v>Meal/Entertain</v>
      </c>
    </row>
    <row r="347" spans="1:15" x14ac:dyDescent="0.3">
      <c r="A347" s="1">
        <v>42588.349305555559</v>
      </c>
      <c r="B347" s="6">
        <f t="shared" si="56"/>
        <v>42588</v>
      </c>
      <c r="C347" s="7">
        <f t="shared" si="57"/>
        <v>0.34930555555911269</v>
      </c>
      <c r="D347" s="1">
        <v>42588.370138888888</v>
      </c>
      <c r="E347" s="6">
        <f t="shared" si="58"/>
        <v>42588</v>
      </c>
      <c r="F347" s="8">
        <f t="shared" si="59"/>
        <v>0.37013888888759539</v>
      </c>
      <c r="G347" t="s">
        <v>7</v>
      </c>
      <c r="H347" s="7">
        <f t="shared" si="48"/>
        <v>2.0833333328482695E-2</v>
      </c>
      <c r="I347" s="13">
        <f t="shared" si="49"/>
        <v>0.5</v>
      </c>
      <c r="J347" t="s">
        <v>15</v>
      </c>
      <c r="K347" t="s">
        <v>16</v>
      </c>
      <c r="L347">
        <v>8.6999999999999993</v>
      </c>
      <c r="M347" s="5">
        <f t="shared" si="50"/>
        <v>17.399999999999999</v>
      </c>
      <c r="N347" t="s">
        <v>9</v>
      </c>
      <c r="O347" t="str">
        <f t="shared" si="51"/>
        <v>Meal/Entertain</v>
      </c>
    </row>
    <row r="348" spans="1:15" x14ac:dyDescent="0.3">
      <c r="A348" s="1">
        <v>42588.55</v>
      </c>
      <c r="B348" s="6">
        <f t="shared" si="56"/>
        <v>42588</v>
      </c>
      <c r="C348" s="7">
        <f t="shared" si="57"/>
        <v>0.55000000000291038</v>
      </c>
      <c r="D348" s="1">
        <v>42588.561805555553</v>
      </c>
      <c r="E348" s="6">
        <f t="shared" si="58"/>
        <v>42588</v>
      </c>
      <c r="F348" s="8">
        <f t="shared" si="59"/>
        <v>0.56180555555329192</v>
      </c>
      <c r="G348" t="s">
        <v>7</v>
      </c>
      <c r="H348" s="7">
        <f t="shared" si="48"/>
        <v>1.1805555550381541E-2</v>
      </c>
      <c r="I348" s="13">
        <f t="shared" si="49"/>
        <v>0.28333333333333333</v>
      </c>
      <c r="J348" t="s">
        <v>455</v>
      </c>
      <c r="K348" t="s">
        <v>456</v>
      </c>
      <c r="L348">
        <v>3.3</v>
      </c>
      <c r="M348" s="5">
        <f t="shared" si="50"/>
        <v>11.647058823529411</v>
      </c>
      <c r="N348" t="s">
        <v>9</v>
      </c>
      <c r="O348" t="str">
        <f t="shared" si="51"/>
        <v>Meal/Entertain</v>
      </c>
    </row>
    <row r="349" spans="1:15" x14ac:dyDescent="0.3">
      <c r="A349" s="1">
        <v>42588.704861111109</v>
      </c>
      <c r="B349" s="6">
        <f t="shared" si="56"/>
        <v>42588</v>
      </c>
      <c r="C349" s="7">
        <f t="shared" si="57"/>
        <v>0.70486111110949423</v>
      </c>
      <c r="D349" s="1">
        <v>42588.71597222222</v>
      </c>
      <c r="E349" s="6">
        <f t="shared" si="58"/>
        <v>42588</v>
      </c>
      <c r="F349" s="8">
        <f t="shared" si="59"/>
        <v>0.71597222222044365</v>
      </c>
      <c r="G349" t="s">
        <v>7</v>
      </c>
      <c r="H349" s="7">
        <f t="shared" si="48"/>
        <v>1.1111111110949423E-2</v>
      </c>
      <c r="I349" s="13">
        <f t="shared" si="49"/>
        <v>0.26666666666666666</v>
      </c>
      <c r="J349" t="s">
        <v>459</v>
      </c>
      <c r="K349" t="s">
        <v>460</v>
      </c>
      <c r="L349">
        <v>2.5</v>
      </c>
      <c r="M349" s="5">
        <f t="shared" si="50"/>
        <v>9.375</v>
      </c>
      <c r="N349" t="s">
        <v>9</v>
      </c>
      <c r="O349" t="str">
        <f t="shared" si="51"/>
        <v>Meal/Entertain</v>
      </c>
    </row>
    <row r="350" spans="1:15" x14ac:dyDescent="0.3">
      <c r="A350" s="1">
        <v>42680.731944444444</v>
      </c>
      <c r="B350" s="6">
        <f t="shared" si="56"/>
        <v>42680</v>
      </c>
      <c r="C350" s="7">
        <f t="shared" si="57"/>
        <v>0.73194444444379769</v>
      </c>
      <c r="D350" s="1">
        <v>42680.73541666667</v>
      </c>
      <c r="E350" s="6">
        <f t="shared" si="58"/>
        <v>42680</v>
      </c>
      <c r="F350" s="8">
        <f t="shared" si="59"/>
        <v>0.73541666667006211</v>
      </c>
      <c r="G350" t="s">
        <v>7</v>
      </c>
      <c r="H350" s="7">
        <f t="shared" si="48"/>
        <v>3.4722222262644209E-3</v>
      </c>
      <c r="I350" s="13">
        <f t="shared" si="49"/>
        <v>8.3333333333333329E-2</v>
      </c>
      <c r="J350" t="s">
        <v>16</v>
      </c>
      <c r="K350" t="s">
        <v>15</v>
      </c>
      <c r="L350">
        <v>4.5999999999999996</v>
      </c>
      <c r="M350" s="5">
        <f t="shared" si="50"/>
        <v>55.199999999999996</v>
      </c>
      <c r="N350" t="s">
        <v>9</v>
      </c>
      <c r="O350" t="str">
        <f t="shared" si="51"/>
        <v>Meal/Entertain</v>
      </c>
    </row>
    <row r="351" spans="1:15" x14ac:dyDescent="0.3">
      <c r="A351" s="1">
        <v>42710.828472222223</v>
      </c>
      <c r="B351" s="6">
        <f t="shared" si="56"/>
        <v>42710</v>
      </c>
      <c r="C351" s="7">
        <f t="shared" si="57"/>
        <v>0.82847222222335404</v>
      </c>
      <c r="D351" s="1">
        <v>42710.830555555556</v>
      </c>
      <c r="E351" s="6">
        <f t="shared" si="58"/>
        <v>42710</v>
      </c>
      <c r="F351" s="8">
        <f t="shared" si="59"/>
        <v>0.83055555555620231</v>
      </c>
      <c r="G351" t="s">
        <v>7</v>
      </c>
      <c r="H351" s="7">
        <f t="shared" si="48"/>
        <v>2.0833333328482695E-3</v>
      </c>
      <c r="I351" s="13">
        <f t="shared" si="49"/>
        <v>0.05</v>
      </c>
      <c r="J351" t="s">
        <v>15</v>
      </c>
      <c r="K351" t="s">
        <v>16</v>
      </c>
      <c r="L351">
        <v>2.5</v>
      </c>
      <c r="M351" s="5">
        <f t="shared" si="50"/>
        <v>50</v>
      </c>
      <c r="N351" t="s">
        <v>9</v>
      </c>
      <c r="O351" t="str">
        <f t="shared" si="51"/>
        <v>Meal/Entertain</v>
      </c>
    </row>
    <row r="352" spans="1:15" x14ac:dyDescent="0.3">
      <c r="A352" t="s">
        <v>464</v>
      </c>
      <c r="B352" s="2">
        <v>42534</v>
      </c>
      <c r="C352" s="7">
        <v>0.22430555555555556</v>
      </c>
      <c r="D352" t="s">
        <v>465</v>
      </c>
      <c r="E352" s="2">
        <v>42534</v>
      </c>
      <c r="F352" s="8">
        <v>0.23750000000000002</v>
      </c>
      <c r="G352" t="s">
        <v>7</v>
      </c>
      <c r="H352" s="7">
        <f t="shared" si="48"/>
        <v>1.3194444444444453E-2</v>
      </c>
      <c r="I352" s="13">
        <f t="shared" si="49"/>
        <v>0.31666666666666665</v>
      </c>
      <c r="J352" t="s">
        <v>15</v>
      </c>
      <c r="K352" t="s">
        <v>16</v>
      </c>
      <c r="L352">
        <v>8.4</v>
      </c>
      <c r="M352" s="5">
        <f t="shared" si="50"/>
        <v>26.526315789473685</v>
      </c>
      <c r="N352" t="s">
        <v>9</v>
      </c>
      <c r="O352" t="str">
        <f t="shared" si="51"/>
        <v>Meal/Entertain</v>
      </c>
    </row>
    <row r="353" spans="1:15" x14ac:dyDescent="0.3">
      <c r="A353" t="s">
        <v>470</v>
      </c>
      <c r="B353" s="2">
        <v>42534</v>
      </c>
      <c r="C353" s="7">
        <v>0.75555555555555554</v>
      </c>
      <c r="D353" t="s">
        <v>471</v>
      </c>
      <c r="E353" s="2">
        <v>42534</v>
      </c>
      <c r="F353" s="8">
        <v>0.78263888888888899</v>
      </c>
      <c r="G353" t="s">
        <v>7</v>
      </c>
      <c r="H353" s="7">
        <f t="shared" si="48"/>
        <v>2.7083333333333459E-2</v>
      </c>
      <c r="I353" s="13">
        <f t="shared" si="49"/>
        <v>0.65</v>
      </c>
      <c r="J353" t="s">
        <v>469</v>
      </c>
      <c r="K353" t="s">
        <v>472</v>
      </c>
      <c r="L353">
        <v>3.9</v>
      </c>
      <c r="M353" s="5">
        <f t="shared" si="50"/>
        <v>6</v>
      </c>
      <c r="N353" t="s">
        <v>9</v>
      </c>
      <c r="O353" t="str">
        <f t="shared" si="51"/>
        <v>Meal/Entertain</v>
      </c>
    </row>
    <row r="354" spans="1:15" x14ac:dyDescent="0.3">
      <c r="A354" t="s">
        <v>473</v>
      </c>
      <c r="B354" s="2">
        <v>42534</v>
      </c>
      <c r="C354" s="7">
        <v>0.78749999999999998</v>
      </c>
      <c r="D354" t="s">
        <v>474</v>
      </c>
      <c r="E354" s="2">
        <v>42534</v>
      </c>
      <c r="F354" s="8">
        <v>0.80763888888888891</v>
      </c>
      <c r="G354" t="s">
        <v>7</v>
      </c>
      <c r="H354" s="7">
        <f t="shared" si="48"/>
        <v>2.0138888888888928E-2</v>
      </c>
      <c r="I354" s="13">
        <f t="shared" si="49"/>
        <v>0.48333333333333334</v>
      </c>
      <c r="J354" t="s">
        <v>472</v>
      </c>
      <c r="K354" t="s">
        <v>468</v>
      </c>
      <c r="L354">
        <v>5.0999999999999996</v>
      </c>
      <c r="M354" s="5">
        <f t="shared" si="50"/>
        <v>10.551724137931034</v>
      </c>
      <c r="N354" t="s">
        <v>9</v>
      </c>
      <c r="O354" t="str">
        <f t="shared" si="51"/>
        <v>Meal/Entertain</v>
      </c>
    </row>
    <row r="355" spans="1:15" x14ac:dyDescent="0.3">
      <c r="A355" t="s">
        <v>500</v>
      </c>
      <c r="B355" s="2">
        <v>42536</v>
      </c>
      <c r="C355" s="7">
        <v>0.82777777777777783</v>
      </c>
      <c r="D355" t="s">
        <v>501</v>
      </c>
      <c r="E355" s="2">
        <v>42536</v>
      </c>
      <c r="F355" s="8">
        <v>0.83194444444444438</v>
      </c>
      <c r="G355" t="s">
        <v>7</v>
      </c>
      <c r="H355" s="7">
        <f t="shared" si="48"/>
        <v>4.1666666666665408E-3</v>
      </c>
      <c r="I355" s="13">
        <f t="shared" si="49"/>
        <v>0.1</v>
      </c>
      <c r="J355" t="s">
        <v>499</v>
      </c>
      <c r="K355" t="s">
        <v>502</v>
      </c>
      <c r="L355">
        <v>1.5</v>
      </c>
      <c r="M355" s="5">
        <f t="shared" si="50"/>
        <v>15</v>
      </c>
      <c r="N355" t="s">
        <v>9</v>
      </c>
      <c r="O355" t="str">
        <f t="shared" si="51"/>
        <v>Meal/Entertain</v>
      </c>
    </row>
    <row r="356" spans="1:15" x14ac:dyDescent="0.3">
      <c r="A356" t="s">
        <v>524</v>
      </c>
      <c r="B356" s="2">
        <v>42542</v>
      </c>
      <c r="C356" s="7">
        <v>0.71597222222222223</v>
      </c>
      <c r="D356" t="s">
        <v>525</v>
      </c>
      <c r="E356" s="2">
        <v>42542</v>
      </c>
      <c r="F356" s="8">
        <v>0.75138888888888899</v>
      </c>
      <c r="G356" t="s">
        <v>7</v>
      </c>
      <c r="H356" s="7">
        <f t="shared" si="48"/>
        <v>3.5416666666666763E-2</v>
      </c>
      <c r="I356" s="13">
        <f t="shared" si="49"/>
        <v>0.85</v>
      </c>
      <c r="J356" t="s">
        <v>40</v>
      </c>
      <c r="K356" t="s">
        <v>15</v>
      </c>
      <c r="L356">
        <v>16.600000000000001</v>
      </c>
      <c r="M356" s="5">
        <f t="shared" si="50"/>
        <v>19.529411764705884</v>
      </c>
      <c r="N356" t="s">
        <v>9</v>
      </c>
      <c r="O356" t="str">
        <f t="shared" si="51"/>
        <v>Meal/Entertain</v>
      </c>
    </row>
    <row r="357" spans="1:15" x14ac:dyDescent="0.3">
      <c r="A357" t="s">
        <v>526</v>
      </c>
      <c r="B357" s="2">
        <v>42545</v>
      </c>
      <c r="C357" s="7">
        <v>0.44513888888888892</v>
      </c>
      <c r="D357" t="s">
        <v>527</v>
      </c>
      <c r="E357" s="2">
        <v>42545</v>
      </c>
      <c r="F357" s="8">
        <v>0.45624999999999999</v>
      </c>
      <c r="G357" t="s">
        <v>7</v>
      </c>
      <c r="H357" s="7">
        <f t="shared" si="48"/>
        <v>1.1111111111111072E-2</v>
      </c>
      <c r="I357" s="13">
        <f t="shared" si="49"/>
        <v>0.26666666666666666</v>
      </c>
      <c r="J357" t="s">
        <v>38</v>
      </c>
      <c r="K357" t="s">
        <v>139</v>
      </c>
      <c r="L357">
        <v>7.1</v>
      </c>
      <c r="M357" s="5">
        <f t="shared" si="50"/>
        <v>26.625</v>
      </c>
      <c r="N357" t="s">
        <v>9</v>
      </c>
      <c r="O357" t="str">
        <f t="shared" si="51"/>
        <v>Meal/Entertain</v>
      </c>
    </row>
    <row r="358" spans="1:15" x14ac:dyDescent="0.3">
      <c r="A358" t="s">
        <v>528</v>
      </c>
      <c r="B358" s="2">
        <v>42545</v>
      </c>
      <c r="C358" s="7">
        <v>0.49583333333333335</v>
      </c>
      <c r="D358" t="s">
        <v>529</v>
      </c>
      <c r="E358" s="2">
        <v>42545</v>
      </c>
      <c r="F358" s="8">
        <v>0.50069444444444444</v>
      </c>
      <c r="G358" t="s">
        <v>7</v>
      </c>
      <c r="H358" s="7">
        <f t="shared" si="48"/>
        <v>4.8611111111110938E-3</v>
      </c>
      <c r="I358" s="13">
        <f t="shared" si="49"/>
        <v>0.11666666666666667</v>
      </c>
      <c r="J358" t="s">
        <v>139</v>
      </c>
      <c r="K358" t="s">
        <v>52</v>
      </c>
      <c r="L358">
        <v>2.1</v>
      </c>
      <c r="M358" s="5">
        <f t="shared" si="50"/>
        <v>18</v>
      </c>
      <c r="N358" t="s">
        <v>9</v>
      </c>
      <c r="O358" t="str">
        <f t="shared" si="51"/>
        <v>Meal/Entertain</v>
      </c>
    </row>
    <row r="359" spans="1:15" x14ac:dyDescent="0.3">
      <c r="A359" t="s">
        <v>549</v>
      </c>
      <c r="B359" s="2">
        <v>42546</v>
      </c>
      <c r="C359" s="7">
        <v>0.4513888888888889</v>
      </c>
      <c r="D359" t="s">
        <v>550</v>
      </c>
      <c r="E359" s="2">
        <v>42546</v>
      </c>
      <c r="F359" s="8">
        <v>0.47083333333333338</v>
      </c>
      <c r="G359" t="s">
        <v>7</v>
      </c>
      <c r="H359" s="7">
        <f t="shared" si="48"/>
        <v>1.9444444444444486E-2</v>
      </c>
      <c r="I359" s="13">
        <f t="shared" si="49"/>
        <v>0.46666666666666667</v>
      </c>
      <c r="J359" t="s">
        <v>548</v>
      </c>
      <c r="K359" t="s">
        <v>505</v>
      </c>
      <c r="L359">
        <v>17</v>
      </c>
      <c r="M359" s="5">
        <f t="shared" si="50"/>
        <v>36.428571428571431</v>
      </c>
      <c r="N359" t="s">
        <v>9</v>
      </c>
      <c r="O359" t="str">
        <f t="shared" si="51"/>
        <v>Meal/Entertain</v>
      </c>
    </row>
    <row r="360" spans="1:15" x14ac:dyDescent="0.3">
      <c r="A360" s="1">
        <v>42528.022916666669</v>
      </c>
      <c r="B360" s="6">
        <f>INT(A360:A399)</f>
        <v>42528</v>
      </c>
      <c r="C360" s="7">
        <f>(A360-B360)</f>
        <v>2.2916666668606922E-2</v>
      </c>
      <c r="D360" s="1">
        <v>42528.036805555559</v>
      </c>
      <c r="E360" s="6">
        <f>INT(D360)</f>
        <v>42528</v>
      </c>
      <c r="F360" s="8">
        <f>D360-E360</f>
        <v>3.680555555911269E-2</v>
      </c>
      <c r="G360" t="s">
        <v>7</v>
      </c>
      <c r="H360" s="7">
        <f t="shared" si="48"/>
        <v>1.3888888890505768E-2</v>
      </c>
      <c r="I360" s="13">
        <f t="shared" si="49"/>
        <v>0.33333333333333331</v>
      </c>
      <c r="J360" t="s">
        <v>16</v>
      </c>
      <c r="K360" t="s">
        <v>15</v>
      </c>
      <c r="L360">
        <v>6.3</v>
      </c>
      <c r="M360" s="5">
        <f t="shared" si="50"/>
        <v>18.900000000000002</v>
      </c>
      <c r="N360" t="s">
        <v>9</v>
      </c>
      <c r="O360" t="str">
        <f t="shared" si="51"/>
        <v>Meal/Entertain</v>
      </c>
    </row>
    <row r="361" spans="1:15" x14ac:dyDescent="0.3">
      <c r="A361" s="1">
        <v>42528.836111111108</v>
      </c>
      <c r="B361" s="6">
        <f>INT(A361:A400)</f>
        <v>42528</v>
      </c>
      <c r="C361" s="7">
        <f>(A361-B361)</f>
        <v>0.83611111110803904</v>
      </c>
      <c r="D361" s="1">
        <v>42528.843055555553</v>
      </c>
      <c r="E361" s="6">
        <f>INT(D361)</f>
        <v>42528</v>
      </c>
      <c r="F361" s="8">
        <f>D361-E361</f>
        <v>0.84305555555329192</v>
      </c>
      <c r="G361" t="s">
        <v>7</v>
      </c>
      <c r="H361" s="7">
        <f t="shared" si="48"/>
        <v>6.9444444452528842E-3</v>
      </c>
      <c r="I361" s="13">
        <f t="shared" si="49"/>
        <v>0.16666666666666666</v>
      </c>
      <c r="J361" t="s">
        <v>15</v>
      </c>
      <c r="K361" t="s">
        <v>16</v>
      </c>
      <c r="L361">
        <v>3.3</v>
      </c>
      <c r="M361" s="5">
        <f t="shared" si="50"/>
        <v>19.8</v>
      </c>
      <c r="N361" t="s">
        <v>9</v>
      </c>
      <c r="O361" t="str">
        <f t="shared" si="51"/>
        <v>Meal/Entertain</v>
      </c>
    </row>
    <row r="362" spans="1:15" x14ac:dyDescent="0.3">
      <c r="A362" t="s">
        <v>673</v>
      </c>
      <c r="B362" s="2">
        <v>42569</v>
      </c>
      <c r="C362" s="7">
        <v>0.77222222222222225</v>
      </c>
      <c r="D362" t="s">
        <v>674</v>
      </c>
      <c r="E362" s="2">
        <v>42569</v>
      </c>
      <c r="F362" s="8">
        <v>0.78263888888888899</v>
      </c>
      <c r="G362" t="s">
        <v>7</v>
      </c>
      <c r="H362" s="7">
        <f t="shared" si="48"/>
        <v>1.0416666666666741E-2</v>
      </c>
      <c r="I362" s="13">
        <f t="shared" si="49"/>
        <v>0.25</v>
      </c>
      <c r="J362" t="s">
        <v>48</v>
      </c>
      <c r="K362" t="s">
        <v>15</v>
      </c>
      <c r="L362">
        <v>5.5</v>
      </c>
      <c r="M362" s="5">
        <f t="shared" si="50"/>
        <v>22</v>
      </c>
      <c r="N362" t="s">
        <v>9</v>
      </c>
      <c r="O362" t="str">
        <f t="shared" si="51"/>
        <v>Meal/Entertain</v>
      </c>
    </row>
    <row r="363" spans="1:15" x14ac:dyDescent="0.3">
      <c r="A363" t="s">
        <v>675</v>
      </c>
      <c r="B363" s="2">
        <v>42569</v>
      </c>
      <c r="C363" s="7">
        <v>0.79652777777777783</v>
      </c>
      <c r="D363" t="s">
        <v>676</v>
      </c>
      <c r="E363" s="2">
        <v>42569</v>
      </c>
      <c r="F363" s="8">
        <v>0.80138888888888893</v>
      </c>
      <c r="G363" t="s">
        <v>7</v>
      </c>
      <c r="H363" s="7">
        <f t="shared" si="48"/>
        <v>4.8611111111110938E-3</v>
      </c>
      <c r="I363" s="13">
        <f t="shared" si="49"/>
        <v>0.11666666666666667</v>
      </c>
      <c r="J363" t="s">
        <v>15</v>
      </c>
      <c r="K363" t="s">
        <v>16</v>
      </c>
      <c r="L363">
        <v>3.3</v>
      </c>
      <c r="M363" s="5">
        <f t="shared" si="50"/>
        <v>28.285714285714285</v>
      </c>
      <c r="N363" t="s">
        <v>9</v>
      </c>
      <c r="O363" t="str">
        <f t="shared" si="51"/>
        <v>Meal/Entertain</v>
      </c>
    </row>
    <row r="364" spans="1:15" x14ac:dyDescent="0.3">
      <c r="A364" t="s">
        <v>679</v>
      </c>
      <c r="B364" s="2">
        <v>42569</v>
      </c>
      <c r="C364" s="7">
        <v>0.88263888888888886</v>
      </c>
      <c r="D364" t="s">
        <v>680</v>
      </c>
      <c r="E364" s="2">
        <v>42569</v>
      </c>
      <c r="F364" s="8">
        <v>0.8881944444444444</v>
      </c>
      <c r="G364" t="s">
        <v>7</v>
      </c>
      <c r="H364" s="7">
        <f t="shared" si="48"/>
        <v>5.5555555555555358E-3</v>
      </c>
      <c r="I364" s="13">
        <f t="shared" si="49"/>
        <v>0.13333333333333333</v>
      </c>
      <c r="J364" t="s">
        <v>16</v>
      </c>
      <c r="K364" t="s">
        <v>15</v>
      </c>
      <c r="L364">
        <v>3.8</v>
      </c>
      <c r="M364" s="5">
        <f t="shared" si="50"/>
        <v>28.5</v>
      </c>
      <c r="N364" t="s">
        <v>9</v>
      </c>
      <c r="O364" t="str">
        <f t="shared" si="51"/>
        <v>Meal/Entertain</v>
      </c>
    </row>
    <row r="365" spans="1:15" x14ac:dyDescent="0.3">
      <c r="A365" t="s">
        <v>687</v>
      </c>
      <c r="B365" s="2">
        <v>42570</v>
      </c>
      <c r="C365" s="7">
        <v>0.47916666666666669</v>
      </c>
      <c r="D365" t="s">
        <v>688</v>
      </c>
      <c r="E365" s="2">
        <v>42570</v>
      </c>
      <c r="F365" s="8">
        <v>0.5</v>
      </c>
      <c r="G365" t="s">
        <v>7</v>
      </c>
      <c r="H365" s="7">
        <f t="shared" si="48"/>
        <v>2.0833333333333315E-2</v>
      </c>
      <c r="I365" s="13">
        <f t="shared" si="49"/>
        <v>0.5</v>
      </c>
      <c r="J365" t="s">
        <v>686</v>
      </c>
      <c r="K365" t="s">
        <v>38</v>
      </c>
      <c r="L365">
        <v>8.6999999999999993</v>
      </c>
      <c r="M365" s="5">
        <f t="shared" si="50"/>
        <v>17.399999999999999</v>
      </c>
      <c r="N365" t="s">
        <v>9</v>
      </c>
      <c r="O365" t="str">
        <f t="shared" si="51"/>
        <v>Meal/Entertain</v>
      </c>
    </row>
    <row r="366" spans="1:15" x14ac:dyDescent="0.3">
      <c r="A366" t="s">
        <v>717</v>
      </c>
      <c r="B366" s="2">
        <v>42573</v>
      </c>
      <c r="C366" s="7">
        <v>0.6020833333333333</v>
      </c>
      <c r="D366" t="s">
        <v>718</v>
      </c>
      <c r="E366" s="2">
        <v>42573</v>
      </c>
      <c r="F366" s="8">
        <v>0.61319444444444449</v>
      </c>
      <c r="G366" t="s">
        <v>7</v>
      </c>
      <c r="H366" s="7">
        <f t="shared" si="48"/>
        <v>1.1111111111111183E-2</v>
      </c>
      <c r="I366" s="13">
        <f t="shared" si="49"/>
        <v>0.26666666666666666</v>
      </c>
      <c r="J366" t="s">
        <v>15</v>
      </c>
      <c r="K366" t="s">
        <v>16</v>
      </c>
      <c r="L366">
        <v>6.1</v>
      </c>
      <c r="M366" s="5">
        <f t="shared" si="50"/>
        <v>22.875</v>
      </c>
      <c r="N366" t="s">
        <v>9</v>
      </c>
      <c r="O366" t="str">
        <f t="shared" si="51"/>
        <v>Meal/Entertain</v>
      </c>
    </row>
    <row r="367" spans="1:15" x14ac:dyDescent="0.3">
      <c r="A367" t="s">
        <v>747</v>
      </c>
      <c r="B367" s="2">
        <v>42577</v>
      </c>
      <c r="C367" s="7">
        <v>0.86944444444444446</v>
      </c>
      <c r="D367" t="s">
        <v>748</v>
      </c>
      <c r="E367" s="2">
        <v>42577</v>
      </c>
      <c r="F367" s="8">
        <v>0.875</v>
      </c>
      <c r="G367" t="s">
        <v>7</v>
      </c>
      <c r="H367" s="7">
        <f t="shared" si="48"/>
        <v>5.5555555555555358E-3</v>
      </c>
      <c r="I367" s="13">
        <f t="shared" si="49"/>
        <v>0.13333333333333333</v>
      </c>
      <c r="J367" t="s">
        <v>15</v>
      </c>
      <c r="K367" t="s">
        <v>16</v>
      </c>
      <c r="L367">
        <v>2.5</v>
      </c>
      <c r="M367" s="5">
        <f t="shared" si="50"/>
        <v>18.75</v>
      </c>
      <c r="N367" t="s">
        <v>9</v>
      </c>
      <c r="O367" t="str">
        <f t="shared" si="51"/>
        <v>Meal/Entertain</v>
      </c>
    </row>
    <row r="368" spans="1:15" x14ac:dyDescent="0.3">
      <c r="A368" t="s">
        <v>749</v>
      </c>
      <c r="B368" s="2">
        <v>42577</v>
      </c>
      <c r="C368" s="7">
        <v>0.93819444444444444</v>
      </c>
      <c r="D368" t="s">
        <v>750</v>
      </c>
      <c r="E368" s="2">
        <v>42577</v>
      </c>
      <c r="F368" s="8">
        <v>0.94374999999999998</v>
      </c>
      <c r="G368" t="s">
        <v>7</v>
      </c>
      <c r="H368" s="7">
        <f t="shared" si="48"/>
        <v>5.5555555555555358E-3</v>
      </c>
      <c r="I368" s="13">
        <f t="shared" si="49"/>
        <v>0.13333333333333333</v>
      </c>
      <c r="J368" t="s">
        <v>16</v>
      </c>
      <c r="K368" t="s">
        <v>15</v>
      </c>
      <c r="L368">
        <v>2.5</v>
      </c>
      <c r="M368" s="5">
        <f t="shared" si="50"/>
        <v>18.75</v>
      </c>
      <c r="N368" t="s">
        <v>9</v>
      </c>
      <c r="O368" t="str">
        <f t="shared" si="51"/>
        <v>Meal/Entertain</v>
      </c>
    </row>
    <row r="369" spans="1:15" x14ac:dyDescent="0.3">
      <c r="A369" t="s">
        <v>761</v>
      </c>
      <c r="B369" s="2">
        <v>42580</v>
      </c>
      <c r="C369" s="7">
        <v>0.7270833333333333</v>
      </c>
      <c r="D369" t="s">
        <v>762</v>
      </c>
      <c r="E369" s="2">
        <v>42580</v>
      </c>
      <c r="F369" s="8">
        <v>0.73958333333333337</v>
      </c>
      <c r="G369" t="s">
        <v>7</v>
      </c>
      <c r="H369" s="7">
        <f t="shared" si="48"/>
        <v>1.2500000000000067E-2</v>
      </c>
      <c r="I369" s="13">
        <f t="shared" si="49"/>
        <v>0.3</v>
      </c>
      <c r="J369" t="s">
        <v>44</v>
      </c>
      <c r="K369" t="s">
        <v>38</v>
      </c>
      <c r="L369">
        <v>2.2000000000000002</v>
      </c>
      <c r="M369" s="5">
        <f t="shared" si="50"/>
        <v>7.3333333333333339</v>
      </c>
      <c r="N369" t="s">
        <v>9</v>
      </c>
      <c r="O369" t="str">
        <f t="shared" si="51"/>
        <v>Meal/Entertain</v>
      </c>
    </row>
    <row r="370" spans="1:15" x14ac:dyDescent="0.3">
      <c r="A370" s="1">
        <v>42559.84375</v>
      </c>
      <c r="B370" s="6">
        <f>INT(A370:A409)</f>
        <v>42559</v>
      </c>
      <c r="C370" s="7">
        <f>(A370-B370)</f>
        <v>0.84375</v>
      </c>
      <c r="D370" s="1">
        <v>42559.849305555559</v>
      </c>
      <c r="E370" s="6">
        <f>INT(D370)</f>
        <v>42559</v>
      </c>
      <c r="F370" s="8">
        <f>D370-E370</f>
        <v>0.84930555555911269</v>
      </c>
      <c r="G370" t="s">
        <v>7</v>
      </c>
      <c r="H370" s="7">
        <f t="shared" si="48"/>
        <v>5.5555555591126904E-3</v>
      </c>
      <c r="I370" s="13">
        <f t="shared" si="49"/>
        <v>0.13333333333333333</v>
      </c>
      <c r="J370" t="s">
        <v>16</v>
      </c>
      <c r="K370" t="s">
        <v>15</v>
      </c>
      <c r="L370">
        <v>2.5</v>
      </c>
      <c r="M370" s="5">
        <f t="shared" si="50"/>
        <v>18.75</v>
      </c>
      <c r="N370" t="s">
        <v>9</v>
      </c>
      <c r="O370" t="str">
        <f t="shared" si="51"/>
        <v>Meal/Entertain</v>
      </c>
    </row>
    <row r="371" spans="1:15" x14ac:dyDescent="0.3">
      <c r="A371" t="s">
        <v>1036</v>
      </c>
      <c r="B371" s="2">
        <v>42659</v>
      </c>
      <c r="C371" s="7">
        <v>0.89861111111111114</v>
      </c>
      <c r="D371" t="s">
        <v>1037</v>
      </c>
      <c r="E371" s="2">
        <v>42659</v>
      </c>
      <c r="F371" s="8">
        <v>0.90347222222222223</v>
      </c>
      <c r="G371" t="s">
        <v>7</v>
      </c>
      <c r="H371" s="7">
        <f t="shared" si="48"/>
        <v>4.8611111111110938E-3</v>
      </c>
      <c r="I371" s="13">
        <f t="shared" si="49"/>
        <v>0.11666666666666667</v>
      </c>
      <c r="J371" t="s">
        <v>16</v>
      </c>
      <c r="K371" t="s">
        <v>15</v>
      </c>
      <c r="L371">
        <v>2.5</v>
      </c>
      <c r="M371" s="5">
        <f t="shared" si="50"/>
        <v>21.428571428571427</v>
      </c>
      <c r="N371" t="s">
        <v>9</v>
      </c>
      <c r="O371" t="str">
        <f t="shared" si="51"/>
        <v>Meal/Entertain</v>
      </c>
    </row>
    <row r="372" spans="1:15" x14ac:dyDescent="0.3">
      <c r="A372" t="s">
        <v>1098</v>
      </c>
      <c r="B372" s="2">
        <v>42666</v>
      </c>
      <c r="C372" s="7">
        <v>0.7944444444444444</v>
      </c>
      <c r="D372" t="s">
        <v>1099</v>
      </c>
      <c r="E372" s="2">
        <v>42666</v>
      </c>
      <c r="F372" s="8">
        <v>0.80138888888888893</v>
      </c>
      <c r="G372" t="s">
        <v>7</v>
      </c>
      <c r="H372" s="7">
        <f t="shared" si="48"/>
        <v>6.9444444444445308E-3</v>
      </c>
      <c r="I372" s="13">
        <f t="shared" si="49"/>
        <v>0.16666666666666666</v>
      </c>
      <c r="J372" t="s">
        <v>15</v>
      </c>
      <c r="K372" t="s">
        <v>16</v>
      </c>
      <c r="L372">
        <v>3.1</v>
      </c>
      <c r="M372" s="5">
        <f t="shared" si="50"/>
        <v>18.600000000000001</v>
      </c>
      <c r="N372" t="s">
        <v>9</v>
      </c>
      <c r="O372" t="str">
        <f t="shared" si="51"/>
        <v>Meal/Entertain</v>
      </c>
    </row>
    <row r="373" spans="1:15" x14ac:dyDescent="0.3">
      <c r="A373" t="s">
        <v>1115</v>
      </c>
      <c r="B373" s="2">
        <v>42668</v>
      </c>
      <c r="C373" s="7">
        <v>0.83333333333333337</v>
      </c>
      <c r="D373" t="s">
        <v>1116</v>
      </c>
      <c r="E373" s="2">
        <v>42668</v>
      </c>
      <c r="F373" s="8">
        <v>0.84097222222222223</v>
      </c>
      <c r="G373" t="s">
        <v>7</v>
      </c>
      <c r="H373" s="7">
        <f t="shared" si="48"/>
        <v>7.6388888888888618E-3</v>
      </c>
      <c r="I373" s="13">
        <f t="shared" si="49"/>
        <v>0.18333333333333332</v>
      </c>
      <c r="J373" t="s">
        <v>38</v>
      </c>
      <c r="K373" t="s">
        <v>430</v>
      </c>
      <c r="L373">
        <v>3.6</v>
      </c>
      <c r="M373" s="5">
        <f t="shared" si="50"/>
        <v>19.636363636363637</v>
      </c>
      <c r="N373" t="s">
        <v>9</v>
      </c>
      <c r="O373" t="str">
        <f t="shared" si="51"/>
        <v>Meal/Entertain</v>
      </c>
    </row>
    <row r="374" spans="1:15" x14ac:dyDescent="0.3">
      <c r="A374" s="1">
        <v>42380.861805555556</v>
      </c>
      <c r="B374" s="6">
        <f>INT(A374:A413)</f>
        <v>42380</v>
      </c>
      <c r="C374" s="7">
        <f>(A374-B374)</f>
        <v>0.86180555555620231</v>
      </c>
      <c r="D374" s="1">
        <v>42380.871527777781</v>
      </c>
      <c r="E374" s="6">
        <f>INT(D374)</f>
        <v>42380</v>
      </c>
      <c r="F374" s="8">
        <f>D374-E374</f>
        <v>0.87152777778101154</v>
      </c>
      <c r="G374" t="s">
        <v>7</v>
      </c>
      <c r="H374" s="7">
        <f t="shared" si="48"/>
        <v>9.7222222248092294E-3</v>
      </c>
      <c r="I374" s="13">
        <f t="shared" si="49"/>
        <v>0.23333333333333334</v>
      </c>
      <c r="J374" t="s">
        <v>38</v>
      </c>
      <c r="K374" t="s">
        <v>38</v>
      </c>
      <c r="L374">
        <v>4.2</v>
      </c>
      <c r="M374" s="5">
        <f t="shared" si="50"/>
        <v>18</v>
      </c>
      <c r="N374" t="s">
        <v>9</v>
      </c>
      <c r="O374" t="str">
        <f t="shared" si="51"/>
        <v>Meal/Entertain</v>
      </c>
    </row>
    <row r="375" spans="1:15" x14ac:dyDescent="0.3">
      <c r="A375" s="1">
        <v>42440.785416666666</v>
      </c>
      <c r="B375" s="6">
        <f>INT(A375:A414)</f>
        <v>42440</v>
      </c>
      <c r="C375" s="7">
        <f>(A375-B375)</f>
        <v>0.78541666666569654</v>
      </c>
      <c r="D375" s="1">
        <v>42440.797222222223</v>
      </c>
      <c r="E375" s="6">
        <f>INT(D375)</f>
        <v>42440</v>
      </c>
      <c r="F375" s="8">
        <f>D375-E375</f>
        <v>0.79722222222335404</v>
      </c>
      <c r="G375" t="s">
        <v>7</v>
      </c>
      <c r="H375" s="7">
        <f t="shared" si="48"/>
        <v>1.1805555557657499E-2</v>
      </c>
      <c r="I375" s="13">
        <f t="shared" si="49"/>
        <v>0.28333333333333333</v>
      </c>
      <c r="J375" t="s">
        <v>15</v>
      </c>
      <c r="K375" t="s">
        <v>16</v>
      </c>
      <c r="L375">
        <v>3.1</v>
      </c>
      <c r="M375" s="5">
        <f t="shared" si="50"/>
        <v>10.941176470588236</v>
      </c>
      <c r="N375" t="s">
        <v>9</v>
      </c>
      <c r="O375" t="str">
        <f t="shared" si="51"/>
        <v>Meal/Entertain</v>
      </c>
    </row>
    <row r="376" spans="1:15" x14ac:dyDescent="0.3">
      <c r="A376" t="s">
        <v>1234</v>
      </c>
      <c r="B376" s="2">
        <v>42690</v>
      </c>
      <c r="C376" s="7">
        <v>0.95277777777777783</v>
      </c>
      <c r="D376" t="s">
        <v>1235</v>
      </c>
      <c r="E376" s="2">
        <v>42690</v>
      </c>
      <c r="F376" s="8">
        <v>0.95972222222222225</v>
      </c>
      <c r="G376" t="s">
        <v>7</v>
      </c>
      <c r="H376" s="7">
        <f t="shared" si="48"/>
        <v>6.9444444444444198E-3</v>
      </c>
      <c r="I376" s="13">
        <f t="shared" si="49"/>
        <v>0.16666666666666666</v>
      </c>
      <c r="J376" t="s">
        <v>1233</v>
      </c>
      <c r="K376" t="s">
        <v>472</v>
      </c>
      <c r="L376">
        <v>3.1</v>
      </c>
      <c r="M376" s="5">
        <f t="shared" si="50"/>
        <v>18.600000000000001</v>
      </c>
      <c r="N376" t="s">
        <v>9</v>
      </c>
      <c r="O376" t="str">
        <f t="shared" si="51"/>
        <v>Meal/Entertain</v>
      </c>
    </row>
    <row r="377" spans="1:15" x14ac:dyDescent="0.3">
      <c r="A377" t="s">
        <v>1238</v>
      </c>
      <c r="B377" s="2">
        <v>42692</v>
      </c>
      <c r="C377" s="7">
        <v>0.83958333333333324</v>
      </c>
      <c r="D377" t="s">
        <v>1239</v>
      </c>
      <c r="E377" s="2">
        <v>42692</v>
      </c>
      <c r="F377" s="8">
        <v>0.84652777777777777</v>
      </c>
      <c r="G377" t="s">
        <v>7</v>
      </c>
      <c r="H377" s="7">
        <f t="shared" si="48"/>
        <v>6.9444444444445308E-3</v>
      </c>
      <c r="I377" s="13">
        <f t="shared" si="49"/>
        <v>0.16666666666666666</v>
      </c>
      <c r="J377" t="s">
        <v>15</v>
      </c>
      <c r="K377" t="s">
        <v>16</v>
      </c>
      <c r="L377">
        <v>3.1</v>
      </c>
      <c r="M377" s="5">
        <f t="shared" si="50"/>
        <v>18.600000000000001</v>
      </c>
      <c r="N377" t="s">
        <v>9</v>
      </c>
      <c r="O377" t="str">
        <f t="shared" si="51"/>
        <v>Meal/Entertain</v>
      </c>
    </row>
    <row r="378" spans="1:15" x14ac:dyDescent="0.3">
      <c r="A378" t="s">
        <v>1240</v>
      </c>
      <c r="B378" s="2">
        <v>42692</v>
      </c>
      <c r="C378" s="7">
        <v>0.89097222222222217</v>
      </c>
      <c r="D378" t="s">
        <v>1241</v>
      </c>
      <c r="E378" s="2">
        <v>42692</v>
      </c>
      <c r="F378" s="8">
        <v>0.89861111111111114</v>
      </c>
      <c r="G378" t="s">
        <v>7</v>
      </c>
      <c r="H378" s="7">
        <f t="shared" si="48"/>
        <v>7.6388888888889728E-3</v>
      </c>
      <c r="I378" s="13">
        <f t="shared" si="49"/>
        <v>0.18333333333333332</v>
      </c>
      <c r="J378" t="s">
        <v>16</v>
      </c>
      <c r="K378" t="s">
        <v>15</v>
      </c>
      <c r="L378">
        <v>5.2</v>
      </c>
      <c r="M378" s="5">
        <f t="shared" si="50"/>
        <v>28.363636363636367</v>
      </c>
      <c r="N378" t="s">
        <v>9</v>
      </c>
      <c r="O378" t="str">
        <f t="shared" si="51"/>
        <v>Meal/Entertain</v>
      </c>
    </row>
    <row r="379" spans="1:15" x14ac:dyDescent="0.3">
      <c r="A379" t="s">
        <v>1265</v>
      </c>
      <c r="B379" s="2">
        <v>42695</v>
      </c>
      <c r="C379" s="7">
        <v>0.56736111111111109</v>
      </c>
      <c r="D379" t="s">
        <v>1266</v>
      </c>
      <c r="E379" s="2">
        <v>42695</v>
      </c>
      <c r="F379" s="8">
        <v>0.5756944444444444</v>
      </c>
      <c r="G379" t="s">
        <v>7</v>
      </c>
      <c r="H379" s="7">
        <f t="shared" si="48"/>
        <v>8.3333333333333037E-3</v>
      </c>
      <c r="I379" s="13">
        <f t="shared" si="49"/>
        <v>0.2</v>
      </c>
      <c r="J379" t="s">
        <v>15</v>
      </c>
      <c r="K379" t="s">
        <v>15</v>
      </c>
      <c r="L379">
        <v>2.5</v>
      </c>
      <c r="M379" s="5">
        <f t="shared" si="50"/>
        <v>12.5</v>
      </c>
      <c r="N379" t="s">
        <v>9</v>
      </c>
      <c r="O379" t="str">
        <f t="shared" si="51"/>
        <v>Meal/Entertain</v>
      </c>
    </row>
    <row r="380" spans="1:15" x14ac:dyDescent="0.3">
      <c r="A380" t="s">
        <v>1267</v>
      </c>
      <c r="B380" s="2">
        <v>42695</v>
      </c>
      <c r="C380" s="7">
        <v>0.6069444444444444</v>
      </c>
      <c r="D380" t="s">
        <v>1268</v>
      </c>
      <c r="E380" s="2">
        <v>42695</v>
      </c>
      <c r="F380" s="8">
        <v>0.61388888888888882</v>
      </c>
      <c r="G380" t="s">
        <v>7</v>
      </c>
      <c r="H380" s="7">
        <f t="shared" si="48"/>
        <v>6.9444444444444198E-3</v>
      </c>
      <c r="I380" s="13">
        <f t="shared" si="49"/>
        <v>0.16666666666666666</v>
      </c>
      <c r="J380" t="s">
        <v>15</v>
      </c>
      <c r="K380" t="s">
        <v>15</v>
      </c>
      <c r="L380">
        <v>2.1</v>
      </c>
      <c r="M380" s="5">
        <f t="shared" si="50"/>
        <v>12.600000000000001</v>
      </c>
      <c r="N380" t="s">
        <v>9</v>
      </c>
      <c r="O380" t="str">
        <f t="shared" si="51"/>
        <v>Meal/Entertain</v>
      </c>
    </row>
    <row r="381" spans="1:15" x14ac:dyDescent="0.3">
      <c r="A381" t="s">
        <v>1271</v>
      </c>
      <c r="B381" s="2">
        <v>42695</v>
      </c>
      <c r="C381" s="7">
        <v>0.76250000000000007</v>
      </c>
      <c r="D381" t="s">
        <v>1272</v>
      </c>
      <c r="E381" s="2">
        <v>42695</v>
      </c>
      <c r="F381" s="8">
        <v>0.76874999999999993</v>
      </c>
      <c r="G381" t="s">
        <v>7</v>
      </c>
      <c r="H381" s="7">
        <f t="shared" si="48"/>
        <v>6.2499999999998668E-3</v>
      </c>
      <c r="I381" s="13">
        <f t="shared" si="49"/>
        <v>0.15</v>
      </c>
      <c r="J381" t="s">
        <v>72</v>
      </c>
      <c r="K381" t="s">
        <v>16</v>
      </c>
      <c r="L381">
        <v>3.5</v>
      </c>
      <c r="M381" s="5">
        <f t="shared" si="50"/>
        <v>23.333333333333336</v>
      </c>
      <c r="N381" t="s">
        <v>9</v>
      </c>
      <c r="O381" t="str">
        <f t="shared" si="51"/>
        <v>Meal/Entertain</v>
      </c>
    </row>
    <row r="382" spans="1:15" x14ac:dyDescent="0.3">
      <c r="A382" t="s">
        <v>1281</v>
      </c>
      <c r="B382" s="2">
        <v>42696</v>
      </c>
      <c r="C382" s="7">
        <v>0.76250000000000007</v>
      </c>
      <c r="D382" t="s">
        <v>1282</v>
      </c>
      <c r="E382" s="2">
        <v>42696</v>
      </c>
      <c r="F382" s="8">
        <v>0.76944444444444438</v>
      </c>
      <c r="G382" t="s">
        <v>7</v>
      </c>
      <c r="H382" s="7">
        <f t="shared" si="48"/>
        <v>6.9444444444443088E-3</v>
      </c>
      <c r="I382" s="13">
        <f t="shared" si="49"/>
        <v>0.16666666666666666</v>
      </c>
      <c r="J382" t="s">
        <v>15</v>
      </c>
      <c r="K382" t="s">
        <v>16</v>
      </c>
      <c r="L382">
        <v>3</v>
      </c>
      <c r="M382" s="5">
        <f t="shared" si="50"/>
        <v>18</v>
      </c>
      <c r="N382" t="s">
        <v>9</v>
      </c>
      <c r="O382" t="str">
        <f t="shared" si="51"/>
        <v>Meal/Entertain</v>
      </c>
    </row>
    <row r="383" spans="1:15" x14ac:dyDescent="0.3">
      <c r="A383" t="s">
        <v>1285</v>
      </c>
      <c r="B383" s="2">
        <v>42697</v>
      </c>
      <c r="C383" s="7">
        <v>0.64861111111111114</v>
      </c>
      <c r="D383" t="s">
        <v>1286</v>
      </c>
      <c r="E383" s="2">
        <v>42697</v>
      </c>
      <c r="F383" s="8">
        <v>0.65972222222222221</v>
      </c>
      <c r="G383" t="s">
        <v>7</v>
      </c>
      <c r="H383" s="7">
        <f t="shared" si="48"/>
        <v>1.1111111111111072E-2</v>
      </c>
      <c r="I383" s="13">
        <f t="shared" si="49"/>
        <v>0.26666666666666666</v>
      </c>
      <c r="J383" t="s">
        <v>15</v>
      </c>
      <c r="K383" t="s">
        <v>15</v>
      </c>
      <c r="L383">
        <v>5.9</v>
      </c>
      <c r="M383" s="5">
        <f t="shared" si="50"/>
        <v>22.125</v>
      </c>
      <c r="N383" t="s">
        <v>9</v>
      </c>
      <c r="O383" t="str">
        <f t="shared" si="51"/>
        <v>Meal/Entertain</v>
      </c>
    </row>
    <row r="384" spans="1:15" x14ac:dyDescent="0.3">
      <c r="A384" t="s">
        <v>1307</v>
      </c>
      <c r="B384" s="2">
        <v>42701</v>
      </c>
      <c r="C384" s="7">
        <v>0.66597222222222219</v>
      </c>
      <c r="D384" t="s">
        <v>1308</v>
      </c>
      <c r="E384" s="2">
        <v>42701</v>
      </c>
      <c r="F384" s="8">
        <v>0.67083333333333339</v>
      </c>
      <c r="G384" t="s">
        <v>7</v>
      </c>
      <c r="H384" s="7">
        <f t="shared" si="48"/>
        <v>4.8611111111112049E-3</v>
      </c>
      <c r="I384" s="13">
        <f t="shared" si="49"/>
        <v>0.11666666666666667</v>
      </c>
      <c r="J384" t="s">
        <v>15</v>
      </c>
      <c r="K384" t="s">
        <v>16</v>
      </c>
      <c r="L384">
        <v>3.3</v>
      </c>
      <c r="M384" s="5">
        <f t="shared" si="50"/>
        <v>28.285714285714285</v>
      </c>
      <c r="N384" t="s">
        <v>9</v>
      </c>
      <c r="O384" t="str">
        <f t="shared" si="51"/>
        <v>Meal/Entertain</v>
      </c>
    </row>
    <row r="385" spans="1:15" x14ac:dyDescent="0.3">
      <c r="A385" s="1">
        <v>42381.75</v>
      </c>
      <c r="B385" s="6">
        <f t="shared" ref="B385:B394" si="60">INT(A385:A424)</f>
        <v>42381</v>
      </c>
      <c r="C385" s="7">
        <f t="shared" ref="C385:C394" si="61">(A385-B385)</f>
        <v>0.75</v>
      </c>
      <c r="D385" s="1">
        <v>42381.758333333331</v>
      </c>
      <c r="E385" s="6">
        <f t="shared" ref="E385:E394" si="62">INT(D385)</f>
        <v>42381</v>
      </c>
      <c r="F385" s="8">
        <f t="shared" ref="F385:F394" si="63">D385-E385</f>
        <v>0.75833333333139308</v>
      </c>
      <c r="G385" t="s">
        <v>7</v>
      </c>
      <c r="H385" s="7">
        <f t="shared" si="48"/>
        <v>8.333333331393078E-3</v>
      </c>
      <c r="I385" s="13">
        <f t="shared" si="49"/>
        <v>0.2</v>
      </c>
      <c r="J385" t="s">
        <v>15</v>
      </c>
      <c r="K385" t="s">
        <v>16</v>
      </c>
      <c r="L385">
        <v>2.9</v>
      </c>
      <c r="M385" s="5">
        <f t="shared" si="50"/>
        <v>14.499999999999998</v>
      </c>
      <c r="N385" t="s">
        <v>9</v>
      </c>
      <c r="O385" t="str">
        <f t="shared" si="51"/>
        <v>Meal/Entertain</v>
      </c>
    </row>
    <row r="386" spans="1:15" x14ac:dyDescent="0.3">
      <c r="A386" s="1">
        <v>42412.508333333331</v>
      </c>
      <c r="B386" s="6">
        <f t="shared" si="60"/>
        <v>42412</v>
      </c>
      <c r="C386" s="7">
        <f t="shared" si="61"/>
        <v>0.50833333333139308</v>
      </c>
      <c r="D386" s="1">
        <v>42412.515972222223</v>
      </c>
      <c r="E386" s="6">
        <f t="shared" si="62"/>
        <v>42412</v>
      </c>
      <c r="F386" s="8">
        <f t="shared" si="63"/>
        <v>0.51597222222335404</v>
      </c>
      <c r="G386" t="s">
        <v>7</v>
      </c>
      <c r="H386" s="7">
        <f t="shared" ref="H386:H449" si="64">IF(F386&gt;C386,F386-C386,F386-C386+1)</f>
        <v>7.6388888919609599E-3</v>
      </c>
      <c r="I386" s="13">
        <f t="shared" ref="I386:I449" si="65">(HOUR(H386)*60+MINUTE(H386))/60</f>
        <v>0.18333333333333332</v>
      </c>
      <c r="J386" t="s">
        <v>15</v>
      </c>
      <c r="K386" t="s">
        <v>48</v>
      </c>
      <c r="L386">
        <v>5.0999999999999996</v>
      </c>
      <c r="M386" s="5">
        <f t="shared" ref="M386:M449" si="66">L386/I386</f>
        <v>27.818181818181817</v>
      </c>
      <c r="N386" t="s">
        <v>9</v>
      </c>
      <c r="O386" t="str">
        <f t="shared" ref="O386:O449" si="67">IF(ISBLANK($N386),"No Purpose",$N386)</f>
        <v>Meal/Entertain</v>
      </c>
    </row>
    <row r="387" spans="1:15" x14ac:dyDescent="0.3">
      <c r="A387" s="1">
        <v>42412.861805555556</v>
      </c>
      <c r="B387" s="6">
        <f t="shared" si="60"/>
        <v>42412</v>
      </c>
      <c r="C387" s="7">
        <f t="shared" si="61"/>
        <v>0.86180555555620231</v>
      </c>
      <c r="D387" s="1">
        <v>42412.866666666669</v>
      </c>
      <c r="E387" s="6">
        <f t="shared" si="62"/>
        <v>42412</v>
      </c>
      <c r="F387" s="8">
        <f t="shared" si="63"/>
        <v>0.86666666666860692</v>
      </c>
      <c r="G387" t="s">
        <v>7</v>
      </c>
      <c r="H387" s="7">
        <f t="shared" si="64"/>
        <v>4.8611111124046147E-3</v>
      </c>
      <c r="I387" s="13">
        <f t="shared" si="65"/>
        <v>0.11666666666666667</v>
      </c>
      <c r="J387" t="s">
        <v>15</v>
      </c>
      <c r="K387" t="s">
        <v>16</v>
      </c>
      <c r="L387">
        <v>3.3</v>
      </c>
      <c r="M387" s="5">
        <f t="shared" si="66"/>
        <v>28.285714285714285</v>
      </c>
      <c r="N387" t="s">
        <v>9</v>
      </c>
      <c r="O387" t="str">
        <f t="shared" si="67"/>
        <v>Meal/Entertain</v>
      </c>
    </row>
    <row r="388" spans="1:15" x14ac:dyDescent="0.3">
      <c r="A388" s="1">
        <v>42472.788888888892</v>
      </c>
      <c r="B388" s="6">
        <f t="shared" si="60"/>
        <v>42472</v>
      </c>
      <c r="C388" s="7">
        <f t="shared" si="61"/>
        <v>0.78888888889196096</v>
      </c>
      <c r="D388" s="1">
        <v>42472.793749999997</v>
      </c>
      <c r="E388" s="6">
        <f t="shared" si="62"/>
        <v>42472</v>
      </c>
      <c r="F388" s="8">
        <f t="shared" si="63"/>
        <v>0.79374999999708962</v>
      </c>
      <c r="G388" t="s">
        <v>7</v>
      </c>
      <c r="H388" s="7">
        <f t="shared" si="64"/>
        <v>4.8611111051286571E-3</v>
      </c>
      <c r="I388" s="13">
        <f t="shared" si="65"/>
        <v>0.11666666666666667</v>
      </c>
      <c r="J388" t="s">
        <v>15</v>
      </c>
      <c r="K388" t="s">
        <v>16</v>
      </c>
      <c r="L388">
        <v>2.9</v>
      </c>
      <c r="M388" s="5">
        <f t="shared" si="66"/>
        <v>24.857142857142858</v>
      </c>
      <c r="N388" t="s">
        <v>9</v>
      </c>
      <c r="O388" t="str">
        <f t="shared" si="67"/>
        <v>Meal/Entertain</v>
      </c>
    </row>
    <row r="389" spans="1:15" x14ac:dyDescent="0.3">
      <c r="A389" s="1">
        <v>42502.806944444441</v>
      </c>
      <c r="B389" s="6">
        <f t="shared" si="60"/>
        <v>42502</v>
      </c>
      <c r="C389" s="7">
        <f t="shared" si="61"/>
        <v>0.80694444444088731</v>
      </c>
      <c r="D389" s="1">
        <v>42502.817361111112</v>
      </c>
      <c r="E389" s="6">
        <f t="shared" si="62"/>
        <v>42502</v>
      </c>
      <c r="F389" s="8">
        <f t="shared" si="63"/>
        <v>0.81736111111240461</v>
      </c>
      <c r="G389" t="s">
        <v>7</v>
      </c>
      <c r="H389" s="7">
        <f t="shared" si="64"/>
        <v>1.0416666671517305E-2</v>
      </c>
      <c r="I389" s="13">
        <f t="shared" si="65"/>
        <v>0.25</v>
      </c>
      <c r="J389" t="s">
        <v>15</v>
      </c>
      <c r="K389" t="s">
        <v>15</v>
      </c>
      <c r="L389">
        <v>3.8</v>
      </c>
      <c r="M389" s="5">
        <f t="shared" si="66"/>
        <v>15.2</v>
      </c>
      <c r="N389" t="s">
        <v>9</v>
      </c>
      <c r="O389" t="str">
        <f t="shared" si="67"/>
        <v>Meal/Entertain</v>
      </c>
    </row>
    <row r="390" spans="1:15" x14ac:dyDescent="0.3">
      <c r="A390" s="1">
        <v>42563.884027777778</v>
      </c>
      <c r="B390" s="6">
        <f t="shared" si="60"/>
        <v>42563</v>
      </c>
      <c r="C390" s="7">
        <f t="shared" si="61"/>
        <v>0.88402777777810115</v>
      </c>
      <c r="D390" s="1">
        <v>42563.909722222219</v>
      </c>
      <c r="E390" s="6">
        <f t="shared" si="62"/>
        <v>42563</v>
      </c>
      <c r="F390" s="8">
        <f t="shared" si="63"/>
        <v>0.90972222221898846</v>
      </c>
      <c r="G390" t="s">
        <v>7</v>
      </c>
      <c r="H390" s="7">
        <f t="shared" si="64"/>
        <v>2.569444444088731E-2</v>
      </c>
      <c r="I390" s="13">
        <f t="shared" si="65"/>
        <v>0.6166666666666667</v>
      </c>
      <c r="J390" t="s">
        <v>15</v>
      </c>
      <c r="K390" t="s">
        <v>15</v>
      </c>
      <c r="L390">
        <v>6.9</v>
      </c>
      <c r="M390" s="5">
        <f t="shared" si="66"/>
        <v>11.189189189189189</v>
      </c>
      <c r="N390" t="s">
        <v>9</v>
      </c>
      <c r="O390" t="str">
        <f t="shared" si="67"/>
        <v>Meal/Entertain</v>
      </c>
    </row>
    <row r="391" spans="1:15" x14ac:dyDescent="0.3">
      <c r="A391" s="1">
        <v>42655.761805555558</v>
      </c>
      <c r="B391" s="6">
        <f t="shared" si="60"/>
        <v>42655</v>
      </c>
      <c r="C391" s="7">
        <f t="shared" si="61"/>
        <v>0.7618055555576575</v>
      </c>
      <c r="D391" s="1">
        <v>42655.768750000003</v>
      </c>
      <c r="E391" s="6">
        <f t="shared" si="62"/>
        <v>42655</v>
      </c>
      <c r="F391" s="8">
        <f t="shared" si="63"/>
        <v>0.76875000000291038</v>
      </c>
      <c r="G391" t="s">
        <v>7</v>
      </c>
      <c r="H391" s="7">
        <f t="shared" si="64"/>
        <v>6.9444444452528842E-3</v>
      </c>
      <c r="I391" s="13">
        <f t="shared" si="65"/>
        <v>0.16666666666666666</v>
      </c>
      <c r="J391" t="s">
        <v>15</v>
      </c>
      <c r="K391" t="s">
        <v>16</v>
      </c>
      <c r="L391">
        <v>3</v>
      </c>
      <c r="M391" s="5">
        <f t="shared" si="66"/>
        <v>18</v>
      </c>
      <c r="N391" t="s">
        <v>9</v>
      </c>
      <c r="O391" t="str">
        <f t="shared" si="67"/>
        <v>Meal/Entertain</v>
      </c>
    </row>
    <row r="392" spans="1:15" x14ac:dyDescent="0.3">
      <c r="A392" s="1">
        <v>42686.67083333333</v>
      </c>
      <c r="B392" s="6">
        <f t="shared" si="60"/>
        <v>42686</v>
      </c>
      <c r="C392" s="7">
        <f t="shared" si="61"/>
        <v>0.67083333332993789</v>
      </c>
      <c r="D392" s="1">
        <v>42686.677777777775</v>
      </c>
      <c r="E392" s="6">
        <f t="shared" si="62"/>
        <v>42686</v>
      </c>
      <c r="F392" s="8">
        <f t="shared" si="63"/>
        <v>0.67777777777519077</v>
      </c>
      <c r="G392" t="s">
        <v>7</v>
      </c>
      <c r="H392" s="7">
        <f t="shared" si="64"/>
        <v>6.9444444452528842E-3</v>
      </c>
      <c r="I392" s="13">
        <f t="shared" si="65"/>
        <v>0.16666666666666666</v>
      </c>
      <c r="J392" t="s">
        <v>15</v>
      </c>
      <c r="K392" t="s">
        <v>16</v>
      </c>
      <c r="L392">
        <v>3</v>
      </c>
      <c r="M392" s="5">
        <f t="shared" si="66"/>
        <v>18</v>
      </c>
      <c r="N392" t="s">
        <v>9</v>
      </c>
      <c r="O392" t="str">
        <f t="shared" si="67"/>
        <v>Meal/Entertain</v>
      </c>
    </row>
    <row r="393" spans="1:15" x14ac:dyDescent="0.3">
      <c r="A393" s="1">
        <v>42716.566666666666</v>
      </c>
      <c r="B393" s="6">
        <f t="shared" si="60"/>
        <v>42716</v>
      </c>
      <c r="C393" s="7">
        <f t="shared" si="61"/>
        <v>0.56666666666569654</v>
      </c>
      <c r="D393" s="1">
        <v>42716.57708333333</v>
      </c>
      <c r="E393" s="6">
        <f t="shared" si="62"/>
        <v>42716</v>
      </c>
      <c r="F393" s="8">
        <f t="shared" si="63"/>
        <v>0.57708333332993789</v>
      </c>
      <c r="G393" t="s">
        <v>7</v>
      </c>
      <c r="H393" s="7">
        <f t="shared" si="64"/>
        <v>1.0416666664241347E-2</v>
      </c>
      <c r="I393" s="13">
        <f t="shared" si="65"/>
        <v>0.25</v>
      </c>
      <c r="J393" t="s">
        <v>15</v>
      </c>
      <c r="K393" t="s">
        <v>48</v>
      </c>
      <c r="L393">
        <v>4.4000000000000004</v>
      </c>
      <c r="M393" s="5">
        <f t="shared" si="66"/>
        <v>17.600000000000001</v>
      </c>
      <c r="N393" t="s">
        <v>9</v>
      </c>
      <c r="O393" t="str">
        <f t="shared" si="67"/>
        <v>Meal/Entertain</v>
      </c>
    </row>
    <row r="394" spans="1:15" x14ac:dyDescent="0.3">
      <c r="A394" s="1">
        <v>42716.743750000001</v>
      </c>
      <c r="B394" s="6">
        <f t="shared" si="60"/>
        <v>42716</v>
      </c>
      <c r="C394" s="7">
        <f t="shared" si="61"/>
        <v>0.74375000000145519</v>
      </c>
      <c r="D394" s="1">
        <v>42716.750694444447</v>
      </c>
      <c r="E394" s="6">
        <f t="shared" si="62"/>
        <v>42716</v>
      </c>
      <c r="F394" s="8">
        <f t="shared" si="63"/>
        <v>0.75069444444670808</v>
      </c>
      <c r="G394" t="s">
        <v>7</v>
      </c>
      <c r="H394" s="7">
        <f t="shared" si="64"/>
        <v>6.9444444452528842E-3</v>
      </c>
      <c r="I394" s="13">
        <f t="shared" si="65"/>
        <v>0.16666666666666666</v>
      </c>
      <c r="J394" t="s">
        <v>15</v>
      </c>
      <c r="K394" t="s">
        <v>16</v>
      </c>
      <c r="L394">
        <v>3</v>
      </c>
      <c r="M394" s="5">
        <f t="shared" si="66"/>
        <v>18</v>
      </c>
      <c r="N394" t="s">
        <v>9</v>
      </c>
      <c r="O394" t="str">
        <f t="shared" si="67"/>
        <v>Meal/Entertain</v>
      </c>
    </row>
    <row r="395" spans="1:15" x14ac:dyDescent="0.3">
      <c r="A395" t="s">
        <v>1321</v>
      </c>
      <c r="B395" s="2">
        <v>42717</v>
      </c>
      <c r="C395" s="7">
        <v>0.84722222222222221</v>
      </c>
      <c r="D395" t="s">
        <v>1322</v>
      </c>
      <c r="E395" s="2">
        <v>42717</v>
      </c>
      <c r="F395" s="8">
        <v>0.8534722222222223</v>
      </c>
      <c r="G395" t="s">
        <v>7</v>
      </c>
      <c r="H395" s="7">
        <f t="shared" si="64"/>
        <v>6.2500000000000888E-3</v>
      </c>
      <c r="I395" s="13">
        <f t="shared" si="65"/>
        <v>0.15</v>
      </c>
      <c r="J395" t="s">
        <v>15</v>
      </c>
      <c r="K395" t="s">
        <v>15</v>
      </c>
      <c r="L395">
        <v>4.0999999999999996</v>
      </c>
      <c r="M395" s="5">
        <f t="shared" si="66"/>
        <v>27.333333333333332</v>
      </c>
      <c r="N395" t="s">
        <v>9</v>
      </c>
      <c r="O395" t="str">
        <f t="shared" si="67"/>
        <v>Meal/Entertain</v>
      </c>
    </row>
    <row r="396" spans="1:15" x14ac:dyDescent="0.3">
      <c r="A396" t="s">
        <v>1327</v>
      </c>
      <c r="B396" s="2">
        <v>42718</v>
      </c>
      <c r="C396" s="7">
        <v>0.74305555555555547</v>
      </c>
      <c r="D396" t="s">
        <v>1328</v>
      </c>
      <c r="E396" s="2">
        <v>42718</v>
      </c>
      <c r="F396" s="8">
        <v>0.75</v>
      </c>
      <c r="G396" t="s">
        <v>7</v>
      </c>
      <c r="H396" s="7">
        <f t="shared" si="64"/>
        <v>6.9444444444445308E-3</v>
      </c>
      <c r="I396" s="13">
        <f t="shared" si="65"/>
        <v>0.16666666666666666</v>
      </c>
      <c r="J396" t="s">
        <v>15</v>
      </c>
      <c r="K396" t="s">
        <v>16</v>
      </c>
      <c r="L396">
        <v>3</v>
      </c>
      <c r="M396" s="5">
        <f t="shared" si="66"/>
        <v>18</v>
      </c>
      <c r="N396" t="s">
        <v>9</v>
      </c>
      <c r="O396" t="str">
        <f t="shared" si="67"/>
        <v>Meal/Entertain</v>
      </c>
    </row>
    <row r="397" spans="1:15" x14ac:dyDescent="0.3">
      <c r="A397" t="s">
        <v>1386</v>
      </c>
      <c r="B397" s="2">
        <v>42725</v>
      </c>
      <c r="C397" s="7">
        <v>0.4826388888888889</v>
      </c>
      <c r="D397" t="s">
        <v>1387</v>
      </c>
      <c r="E397" s="2">
        <v>42725</v>
      </c>
      <c r="F397" s="8">
        <v>0.49236111111111108</v>
      </c>
      <c r="G397" t="s">
        <v>7</v>
      </c>
      <c r="H397" s="7">
        <f t="shared" si="64"/>
        <v>9.7222222222221877E-3</v>
      </c>
      <c r="I397" s="13">
        <f t="shared" si="65"/>
        <v>0.23333333333333334</v>
      </c>
      <c r="J397" t="s">
        <v>88</v>
      </c>
      <c r="K397" t="s">
        <v>72</v>
      </c>
      <c r="L397">
        <v>3.5</v>
      </c>
      <c r="M397" s="5">
        <f t="shared" si="66"/>
        <v>15</v>
      </c>
      <c r="N397" t="s">
        <v>9</v>
      </c>
      <c r="O397" t="str">
        <f t="shared" si="67"/>
        <v>Meal/Entertain</v>
      </c>
    </row>
    <row r="398" spans="1:15" x14ac:dyDescent="0.3">
      <c r="A398" t="s">
        <v>1416</v>
      </c>
      <c r="B398" s="2">
        <v>42726</v>
      </c>
      <c r="C398" s="7">
        <v>0.90347222222222223</v>
      </c>
      <c r="D398" t="s">
        <v>1417</v>
      </c>
      <c r="E398" s="2">
        <v>42726</v>
      </c>
      <c r="F398" s="8">
        <v>0.91180555555555554</v>
      </c>
      <c r="G398" t="s">
        <v>7</v>
      </c>
      <c r="H398" s="7">
        <f t="shared" si="64"/>
        <v>8.3333333333333037E-3</v>
      </c>
      <c r="I398" s="13">
        <f t="shared" si="65"/>
        <v>0.2</v>
      </c>
      <c r="J398" t="s">
        <v>894</v>
      </c>
      <c r="K398" t="s">
        <v>894</v>
      </c>
      <c r="L398">
        <v>2.1</v>
      </c>
      <c r="M398" s="5">
        <f t="shared" si="66"/>
        <v>10.5</v>
      </c>
      <c r="N398" t="s">
        <v>9</v>
      </c>
      <c r="O398" t="str">
        <f t="shared" si="67"/>
        <v>Meal/Entertain</v>
      </c>
    </row>
    <row r="399" spans="1:15" x14ac:dyDescent="0.3">
      <c r="A399" t="s">
        <v>1428</v>
      </c>
      <c r="B399" s="2">
        <v>42727</v>
      </c>
      <c r="C399" s="7">
        <v>0.7319444444444444</v>
      </c>
      <c r="D399" t="s">
        <v>1429</v>
      </c>
      <c r="E399" s="2">
        <v>42727</v>
      </c>
      <c r="F399" s="8">
        <v>0.76874999999999993</v>
      </c>
      <c r="G399" t="s">
        <v>7</v>
      </c>
      <c r="H399" s="7">
        <f t="shared" si="64"/>
        <v>3.6805555555555536E-2</v>
      </c>
      <c r="I399" s="13">
        <f t="shared" si="65"/>
        <v>0.8833333333333333</v>
      </c>
      <c r="J399" t="s">
        <v>72</v>
      </c>
      <c r="K399" t="s">
        <v>894</v>
      </c>
      <c r="L399">
        <v>7.1</v>
      </c>
      <c r="M399" s="5">
        <f t="shared" si="66"/>
        <v>8.0377358490566042</v>
      </c>
      <c r="N399" t="s">
        <v>9</v>
      </c>
      <c r="O399" t="str">
        <f t="shared" si="67"/>
        <v>Meal/Entertain</v>
      </c>
    </row>
    <row r="400" spans="1:15" x14ac:dyDescent="0.3">
      <c r="A400" t="s">
        <v>1430</v>
      </c>
      <c r="B400" s="2">
        <v>42728</v>
      </c>
      <c r="C400" s="7">
        <v>0.3215277777777778</v>
      </c>
      <c r="D400" t="s">
        <v>1431</v>
      </c>
      <c r="E400" s="2">
        <v>42728</v>
      </c>
      <c r="F400" s="8">
        <v>0.33611111111111108</v>
      </c>
      <c r="G400" t="s">
        <v>7</v>
      </c>
      <c r="H400" s="7">
        <f t="shared" si="64"/>
        <v>1.4583333333333282E-2</v>
      </c>
      <c r="I400" s="13">
        <f t="shared" si="65"/>
        <v>0.35</v>
      </c>
      <c r="J400" t="s">
        <v>894</v>
      </c>
      <c r="K400" t="s">
        <v>72</v>
      </c>
      <c r="L400">
        <v>6.3</v>
      </c>
      <c r="M400" s="5">
        <f t="shared" si="66"/>
        <v>18</v>
      </c>
      <c r="N400" t="s">
        <v>9</v>
      </c>
      <c r="O400" t="str">
        <f t="shared" si="67"/>
        <v>Meal/Entertain</v>
      </c>
    </row>
    <row r="401" spans="1:15" x14ac:dyDescent="0.3">
      <c r="A401" t="s">
        <v>1432</v>
      </c>
      <c r="B401" s="2">
        <v>42728</v>
      </c>
      <c r="C401" s="7">
        <v>0.38819444444444445</v>
      </c>
      <c r="D401" t="s">
        <v>1433</v>
      </c>
      <c r="E401" s="2">
        <v>42728</v>
      </c>
      <c r="F401" s="8">
        <v>0.41319444444444442</v>
      </c>
      <c r="G401" t="s">
        <v>7</v>
      </c>
      <c r="H401" s="7">
        <f t="shared" si="64"/>
        <v>2.4999999999999967E-2</v>
      </c>
      <c r="I401" s="13">
        <f t="shared" si="65"/>
        <v>0.6</v>
      </c>
      <c r="J401" t="s">
        <v>72</v>
      </c>
      <c r="K401" t="s">
        <v>894</v>
      </c>
      <c r="L401">
        <v>10.7</v>
      </c>
      <c r="M401" s="5">
        <f t="shared" si="66"/>
        <v>17.833333333333332</v>
      </c>
      <c r="N401" t="s">
        <v>9</v>
      </c>
      <c r="O401" t="str">
        <f t="shared" si="67"/>
        <v>Meal/Entertain</v>
      </c>
    </row>
    <row r="402" spans="1:15" x14ac:dyDescent="0.3">
      <c r="A402" t="s">
        <v>1434</v>
      </c>
      <c r="B402" s="2">
        <v>42728</v>
      </c>
      <c r="C402" s="7">
        <v>0.44027777777777777</v>
      </c>
      <c r="D402" t="s">
        <v>1435</v>
      </c>
      <c r="E402" s="2">
        <v>42728</v>
      </c>
      <c r="F402" s="8">
        <v>0.45347222222222222</v>
      </c>
      <c r="G402" t="s">
        <v>7</v>
      </c>
      <c r="H402" s="7">
        <f t="shared" si="64"/>
        <v>1.3194444444444453E-2</v>
      </c>
      <c r="I402" s="13">
        <f t="shared" si="65"/>
        <v>0.31666666666666665</v>
      </c>
      <c r="J402" t="s">
        <v>894</v>
      </c>
      <c r="K402" t="s">
        <v>894</v>
      </c>
      <c r="L402">
        <v>5.3</v>
      </c>
      <c r="M402" s="5">
        <f t="shared" si="66"/>
        <v>16.736842105263158</v>
      </c>
      <c r="N402" t="s">
        <v>9</v>
      </c>
      <c r="O402" t="str">
        <f t="shared" si="67"/>
        <v>Meal/Entertain</v>
      </c>
    </row>
    <row r="403" spans="1:15" x14ac:dyDescent="0.3">
      <c r="A403" t="s">
        <v>1442</v>
      </c>
      <c r="B403" s="2">
        <v>42728</v>
      </c>
      <c r="C403" s="7">
        <v>0.79999999999999993</v>
      </c>
      <c r="D403" t="s">
        <v>1443</v>
      </c>
      <c r="E403" s="2">
        <v>42728</v>
      </c>
      <c r="F403" s="8">
        <v>0.81041666666666667</v>
      </c>
      <c r="G403" t="s">
        <v>7</v>
      </c>
      <c r="H403" s="7">
        <f t="shared" si="64"/>
        <v>1.0416666666666741E-2</v>
      </c>
      <c r="I403" s="13">
        <f t="shared" si="65"/>
        <v>0.25</v>
      </c>
      <c r="J403" t="s">
        <v>894</v>
      </c>
      <c r="K403" t="s">
        <v>894</v>
      </c>
      <c r="L403">
        <v>2.9</v>
      </c>
      <c r="M403" s="5">
        <f t="shared" si="66"/>
        <v>11.6</v>
      </c>
      <c r="N403" t="s">
        <v>9</v>
      </c>
      <c r="O403" t="str">
        <f t="shared" si="67"/>
        <v>Meal/Entertain</v>
      </c>
    </row>
    <row r="404" spans="1:15" x14ac:dyDescent="0.3">
      <c r="A404" t="s">
        <v>1448</v>
      </c>
      <c r="B404" s="2">
        <v>42729</v>
      </c>
      <c r="C404" s="7">
        <v>0.80208333333333337</v>
      </c>
      <c r="D404" t="s">
        <v>1449</v>
      </c>
      <c r="E404" s="2">
        <v>42729</v>
      </c>
      <c r="F404" s="8">
        <v>0.80972222222222223</v>
      </c>
      <c r="G404" t="s">
        <v>7</v>
      </c>
      <c r="H404" s="7">
        <f t="shared" si="64"/>
        <v>7.6388888888888618E-3</v>
      </c>
      <c r="I404" s="13">
        <f t="shared" si="65"/>
        <v>0.18333333333333332</v>
      </c>
      <c r="J404" t="s">
        <v>894</v>
      </c>
      <c r="K404" t="s">
        <v>894</v>
      </c>
      <c r="L404">
        <v>2.2999999999999998</v>
      </c>
      <c r="M404" s="5">
        <f t="shared" si="66"/>
        <v>12.545454545454545</v>
      </c>
      <c r="N404" t="s">
        <v>9</v>
      </c>
      <c r="O404" t="str">
        <f t="shared" si="67"/>
        <v>Meal/Entertain</v>
      </c>
    </row>
    <row r="405" spans="1:15" x14ac:dyDescent="0.3">
      <c r="A405" t="s">
        <v>1450</v>
      </c>
      <c r="B405" s="2">
        <v>42729</v>
      </c>
      <c r="C405" s="7">
        <v>0.91527777777777775</v>
      </c>
      <c r="D405" t="s">
        <v>1451</v>
      </c>
      <c r="E405" s="2">
        <v>42729</v>
      </c>
      <c r="F405" s="8">
        <v>0.9194444444444444</v>
      </c>
      <c r="G405" t="s">
        <v>7</v>
      </c>
      <c r="H405" s="7">
        <f t="shared" si="64"/>
        <v>4.1666666666666519E-3</v>
      </c>
      <c r="I405" s="13">
        <f t="shared" si="65"/>
        <v>0.1</v>
      </c>
      <c r="J405" t="s">
        <v>894</v>
      </c>
      <c r="K405" t="s">
        <v>894</v>
      </c>
      <c r="L405">
        <v>2.2999999999999998</v>
      </c>
      <c r="M405" s="5">
        <f t="shared" si="66"/>
        <v>22.999999999999996</v>
      </c>
      <c r="N405" t="s">
        <v>9</v>
      </c>
      <c r="O405" t="str">
        <f t="shared" si="67"/>
        <v>Meal/Entertain</v>
      </c>
    </row>
    <row r="406" spans="1:15" x14ac:dyDescent="0.3">
      <c r="A406" t="s">
        <v>1452</v>
      </c>
      <c r="B406" s="2">
        <v>42730</v>
      </c>
      <c r="C406" s="7">
        <v>0.35416666666666669</v>
      </c>
      <c r="D406" t="s">
        <v>1453</v>
      </c>
      <c r="E406" s="2">
        <v>42730</v>
      </c>
      <c r="F406" s="8">
        <v>0.36180555555555555</v>
      </c>
      <c r="G406" t="s">
        <v>7</v>
      </c>
      <c r="H406" s="7">
        <f t="shared" si="64"/>
        <v>7.6388888888888618E-3</v>
      </c>
      <c r="I406" s="13">
        <f t="shared" si="65"/>
        <v>0.18333333333333332</v>
      </c>
      <c r="J406" t="s">
        <v>894</v>
      </c>
      <c r="K406" t="s">
        <v>894</v>
      </c>
      <c r="L406">
        <v>3.2</v>
      </c>
      <c r="M406" s="5">
        <f t="shared" si="66"/>
        <v>17.454545454545457</v>
      </c>
      <c r="N406" t="s">
        <v>9</v>
      </c>
      <c r="O406" t="str">
        <f t="shared" si="67"/>
        <v>Meal/Entertain</v>
      </c>
    </row>
    <row r="407" spans="1:15" x14ac:dyDescent="0.3">
      <c r="A407" t="s">
        <v>1465</v>
      </c>
      <c r="B407" s="2">
        <v>42731</v>
      </c>
      <c r="C407" s="7">
        <v>0.35902777777777778</v>
      </c>
      <c r="D407" t="s">
        <v>1466</v>
      </c>
      <c r="E407" s="2">
        <v>42731</v>
      </c>
      <c r="F407" s="8">
        <v>0.3743055555555555</v>
      </c>
      <c r="G407" t="s">
        <v>7</v>
      </c>
      <c r="H407" s="7">
        <f t="shared" si="64"/>
        <v>1.5277777777777724E-2</v>
      </c>
      <c r="I407" s="13">
        <f t="shared" si="65"/>
        <v>0.36666666666666664</v>
      </c>
      <c r="J407" t="s">
        <v>1464</v>
      </c>
      <c r="K407" t="s">
        <v>1464</v>
      </c>
      <c r="L407">
        <v>5</v>
      </c>
      <c r="M407" s="5">
        <f t="shared" si="66"/>
        <v>13.636363636363637</v>
      </c>
      <c r="N407" t="s">
        <v>9</v>
      </c>
      <c r="O407" t="str">
        <f t="shared" si="67"/>
        <v>Meal/Entertain</v>
      </c>
    </row>
    <row r="408" spans="1:15" x14ac:dyDescent="0.3">
      <c r="A408" t="s">
        <v>1467</v>
      </c>
      <c r="B408" s="2">
        <v>42731</v>
      </c>
      <c r="C408" s="7">
        <v>0.53680555555555554</v>
      </c>
      <c r="D408" t="s">
        <v>1468</v>
      </c>
      <c r="E408" s="2">
        <v>42731</v>
      </c>
      <c r="F408" s="8">
        <v>0.5395833333333333</v>
      </c>
      <c r="G408" t="s">
        <v>7</v>
      </c>
      <c r="H408" s="7">
        <f t="shared" si="64"/>
        <v>2.7777777777777679E-3</v>
      </c>
      <c r="I408" s="13">
        <f t="shared" si="65"/>
        <v>6.6666666666666666E-2</v>
      </c>
      <c r="J408" t="s">
        <v>1464</v>
      </c>
      <c r="K408" t="s">
        <v>1464</v>
      </c>
      <c r="L408">
        <v>0.6</v>
      </c>
      <c r="M408" s="5">
        <f t="shared" si="66"/>
        <v>9</v>
      </c>
      <c r="N408" t="s">
        <v>9</v>
      </c>
      <c r="O408" t="str">
        <f t="shared" si="67"/>
        <v>Meal/Entertain</v>
      </c>
    </row>
    <row r="409" spans="1:15" x14ac:dyDescent="0.3">
      <c r="A409" t="s">
        <v>1475</v>
      </c>
      <c r="B409" s="2">
        <v>42732</v>
      </c>
      <c r="C409" s="7">
        <v>0.35694444444444445</v>
      </c>
      <c r="D409" t="s">
        <v>1476</v>
      </c>
      <c r="E409" s="2">
        <v>42732</v>
      </c>
      <c r="F409" s="8">
        <v>0.37916666666666665</v>
      </c>
      <c r="G409" t="s">
        <v>7</v>
      </c>
      <c r="H409" s="7">
        <f t="shared" si="64"/>
        <v>2.2222222222222199E-2</v>
      </c>
      <c r="I409" s="13">
        <f t="shared" si="65"/>
        <v>0.53333333333333333</v>
      </c>
      <c r="J409" t="s">
        <v>1464</v>
      </c>
      <c r="K409" t="s">
        <v>72</v>
      </c>
      <c r="L409">
        <v>10.3</v>
      </c>
      <c r="M409" s="5">
        <f t="shared" si="66"/>
        <v>19.3125</v>
      </c>
      <c r="N409" t="s">
        <v>9</v>
      </c>
      <c r="O409" t="str">
        <f t="shared" si="67"/>
        <v>Meal/Entertain</v>
      </c>
    </row>
    <row r="410" spans="1:15" x14ac:dyDescent="0.3">
      <c r="A410" t="s">
        <v>1481</v>
      </c>
      <c r="B410" s="2">
        <v>42732</v>
      </c>
      <c r="C410" s="7">
        <v>0.62777777777777777</v>
      </c>
      <c r="D410" t="s">
        <v>1482</v>
      </c>
      <c r="E410" s="2">
        <v>42732</v>
      </c>
      <c r="F410" s="8">
        <v>0.65208333333333335</v>
      </c>
      <c r="G410" t="s">
        <v>7</v>
      </c>
      <c r="H410" s="7">
        <f t="shared" si="64"/>
        <v>2.430555555555558E-2</v>
      </c>
      <c r="I410" s="13">
        <f t="shared" si="65"/>
        <v>0.58333333333333337</v>
      </c>
      <c r="J410" t="s">
        <v>1464</v>
      </c>
      <c r="K410" t="s">
        <v>72</v>
      </c>
      <c r="L410">
        <v>8.5</v>
      </c>
      <c r="M410" s="5">
        <f t="shared" si="66"/>
        <v>14.571428571428571</v>
      </c>
      <c r="N410" t="s">
        <v>9</v>
      </c>
      <c r="O410" t="str">
        <f t="shared" si="67"/>
        <v>Meal/Entertain</v>
      </c>
    </row>
    <row r="411" spans="1:15" x14ac:dyDescent="0.3">
      <c r="A411" t="s">
        <v>1491</v>
      </c>
      <c r="B411" s="2">
        <v>42733</v>
      </c>
      <c r="C411" s="7">
        <v>0.4055555555555555</v>
      </c>
      <c r="D411" t="s">
        <v>1492</v>
      </c>
      <c r="E411" s="2">
        <v>42733</v>
      </c>
      <c r="F411" s="8">
        <v>0.42152777777777778</v>
      </c>
      <c r="G411" t="s">
        <v>7</v>
      </c>
      <c r="H411" s="7">
        <f t="shared" si="64"/>
        <v>1.5972222222222276E-2</v>
      </c>
      <c r="I411" s="13">
        <f t="shared" si="65"/>
        <v>0.38333333333333336</v>
      </c>
      <c r="J411" t="s">
        <v>1464</v>
      </c>
      <c r="K411" t="s">
        <v>72</v>
      </c>
      <c r="L411">
        <v>11.6</v>
      </c>
      <c r="M411" s="5">
        <f t="shared" si="66"/>
        <v>30.260869565217387</v>
      </c>
      <c r="N411" t="s">
        <v>9</v>
      </c>
      <c r="O411" t="str">
        <f t="shared" si="67"/>
        <v>Meal/Entertain</v>
      </c>
    </row>
    <row r="412" spans="1:15" x14ac:dyDescent="0.3">
      <c r="A412" t="s">
        <v>1493</v>
      </c>
      <c r="B412" s="2">
        <v>42733</v>
      </c>
      <c r="C412" s="7">
        <v>0.4777777777777778</v>
      </c>
      <c r="D412" t="s">
        <v>1494</v>
      </c>
      <c r="E412" s="2">
        <v>42733</v>
      </c>
      <c r="F412" s="8">
        <v>0.5</v>
      </c>
      <c r="G412" t="s">
        <v>7</v>
      </c>
      <c r="H412" s="7">
        <f t="shared" si="64"/>
        <v>2.2222222222222199E-2</v>
      </c>
      <c r="I412" s="13">
        <f t="shared" si="65"/>
        <v>0.53333333333333333</v>
      </c>
      <c r="J412" t="s">
        <v>72</v>
      </c>
      <c r="K412" t="s">
        <v>1464</v>
      </c>
      <c r="L412">
        <v>11.9</v>
      </c>
      <c r="M412" s="5">
        <f t="shared" si="66"/>
        <v>22.3125</v>
      </c>
      <c r="N412" t="s">
        <v>9</v>
      </c>
      <c r="O412" t="str">
        <f t="shared" si="67"/>
        <v>Meal/Entertain</v>
      </c>
    </row>
    <row r="413" spans="1:15" x14ac:dyDescent="0.3">
      <c r="A413" t="s">
        <v>1505</v>
      </c>
      <c r="B413" s="2">
        <v>42733</v>
      </c>
      <c r="C413" s="7">
        <v>0.7909722222222223</v>
      </c>
      <c r="D413" t="s">
        <v>1506</v>
      </c>
      <c r="E413" s="2">
        <v>42733</v>
      </c>
      <c r="F413" s="8">
        <v>0.80138888888888893</v>
      </c>
      <c r="G413" t="s">
        <v>7</v>
      </c>
      <c r="H413" s="7">
        <f t="shared" si="64"/>
        <v>1.041666666666663E-2</v>
      </c>
      <c r="I413" s="13">
        <f t="shared" si="65"/>
        <v>0.25</v>
      </c>
      <c r="J413" t="s">
        <v>1464</v>
      </c>
      <c r="K413" t="s">
        <v>72</v>
      </c>
      <c r="L413">
        <v>3</v>
      </c>
      <c r="M413" s="5">
        <f t="shared" si="66"/>
        <v>12</v>
      </c>
      <c r="N413" t="s">
        <v>9</v>
      </c>
      <c r="O413" t="str">
        <f t="shared" si="67"/>
        <v>Meal/Entertain</v>
      </c>
    </row>
    <row r="414" spans="1:15" x14ac:dyDescent="0.3">
      <c r="A414" s="1">
        <v>42491.729861111111</v>
      </c>
      <c r="B414" s="6">
        <f t="shared" ref="B414:B421" si="68">INT(A414)</f>
        <v>42491</v>
      </c>
      <c r="C414" s="7">
        <f t="shared" ref="C414:C421" si="69">(A414-B414)</f>
        <v>0.72986111111094942</v>
      </c>
      <c r="D414" s="1">
        <v>42491.739583333336</v>
      </c>
      <c r="E414" s="6">
        <f t="shared" ref="E414:E421" si="70">INT(D414)</f>
        <v>42491</v>
      </c>
      <c r="F414" s="8">
        <f t="shared" ref="F414:F421" si="71">D414-E414</f>
        <v>0.73958333333575865</v>
      </c>
      <c r="G414" t="s">
        <v>7</v>
      </c>
      <c r="H414" s="7">
        <f t="shared" si="64"/>
        <v>9.7222222248092294E-3</v>
      </c>
      <c r="I414" s="13">
        <f t="shared" si="65"/>
        <v>0.23333333333333334</v>
      </c>
      <c r="J414" t="s">
        <v>8</v>
      </c>
      <c r="K414" t="s">
        <v>8</v>
      </c>
      <c r="L414">
        <v>4.7</v>
      </c>
      <c r="M414" s="5">
        <f t="shared" si="66"/>
        <v>20.142857142857142</v>
      </c>
      <c r="N414" t="s">
        <v>11</v>
      </c>
      <c r="O414" t="str">
        <f t="shared" si="67"/>
        <v>Meeting</v>
      </c>
    </row>
    <row r="415" spans="1:15" x14ac:dyDescent="0.3">
      <c r="A415" s="1">
        <v>42522.729166666664</v>
      </c>
      <c r="B415" s="6">
        <f t="shared" si="68"/>
        <v>42522</v>
      </c>
      <c r="C415" s="7">
        <f t="shared" si="69"/>
        <v>0.72916666666424135</v>
      </c>
      <c r="D415" s="1">
        <v>42522.732638888891</v>
      </c>
      <c r="E415" s="6">
        <f t="shared" si="70"/>
        <v>42522</v>
      </c>
      <c r="F415" s="8">
        <f t="shared" si="71"/>
        <v>0.73263888889050577</v>
      </c>
      <c r="G415" t="s">
        <v>7</v>
      </c>
      <c r="H415" s="7">
        <f t="shared" si="64"/>
        <v>3.4722222262644209E-3</v>
      </c>
      <c r="I415" s="13">
        <f t="shared" si="65"/>
        <v>8.3333333333333329E-2</v>
      </c>
      <c r="J415" t="s">
        <v>12</v>
      </c>
      <c r="K415" t="s">
        <v>14</v>
      </c>
      <c r="L415">
        <v>7.1</v>
      </c>
      <c r="M415" s="5">
        <f t="shared" si="66"/>
        <v>85.2</v>
      </c>
      <c r="N415" t="s">
        <v>11</v>
      </c>
      <c r="O415" t="str">
        <f t="shared" si="67"/>
        <v>Meeting</v>
      </c>
    </row>
    <row r="416" spans="1:15" x14ac:dyDescent="0.3">
      <c r="A416" s="1">
        <v>42552.560416666667</v>
      </c>
      <c r="B416" s="6">
        <f t="shared" si="68"/>
        <v>42552</v>
      </c>
      <c r="C416" s="7">
        <f t="shared" si="69"/>
        <v>0.56041666666715173</v>
      </c>
      <c r="D416" s="1">
        <v>42552.564583333333</v>
      </c>
      <c r="E416" s="6">
        <f t="shared" si="70"/>
        <v>42552</v>
      </c>
      <c r="F416" s="8">
        <f t="shared" si="71"/>
        <v>0.56458333333284827</v>
      </c>
      <c r="G416" t="s">
        <v>7</v>
      </c>
      <c r="H416" s="7">
        <f t="shared" si="64"/>
        <v>4.166666665696539E-3</v>
      </c>
      <c r="I416" s="13">
        <f t="shared" si="65"/>
        <v>0.1</v>
      </c>
      <c r="J416" t="s">
        <v>15</v>
      </c>
      <c r="K416" t="s">
        <v>15</v>
      </c>
      <c r="L416">
        <v>0.8</v>
      </c>
      <c r="M416" s="5">
        <f t="shared" si="66"/>
        <v>8</v>
      </c>
      <c r="N416" t="s">
        <v>11</v>
      </c>
      <c r="O416" t="str">
        <f t="shared" si="67"/>
        <v>Meeting</v>
      </c>
    </row>
    <row r="417" spans="1:15" x14ac:dyDescent="0.3">
      <c r="A417" s="1">
        <v>42644.336805555555</v>
      </c>
      <c r="B417" s="6">
        <f t="shared" si="68"/>
        <v>42644</v>
      </c>
      <c r="C417" s="7">
        <f t="shared" si="69"/>
        <v>0.33680555555474712</v>
      </c>
      <c r="D417" s="1">
        <v>42644.350694444445</v>
      </c>
      <c r="E417" s="6">
        <f t="shared" si="70"/>
        <v>42644</v>
      </c>
      <c r="F417" s="8">
        <f t="shared" si="71"/>
        <v>0.35069444444525288</v>
      </c>
      <c r="G417" t="s">
        <v>7</v>
      </c>
      <c r="H417" s="7">
        <f t="shared" si="64"/>
        <v>1.3888888890505768E-2</v>
      </c>
      <c r="I417" s="13">
        <f t="shared" si="65"/>
        <v>0.33333333333333331</v>
      </c>
      <c r="J417" t="s">
        <v>15</v>
      </c>
      <c r="K417" t="s">
        <v>16</v>
      </c>
      <c r="L417">
        <v>8.3000000000000007</v>
      </c>
      <c r="M417" s="5">
        <f t="shared" si="66"/>
        <v>24.900000000000002</v>
      </c>
      <c r="N417" t="s">
        <v>11</v>
      </c>
      <c r="O417" t="str">
        <f t="shared" si="67"/>
        <v>Meeting</v>
      </c>
    </row>
    <row r="418" spans="1:15" x14ac:dyDescent="0.3">
      <c r="A418" s="1">
        <v>42644.630555555559</v>
      </c>
      <c r="B418" s="6">
        <f t="shared" si="68"/>
        <v>42644</v>
      </c>
      <c r="C418" s="7">
        <f t="shared" si="69"/>
        <v>0.63055555555911269</v>
      </c>
      <c r="D418" s="1">
        <v>42644.660416666666</v>
      </c>
      <c r="E418" s="6">
        <f t="shared" si="70"/>
        <v>42644</v>
      </c>
      <c r="F418" s="8">
        <f t="shared" si="71"/>
        <v>0.66041666666569654</v>
      </c>
      <c r="G418" t="s">
        <v>7</v>
      </c>
      <c r="H418" s="7">
        <f t="shared" si="64"/>
        <v>2.9861111106583849E-2</v>
      </c>
      <c r="I418" s="13">
        <f t="shared" si="65"/>
        <v>0.71666666666666667</v>
      </c>
      <c r="J418" t="s">
        <v>18</v>
      </c>
      <c r="K418" t="s">
        <v>19</v>
      </c>
      <c r="L418">
        <v>10.8</v>
      </c>
      <c r="M418" s="5">
        <f t="shared" si="66"/>
        <v>15.069767441860465</v>
      </c>
      <c r="N418" t="s">
        <v>11</v>
      </c>
      <c r="O418" t="str">
        <f t="shared" si="67"/>
        <v>Meeting</v>
      </c>
    </row>
    <row r="419" spans="1:15" x14ac:dyDescent="0.3">
      <c r="A419" s="1">
        <v>42644.762499999997</v>
      </c>
      <c r="B419" s="6">
        <f t="shared" si="68"/>
        <v>42644</v>
      </c>
      <c r="C419" s="7">
        <f t="shared" si="69"/>
        <v>0.76249999999708962</v>
      </c>
      <c r="D419" s="1">
        <v>42644.786805555559</v>
      </c>
      <c r="E419" s="6">
        <f t="shared" si="70"/>
        <v>42644</v>
      </c>
      <c r="F419" s="8">
        <f t="shared" si="71"/>
        <v>0.78680555555911269</v>
      </c>
      <c r="G419" t="s">
        <v>7</v>
      </c>
      <c r="H419" s="7">
        <f t="shared" si="64"/>
        <v>2.4305555562023073E-2</v>
      </c>
      <c r="I419" s="13">
        <f t="shared" si="65"/>
        <v>0.58333333333333337</v>
      </c>
      <c r="J419" t="s">
        <v>20</v>
      </c>
      <c r="K419" t="s">
        <v>18</v>
      </c>
      <c r="L419">
        <v>7.5</v>
      </c>
      <c r="M419" s="5">
        <f t="shared" si="66"/>
        <v>12.857142857142856</v>
      </c>
      <c r="N419" t="s">
        <v>11</v>
      </c>
      <c r="O419" t="str">
        <f t="shared" si="67"/>
        <v>Meeting</v>
      </c>
    </row>
    <row r="420" spans="1:15" x14ac:dyDescent="0.3">
      <c r="A420" s="1">
        <v>42644.800000000003</v>
      </c>
      <c r="B420" s="6">
        <f t="shared" si="68"/>
        <v>42644</v>
      </c>
      <c r="C420" s="7">
        <f t="shared" si="69"/>
        <v>0.80000000000291038</v>
      </c>
      <c r="D420" s="1">
        <v>42644.813888888886</v>
      </c>
      <c r="E420" s="6">
        <f t="shared" si="70"/>
        <v>42644</v>
      </c>
      <c r="F420" s="8">
        <f t="shared" si="71"/>
        <v>0.81388888888614019</v>
      </c>
      <c r="G420" t="s">
        <v>7</v>
      </c>
      <c r="H420" s="7">
        <f t="shared" si="64"/>
        <v>1.3888888883229811E-2</v>
      </c>
      <c r="I420" s="13">
        <f t="shared" si="65"/>
        <v>0.33333333333333331</v>
      </c>
      <c r="J420" t="s">
        <v>21</v>
      </c>
      <c r="K420" t="s">
        <v>22</v>
      </c>
      <c r="L420">
        <v>6.2</v>
      </c>
      <c r="M420" s="5">
        <f t="shared" si="66"/>
        <v>18.600000000000001</v>
      </c>
      <c r="N420" t="s">
        <v>11</v>
      </c>
      <c r="O420" t="str">
        <f t="shared" si="67"/>
        <v>Meeting</v>
      </c>
    </row>
    <row r="421" spans="1:15" x14ac:dyDescent="0.3">
      <c r="A421" s="1">
        <v>42705.668055555558</v>
      </c>
      <c r="B421" s="6">
        <f t="shared" si="68"/>
        <v>42705</v>
      </c>
      <c r="C421" s="7">
        <f t="shared" si="69"/>
        <v>0.6680555555576575</v>
      </c>
      <c r="D421" s="1">
        <v>42705.708333333336</v>
      </c>
      <c r="E421" s="6">
        <f t="shared" si="70"/>
        <v>42705</v>
      </c>
      <c r="F421" s="8">
        <f t="shared" si="71"/>
        <v>0.70833333333575865</v>
      </c>
      <c r="G421" t="s">
        <v>7</v>
      </c>
      <c r="H421" s="7">
        <f t="shared" si="64"/>
        <v>4.0277777778101154E-2</v>
      </c>
      <c r="I421" s="13">
        <f t="shared" si="65"/>
        <v>0.96666666666666667</v>
      </c>
      <c r="J421" t="s">
        <v>18</v>
      </c>
      <c r="K421" t="s">
        <v>30</v>
      </c>
      <c r="L421">
        <v>15.1</v>
      </c>
      <c r="M421" s="5">
        <f t="shared" si="66"/>
        <v>15.620689655172413</v>
      </c>
      <c r="N421" t="s">
        <v>11</v>
      </c>
      <c r="O421" t="str">
        <f t="shared" si="67"/>
        <v>Meeting</v>
      </c>
    </row>
    <row r="422" spans="1:15" x14ac:dyDescent="0.3">
      <c r="B422" s="2">
        <v>42382</v>
      </c>
      <c r="C422" s="7">
        <v>0.57916666666666672</v>
      </c>
      <c r="E422" s="2">
        <v>42382</v>
      </c>
      <c r="F422" s="8">
        <v>0.58819444444444446</v>
      </c>
      <c r="G422" t="s">
        <v>7</v>
      </c>
      <c r="H422" s="7">
        <f t="shared" si="64"/>
        <v>9.0277777777777457E-3</v>
      </c>
      <c r="I422" s="13">
        <f t="shared" si="65"/>
        <v>0.21666666666666667</v>
      </c>
      <c r="J422" t="s">
        <v>31</v>
      </c>
      <c r="K422" t="s">
        <v>32</v>
      </c>
      <c r="L422">
        <v>11.2</v>
      </c>
      <c r="M422" s="5">
        <f t="shared" si="66"/>
        <v>51.692307692307686</v>
      </c>
      <c r="N422" t="s">
        <v>11</v>
      </c>
      <c r="O422" t="str">
        <f t="shared" si="67"/>
        <v>Meeting</v>
      </c>
    </row>
    <row r="423" spans="1:15" x14ac:dyDescent="0.3">
      <c r="B423" s="2">
        <v>42382</v>
      </c>
      <c r="C423" s="7">
        <v>0.625</v>
      </c>
      <c r="E423" s="2">
        <v>42382</v>
      </c>
      <c r="F423" s="8">
        <v>0.64444444444444449</v>
      </c>
      <c r="G423" t="s">
        <v>7</v>
      </c>
      <c r="H423" s="7">
        <f t="shared" si="64"/>
        <v>1.9444444444444486E-2</v>
      </c>
      <c r="I423" s="13">
        <f t="shared" si="65"/>
        <v>0.46666666666666667</v>
      </c>
      <c r="J423" t="s">
        <v>32</v>
      </c>
      <c r="K423" t="s">
        <v>31</v>
      </c>
      <c r="L423">
        <v>11.8</v>
      </c>
      <c r="M423" s="5">
        <f t="shared" si="66"/>
        <v>25.285714285714288</v>
      </c>
      <c r="N423" t="s">
        <v>11</v>
      </c>
      <c r="O423" t="str">
        <f t="shared" si="67"/>
        <v>Meeting</v>
      </c>
    </row>
    <row r="424" spans="1:15" x14ac:dyDescent="0.3">
      <c r="B424" s="2">
        <v>42389</v>
      </c>
      <c r="C424" s="7">
        <v>0.44166666666666665</v>
      </c>
      <c r="E424" s="2">
        <v>42389</v>
      </c>
      <c r="F424" s="8">
        <v>0.46597222222222223</v>
      </c>
      <c r="G424" t="s">
        <v>7</v>
      </c>
      <c r="H424" s="7">
        <f t="shared" si="64"/>
        <v>2.430555555555558E-2</v>
      </c>
      <c r="I424" s="13">
        <f t="shared" si="65"/>
        <v>0.58333333333333337</v>
      </c>
      <c r="J424" t="s">
        <v>15</v>
      </c>
      <c r="K424" t="s">
        <v>40</v>
      </c>
      <c r="L424">
        <v>17.100000000000001</v>
      </c>
      <c r="M424" s="5">
        <f t="shared" si="66"/>
        <v>29.314285714285713</v>
      </c>
      <c r="N424" t="s">
        <v>11</v>
      </c>
      <c r="O424" t="str">
        <f t="shared" si="67"/>
        <v>Meeting</v>
      </c>
    </row>
    <row r="425" spans="1:15" x14ac:dyDescent="0.3">
      <c r="B425" s="2">
        <v>42389</v>
      </c>
      <c r="C425" s="7">
        <v>0.4916666666666667</v>
      </c>
      <c r="E425" s="2">
        <v>42389</v>
      </c>
      <c r="F425" s="8">
        <v>0.5131944444444444</v>
      </c>
      <c r="G425" t="s">
        <v>7</v>
      </c>
      <c r="H425" s="7">
        <f t="shared" si="64"/>
        <v>2.1527777777777701E-2</v>
      </c>
      <c r="I425" s="13">
        <f t="shared" si="65"/>
        <v>0.51666666666666672</v>
      </c>
      <c r="J425" t="s">
        <v>41</v>
      </c>
      <c r="K425" t="s">
        <v>42</v>
      </c>
      <c r="L425">
        <v>15.1</v>
      </c>
      <c r="M425" s="5">
        <f t="shared" si="66"/>
        <v>29.2258064516129</v>
      </c>
      <c r="N425" t="s">
        <v>11</v>
      </c>
      <c r="O425" t="str">
        <f t="shared" si="67"/>
        <v>Meeting</v>
      </c>
    </row>
    <row r="426" spans="1:15" x14ac:dyDescent="0.3">
      <c r="B426" s="2">
        <v>42396</v>
      </c>
      <c r="C426" s="7">
        <v>0.39166666666666666</v>
      </c>
      <c r="E426" s="2">
        <v>42396</v>
      </c>
      <c r="F426" s="8">
        <v>0.39652777777777781</v>
      </c>
      <c r="G426" t="s">
        <v>7</v>
      </c>
      <c r="H426" s="7">
        <f t="shared" si="64"/>
        <v>4.8611111111111494E-3</v>
      </c>
      <c r="I426" s="13">
        <f t="shared" si="65"/>
        <v>0.11666666666666667</v>
      </c>
      <c r="J426" t="s">
        <v>15</v>
      </c>
      <c r="K426" t="s">
        <v>15</v>
      </c>
      <c r="L426">
        <v>1.8</v>
      </c>
      <c r="M426" s="5">
        <f t="shared" si="66"/>
        <v>15.428571428571429</v>
      </c>
      <c r="N426" t="s">
        <v>11</v>
      </c>
      <c r="O426" t="str">
        <f t="shared" si="67"/>
        <v>Meeting</v>
      </c>
    </row>
    <row r="427" spans="1:15" x14ac:dyDescent="0.3">
      <c r="B427" s="2">
        <v>42397</v>
      </c>
      <c r="C427" s="7">
        <v>0.63263888888888886</v>
      </c>
      <c r="E427" s="2">
        <v>42397</v>
      </c>
      <c r="F427" s="8">
        <v>0.64652777777777781</v>
      </c>
      <c r="G427" t="s">
        <v>7</v>
      </c>
      <c r="H427" s="7">
        <f t="shared" si="64"/>
        <v>1.3888888888888951E-2</v>
      </c>
      <c r="I427" s="13">
        <f t="shared" si="65"/>
        <v>0.33333333333333331</v>
      </c>
      <c r="J427" t="s">
        <v>46</v>
      </c>
      <c r="K427" t="s">
        <v>47</v>
      </c>
      <c r="L427">
        <v>14.7</v>
      </c>
      <c r="M427" s="5">
        <f t="shared" si="66"/>
        <v>44.1</v>
      </c>
      <c r="N427" t="s">
        <v>11</v>
      </c>
      <c r="O427" t="str">
        <f t="shared" si="67"/>
        <v>Meeting</v>
      </c>
    </row>
    <row r="428" spans="1:15" x14ac:dyDescent="0.3">
      <c r="B428" s="2">
        <v>42397</v>
      </c>
      <c r="C428" s="7">
        <v>0.68125000000000002</v>
      </c>
      <c r="E428" s="2">
        <v>42397</v>
      </c>
      <c r="F428" s="8">
        <v>0.70208333333333339</v>
      </c>
      <c r="G428" t="s">
        <v>7</v>
      </c>
      <c r="H428" s="7">
        <f t="shared" si="64"/>
        <v>2.083333333333337E-2</v>
      </c>
      <c r="I428" s="13">
        <f t="shared" si="65"/>
        <v>0.5</v>
      </c>
      <c r="J428" t="s">
        <v>40</v>
      </c>
      <c r="K428" t="s">
        <v>15</v>
      </c>
      <c r="L428">
        <v>15.7</v>
      </c>
      <c r="M428" s="5">
        <f t="shared" si="66"/>
        <v>31.4</v>
      </c>
      <c r="N428" t="s">
        <v>11</v>
      </c>
      <c r="O428" t="str">
        <f t="shared" si="67"/>
        <v>Meeting</v>
      </c>
    </row>
    <row r="429" spans="1:15" x14ac:dyDescent="0.3">
      <c r="B429" s="2">
        <v>42398</v>
      </c>
      <c r="C429" s="7">
        <v>0.45555555555555555</v>
      </c>
      <c r="E429" s="2">
        <v>42398</v>
      </c>
      <c r="F429" s="8">
        <v>0.46319444444444446</v>
      </c>
      <c r="G429" t="s">
        <v>7</v>
      </c>
      <c r="H429" s="7">
        <f t="shared" si="64"/>
        <v>7.6388888888889173E-3</v>
      </c>
      <c r="I429" s="13">
        <f t="shared" si="65"/>
        <v>0.18333333333333332</v>
      </c>
      <c r="J429" t="s">
        <v>15</v>
      </c>
      <c r="K429" t="s">
        <v>15</v>
      </c>
      <c r="L429">
        <v>5.2</v>
      </c>
      <c r="M429" s="5">
        <f t="shared" si="66"/>
        <v>28.363636363636367</v>
      </c>
      <c r="N429" t="s">
        <v>11</v>
      </c>
      <c r="O429" t="str">
        <f t="shared" si="67"/>
        <v>Meeting</v>
      </c>
    </row>
    <row r="430" spans="1:15" x14ac:dyDescent="0.3">
      <c r="B430" s="2">
        <v>42398</v>
      </c>
      <c r="C430" s="7">
        <v>0.48819444444444443</v>
      </c>
      <c r="E430" s="2">
        <v>42398</v>
      </c>
      <c r="F430" s="8">
        <v>0.50208333333333333</v>
      </c>
      <c r="G430" t="s">
        <v>7</v>
      </c>
      <c r="H430" s="7">
        <f t="shared" si="64"/>
        <v>1.3888888888888895E-2</v>
      </c>
      <c r="I430" s="13">
        <f t="shared" si="65"/>
        <v>0.33333333333333331</v>
      </c>
      <c r="J430" t="s">
        <v>15</v>
      </c>
      <c r="K430" t="s">
        <v>36</v>
      </c>
      <c r="L430">
        <v>10.4</v>
      </c>
      <c r="M430" s="5">
        <f t="shared" si="66"/>
        <v>31.200000000000003</v>
      </c>
      <c r="N430" t="s">
        <v>11</v>
      </c>
      <c r="O430" t="str">
        <f t="shared" si="67"/>
        <v>Meeting</v>
      </c>
    </row>
    <row r="431" spans="1:15" x14ac:dyDescent="0.3">
      <c r="B431" s="2">
        <v>42398</v>
      </c>
      <c r="C431" s="7">
        <v>0.55833333333333335</v>
      </c>
      <c r="E431" s="2">
        <v>42398</v>
      </c>
      <c r="F431" s="8">
        <v>0.57430555555555551</v>
      </c>
      <c r="G431" t="s">
        <v>7</v>
      </c>
      <c r="H431" s="7">
        <f t="shared" si="64"/>
        <v>1.5972222222222165E-2</v>
      </c>
      <c r="I431" s="13">
        <f t="shared" si="65"/>
        <v>0.38333333333333336</v>
      </c>
      <c r="J431" t="s">
        <v>36</v>
      </c>
      <c r="K431" t="s">
        <v>15</v>
      </c>
      <c r="L431">
        <v>10.1</v>
      </c>
      <c r="M431" s="5">
        <f t="shared" si="66"/>
        <v>26.34782608695652</v>
      </c>
      <c r="N431" t="s">
        <v>11</v>
      </c>
      <c r="O431" t="str">
        <f t="shared" si="67"/>
        <v>Meeting</v>
      </c>
    </row>
    <row r="432" spans="1:15" x14ac:dyDescent="0.3">
      <c r="A432" s="1">
        <v>42402.544444444444</v>
      </c>
      <c r="B432" s="6">
        <f>INT(A432:A470)</f>
        <v>42402</v>
      </c>
      <c r="C432" s="7">
        <f t="shared" ref="C432:C439" si="72">(A432-B432)</f>
        <v>0.54444444444379769</v>
      </c>
      <c r="D432" s="1">
        <v>42402.557638888888</v>
      </c>
      <c r="E432" s="6">
        <f>INT(D432:D470)</f>
        <v>42402</v>
      </c>
      <c r="F432" s="8">
        <f t="shared" ref="F432:F439" si="73">(D432-E432)</f>
        <v>0.55763888888759539</v>
      </c>
      <c r="G432" t="s">
        <v>7</v>
      </c>
      <c r="H432" s="7">
        <f t="shared" si="64"/>
        <v>1.3194444443797693E-2</v>
      </c>
      <c r="I432" s="13">
        <f t="shared" si="65"/>
        <v>0.31666666666666665</v>
      </c>
      <c r="J432" t="s">
        <v>38</v>
      </c>
      <c r="K432" t="s">
        <v>51</v>
      </c>
      <c r="L432">
        <v>8.3000000000000007</v>
      </c>
      <c r="M432" s="5">
        <f t="shared" si="66"/>
        <v>26.210526315789476</v>
      </c>
      <c r="N432" t="s">
        <v>11</v>
      </c>
      <c r="O432" t="str">
        <f t="shared" si="67"/>
        <v>Meeting</v>
      </c>
    </row>
    <row r="433" spans="1:15" x14ac:dyDescent="0.3">
      <c r="A433" s="1">
        <v>42462.75277777778</v>
      </c>
      <c r="B433" s="6">
        <f t="shared" ref="B433:B439" si="74">INT(A433:A470)</f>
        <v>42462</v>
      </c>
      <c r="C433" s="7">
        <f t="shared" si="72"/>
        <v>0.75277777777955635</v>
      </c>
      <c r="D433" s="1">
        <v>42462.771527777775</v>
      </c>
      <c r="E433" s="6">
        <f t="shared" ref="E433:E439" si="75">INT(D433:D470)</f>
        <v>42462</v>
      </c>
      <c r="F433" s="8">
        <f t="shared" si="73"/>
        <v>0.77152777777519077</v>
      </c>
      <c r="G433" t="s">
        <v>7</v>
      </c>
      <c r="H433" s="7">
        <f t="shared" si="64"/>
        <v>1.8749999995634425E-2</v>
      </c>
      <c r="I433" s="13">
        <f t="shared" si="65"/>
        <v>0.45</v>
      </c>
      <c r="J433" t="s">
        <v>38</v>
      </c>
      <c r="K433" t="s">
        <v>52</v>
      </c>
      <c r="L433">
        <v>9</v>
      </c>
      <c r="M433" s="5">
        <f t="shared" si="66"/>
        <v>20</v>
      </c>
      <c r="N433" t="s">
        <v>11</v>
      </c>
      <c r="O433" t="str">
        <f t="shared" si="67"/>
        <v>Meeting</v>
      </c>
    </row>
    <row r="434" spans="1:15" x14ac:dyDescent="0.3">
      <c r="A434" s="1">
        <v>42462.85833333333</v>
      </c>
      <c r="B434" s="6">
        <f t="shared" si="74"/>
        <v>42462</v>
      </c>
      <c r="C434" s="7">
        <f t="shared" si="72"/>
        <v>0.85833333332993789</v>
      </c>
      <c r="D434" s="1">
        <v>42462.871527777781</v>
      </c>
      <c r="E434" s="6">
        <f t="shared" si="75"/>
        <v>42462</v>
      </c>
      <c r="F434" s="8">
        <f t="shared" si="73"/>
        <v>0.87152777778101154</v>
      </c>
      <c r="G434" t="s">
        <v>7</v>
      </c>
      <c r="H434" s="7">
        <f t="shared" si="64"/>
        <v>1.319444445107365E-2</v>
      </c>
      <c r="I434" s="13">
        <f t="shared" si="65"/>
        <v>0.31666666666666665</v>
      </c>
      <c r="J434" t="s">
        <v>15</v>
      </c>
      <c r="K434" t="s">
        <v>15</v>
      </c>
      <c r="L434">
        <v>7.7</v>
      </c>
      <c r="M434" s="5">
        <f t="shared" si="66"/>
        <v>24.315789473684212</v>
      </c>
      <c r="N434" t="s">
        <v>11</v>
      </c>
      <c r="O434" t="str">
        <f t="shared" si="67"/>
        <v>Meeting</v>
      </c>
    </row>
    <row r="435" spans="1:15" x14ac:dyDescent="0.3">
      <c r="A435" s="1">
        <v>42492.490972222222</v>
      </c>
      <c r="B435" s="6">
        <f t="shared" si="74"/>
        <v>42492</v>
      </c>
      <c r="C435" s="7">
        <f t="shared" si="72"/>
        <v>0.49097222222189885</v>
      </c>
      <c r="D435" s="1">
        <v>42492.504861111112</v>
      </c>
      <c r="E435" s="6">
        <f t="shared" si="75"/>
        <v>42492</v>
      </c>
      <c r="F435" s="8">
        <f t="shared" si="73"/>
        <v>0.50486111111240461</v>
      </c>
      <c r="G435" t="s">
        <v>7</v>
      </c>
      <c r="H435" s="7">
        <f t="shared" si="64"/>
        <v>1.3888888890505768E-2</v>
      </c>
      <c r="I435" s="13">
        <f t="shared" si="65"/>
        <v>0.33333333333333331</v>
      </c>
      <c r="J435" t="s">
        <v>15</v>
      </c>
      <c r="K435" t="s">
        <v>36</v>
      </c>
      <c r="L435">
        <v>10.4</v>
      </c>
      <c r="M435" s="5">
        <f t="shared" si="66"/>
        <v>31.200000000000003</v>
      </c>
      <c r="N435" t="s">
        <v>11</v>
      </c>
      <c r="O435" t="str">
        <f t="shared" si="67"/>
        <v>Meeting</v>
      </c>
    </row>
    <row r="436" spans="1:15" x14ac:dyDescent="0.3">
      <c r="A436" s="1">
        <v>42492.556944444441</v>
      </c>
      <c r="B436" s="6">
        <f t="shared" si="74"/>
        <v>42492</v>
      </c>
      <c r="C436" s="7">
        <f t="shared" si="72"/>
        <v>0.55694444444088731</v>
      </c>
      <c r="D436" s="1">
        <v>42492.570138888892</v>
      </c>
      <c r="E436" s="6">
        <f t="shared" si="75"/>
        <v>42492</v>
      </c>
      <c r="F436" s="8">
        <f t="shared" si="73"/>
        <v>0.57013888889196096</v>
      </c>
      <c r="G436" t="s">
        <v>7</v>
      </c>
      <c r="H436" s="7">
        <f t="shared" si="64"/>
        <v>1.319444445107365E-2</v>
      </c>
      <c r="I436" s="13">
        <f t="shared" si="65"/>
        <v>0.31666666666666665</v>
      </c>
      <c r="J436" t="s">
        <v>36</v>
      </c>
      <c r="K436" t="s">
        <v>15</v>
      </c>
      <c r="L436">
        <v>10.4</v>
      </c>
      <c r="M436" s="5">
        <f t="shared" si="66"/>
        <v>32.842105263157897</v>
      </c>
      <c r="N436" t="s">
        <v>11</v>
      </c>
      <c r="O436" t="str">
        <f t="shared" si="67"/>
        <v>Meeting</v>
      </c>
    </row>
    <row r="437" spans="1:15" x14ac:dyDescent="0.3">
      <c r="A437" s="1">
        <v>42553.848611111112</v>
      </c>
      <c r="B437" s="6">
        <f t="shared" si="74"/>
        <v>42553</v>
      </c>
      <c r="C437" s="7">
        <f t="shared" si="72"/>
        <v>0.84861111111240461</v>
      </c>
      <c r="D437" s="1">
        <v>42553.861111111109</v>
      </c>
      <c r="E437" s="6">
        <f t="shared" si="75"/>
        <v>42553</v>
      </c>
      <c r="F437" s="8">
        <f t="shared" si="73"/>
        <v>0.86111111110949423</v>
      </c>
      <c r="G437" t="s">
        <v>7</v>
      </c>
      <c r="H437" s="7">
        <f t="shared" si="64"/>
        <v>1.2499999997089617E-2</v>
      </c>
      <c r="I437" s="13">
        <f t="shared" si="65"/>
        <v>0.3</v>
      </c>
      <c r="J437" t="s">
        <v>16</v>
      </c>
      <c r="K437" t="s">
        <v>15</v>
      </c>
      <c r="L437">
        <v>6.1</v>
      </c>
      <c r="M437" s="5">
        <f t="shared" si="66"/>
        <v>20.333333333333332</v>
      </c>
      <c r="N437" t="s">
        <v>11</v>
      </c>
      <c r="O437" t="str">
        <f t="shared" si="67"/>
        <v>Meeting</v>
      </c>
    </row>
    <row r="438" spans="1:15" x14ac:dyDescent="0.3">
      <c r="A438" s="1">
        <v>42706.543055555558</v>
      </c>
      <c r="B438" s="6">
        <f t="shared" si="74"/>
        <v>42706</v>
      </c>
      <c r="C438" s="7">
        <f t="shared" si="72"/>
        <v>0.5430555555576575</v>
      </c>
      <c r="D438" s="1">
        <v>42706.566666666666</v>
      </c>
      <c r="E438" s="6">
        <f t="shared" si="75"/>
        <v>42706</v>
      </c>
      <c r="F438" s="8">
        <f t="shared" si="73"/>
        <v>0.56666666666569654</v>
      </c>
      <c r="G438" t="s">
        <v>7</v>
      </c>
      <c r="H438" s="7">
        <f t="shared" si="64"/>
        <v>2.361111110803904E-2</v>
      </c>
      <c r="I438" s="13">
        <f t="shared" si="65"/>
        <v>0.56666666666666665</v>
      </c>
      <c r="J438" t="s">
        <v>40</v>
      </c>
      <c r="K438" t="s">
        <v>15</v>
      </c>
      <c r="L438">
        <v>18</v>
      </c>
      <c r="M438" s="5">
        <f t="shared" si="66"/>
        <v>31.764705882352942</v>
      </c>
      <c r="N438" t="s">
        <v>11</v>
      </c>
      <c r="O438" t="str">
        <f t="shared" si="67"/>
        <v>Meeting</v>
      </c>
    </row>
    <row r="439" spans="1:15" x14ac:dyDescent="0.3">
      <c r="A439" s="1">
        <v>42706.617361111108</v>
      </c>
      <c r="B439" s="6">
        <f t="shared" si="74"/>
        <v>42706</v>
      </c>
      <c r="C439" s="7">
        <f t="shared" si="72"/>
        <v>0.61736111110803904</v>
      </c>
      <c r="D439" s="1">
        <v>42706.629166666666</v>
      </c>
      <c r="E439" s="6">
        <f t="shared" si="75"/>
        <v>42706</v>
      </c>
      <c r="F439" s="8">
        <f t="shared" si="73"/>
        <v>0.62916666666569654</v>
      </c>
      <c r="G439" t="s">
        <v>7</v>
      </c>
      <c r="H439" s="7">
        <f t="shared" si="64"/>
        <v>1.1805555557657499E-2</v>
      </c>
      <c r="I439" s="13">
        <f t="shared" si="65"/>
        <v>0.28333333333333333</v>
      </c>
      <c r="J439" t="s">
        <v>15</v>
      </c>
      <c r="K439" t="s">
        <v>16</v>
      </c>
      <c r="L439">
        <v>8.4</v>
      </c>
      <c r="M439" s="5">
        <f t="shared" si="66"/>
        <v>29.647058823529413</v>
      </c>
      <c r="N439" t="s">
        <v>11</v>
      </c>
      <c r="O439" t="str">
        <f t="shared" si="67"/>
        <v>Meeting</v>
      </c>
    </row>
    <row r="440" spans="1:15" x14ac:dyDescent="0.3">
      <c r="B440" s="2">
        <v>42413</v>
      </c>
      <c r="C440" s="7">
        <v>0.59791666666666665</v>
      </c>
      <c r="D440" t="s">
        <v>60</v>
      </c>
      <c r="E440" s="2">
        <v>42413</v>
      </c>
      <c r="F440" s="8">
        <v>0.6118055555555556</v>
      </c>
      <c r="G440" t="s">
        <v>7</v>
      </c>
      <c r="H440" s="7">
        <f t="shared" si="64"/>
        <v>1.3888888888888951E-2</v>
      </c>
      <c r="I440" s="13">
        <f t="shared" si="65"/>
        <v>0.33333333333333331</v>
      </c>
      <c r="J440" t="s">
        <v>15</v>
      </c>
      <c r="K440" t="s">
        <v>16</v>
      </c>
      <c r="L440">
        <v>8.9</v>
      </c>
      <c r="M440" s="5">
        <f t="shared" si="66"/>
        <v>26.700000000000003</v>
      </c>
      <c r="N440" t="s">
        <v>11</v>
      </c>
      <c r="O440" t="str">
        <f t="shared" si="67"/>
        <v>Meeting</v>
      </c>
    </row>
    <row r="441" spans="1:15" x14ac:dyDescent="0.3">
      <c r="A441" t="s">
        <v>1544</v>
      </c>
      <c r="B441" s="2">
        <v>42414</v>
      </c>
      <c r="C441" s="7">
        <v>0.58819444444444446</v>
      </c>
      <c r="D441" t="s">
        <v>64</v>
      </c>
      <c r="E441" s="2">
        <v>42414</v>
      </c>
      <c r="F441" s="8">
        <v>0.61111111111111105</v>
      </c>
      <c r="G441" t="s">
        <v>7</v>
      </c>
      <c r="H441" s="7">
        <f t="shared" si="64"/>
        <v>2.2916666666666585E-2</v>
      </c>
      <c r="I441" s="13">
        <f t="shared" si="65"/>
        <v>0.55000000000000004</v>
      </c>
      <c r="J441" t="s">
        <v>61</v>
      </c>
      <c r="K441" t="s">
        <v>18</v>
      </c>
      <c r="L441">
        <v>8.1</v>
      </c>
      <c r="M441" s="5">
        <f t="shared" si="66"/>
        <v>14.727272727272725</v>
      </c>
      <c r="N441" t="s">
        <v>11</v>
      </c>
      <c r="O441" t="str">
        <f t="shared" si="67"/>
        <v>Meeting</v>
      </c>
    </row>
    <row r="442" spans="1:15" x14ac:dyDescent="0.3">
      <c r="A442" t="s">
        <v>1545</v>
      </c>
      <c r="B442" s="2">
        <v>42414</v>
      </c>
      <c r="C442" s="7">
        <v>0.61527777777777781</v>
      </c>
      <c r="D442" t="s">
        <v>65</v>
      </c>
      <c r="E442" s="2">
        <v>42414</v>
      </c>
      <c r="F442" s="8">
        <v>0.62708333333333333</v>
      </c>
      <c r="G442" t="s">
        <v>7</v>
      </c>
      <c r="H442" s="7">
        <f t="shared" si="64"/>
        <v>1.1805555555555514E-2</v>
      </c>
      <c r="I442" s="13">
        <f t="shared" si="65"/>
        <v>0.28333333333333333</v>
      </c>
      <c r="J442" t="s">
        <v>21</v>
      </c>
      <c r="K442" t="s">
        <v>66</v>
      </c>
      <c r="L442">
        <v>2</v>
      </c>
      <c r="M442" s="5">
        <f t="shared" si="66"/>
        <v>7.0588235294117645</v>
      </c>
      <c r="N442" t="s">
        <v>11</v>
      </c>
      <c r="O442" t="str">
        <f t="shared" si="67"/>
        <v>Meeting</v>
      </c>
    </row>
    <row r="443" spans="1:15" x14ac:dyDescent="0.3">
      <c r="A443" t="s">
        <v>1546</v>
      </c>
      <c r="B443" s="2">
        <v>42414</v>
      </c>
      <c r="C443" s="7">
        <v>0.69097222222222221</v>
      </c>
      <c r="D443" t="s">
        <v>67</v>
      </c>
      <c r="E443" s="2">
        <v>42414</v>
      </c>
      <c r="F443" s="8">
        <v>0.70972222222222225</v>
      </c>
      <c r="G443" t="s">
        <v>7</v>
      </c>
      <c r="H443" s="7">
        <f t="shared" si="64"/>
        <v>1.8750000000000044E-2</v>
      </c>
      <c r="I443" s="13">
        <f t="shared" si="65"/>
        <v>0.45</v>
      </c>
      <c r="J443" t="s">
        <v>18</v>
      </c>
      <c r="K443" t="s">
        <v>68</v>
      </c>
      <c r="L443">
        <v>13</v>
      </c>
      <c r="M443" s="5">
        <f t="shared" si="66"/>
        <v>28.888888888888889</v>
      </c>
      <c r="N443" t="s">
        <v>11</v>
      </c>
      <c r="O443" t="str">
        <f t="shared" si="67"/>
        <v>Meeting</v>
      </c>
    </row>
    <row r="444" spans="1:15" x14ac:dyDescent="0.3">
      <c r="A444" t="s">
        <v>1547</v>
      </c>
      <c r="B444" s="2">
        <v>42414</v>
      </c>
      <c r="C444" s="7">
        <v>0.71250000000000002</v>
      </c>
      <c r="D444" t="s">
        <v>69</v>
      </c>
      <c r="E444" s="2">
        <v>42414</v>
      </c>
      <c r="F444" s="8">
        <v>0.7284722222222223</v>
      </c>
      <c r="G444" t="s">
        <v>7</v>
      </c>
      <c r="H444" s="7">
        <f t="shared" si="64"/>
        <v>1.5972222222222276E-2</v>
      </c>
      <c r="I444" s="13">
        <f t="shared" si="65"/>
        <v>0.38333333333333336</v>
      </c>
      <c r="J444" t="s">
        <v>68</v>
      </c>
      <c r="K444" t="s">
        <v>17</v>
      </c>
      <c r="L444">
        <v>13.9</v>
      </c>
      <c r="M444" s="5">
        <f t="shared" si="66"/>
        <v>36.260869565217391</v>
      </c>
      <c r="N444" t="s">
        <v>11</v>
      </c>
      <c r="O444" t="str">
        <f t="shared" si="67"/>
        <v>Meeting</v>
      </c>
    </row>
    <row r="445" spans="1:15" x14ac:dyDescent="0.3">
      <c r="B445" s="2">
        <v>42418</v>
      </c>
      <c r="C445" s="7">
        <v>0.81041666666666667</v>
      </c>
      <c r="D445" t="s">
        <v>91</v>
      </c>
      <c r="E445" s="2">
        <v>42418</v>
      </c>
      <c r="F445" s="8">
        <v>0.83888888888888891</v>
      </c>
      <c r="G445" t="s">
        <v>7</v>
      </c>
      <c r="H445" s="7">
        <f t="shared" si="64"/>
        <v>2.8472222222222232E-2</v>
      </c>
      <c r="I445" s="13">
        <f t="shared" si="65"/>
        <v>0.68333333333333335</v>
      </c>
      <c r="J445" t="s">
        <v>88</v>
      </c>
      <c r="K445" t="s">
        <v>72</v>
      </c>
      <c r="L445">
        <v>10</v>
      </c>
      <c r="M445" s="5">
        <f t="shared" si="66"/>
        <v>14.634146341463415</v>
      </c>
      <c r="N445" t="s">
        <v>11</v>
      </c>
      <c r="O445" t="str">
        <f t="shared" si="67"/>
        <v>Meeting</v>
      </c>
    </row>
    <row r="446" spans="1:15" x14ac:dyDescent="0.3">
      <c r="B446" s="2">
        <v>42419</v>
      </c>
      <c r="C446" s="7">
        <v>0.37638888888888888</v>
      </c>
      <c r="D446" t="s">
        <v>92</v>
      </c>
      <c r="E446" s="2">
        <v>42419</v>
      </c>
      <c r="F446" s="8">
        <v>0.38472222222222219</v>
      </c>
      <c r="G446" t="s">
        <v>7</v>
      </c>
      <c r="H446" s="7">
        <f t="shared" si="64"/>
        <v>8.3333333333333037E-3</v>
      </c>
      <c r="I446" s="13">
        <f t="shared" si="65"/>
        <v>0.2</v>
      </c>
      <c r="J446" t="s">
        <v>72</v>
      </c>
      <c r="K446" t="s">
        <v>72</v>
      </c>
      <c r="L446">
        <v>18.3</v>
      </c>
      <c r="M446" s="5">
        <f t="shared" si="66"/>
        <v>91.5</v>
      </c>
      <c r="N446" t="s">
        <v>11</v>
      </c>
      <c r="O446" t="str">
        <f t="shared" si="67"/>
        <v>Meeting</v>
      </c>
    </row>
    <row r="447" spans="1:15" x14ac:dyDescent="0.3">
      <c r="B447" s="2">
        <v>42419</v>
      </c>
      <c r="C447" s="7">
        <v>0.38958333333333334</v>
      </c>
      <c r="D447" t="s">
        <v>93</v>
      </c>
      <c r="E447" s="2">
        <v>42419</v>
      </c>
      <c r="F447" s="8">
        <v>0.41041666666666665</v>
      </c>
      <c r="G447" t="s">
        <v>7</v>
      </c>
      <c r="H447" s="7">
        <f t="shared" si="64"/>
        <v>2.0833333333333315E-2</v>
      </c>
      <c r="I447" s="13">
        <f t="shared" si="65"/>
        <v>0.5</v>
      </c>
      <c r="J447" t="s">
        <v>72</v>
      </c>
      <c r="K447" t="s">
        <v>72</v>
      </c>
      <c r="L447">
        <v>11.2</v>
      </c>
      <c r="M447" s="5">
        <f t="shared" si="66"/>
        <v>22.4</v>
      </c>
      <c r="N447" t="s">
        <v>11</v>
      </c>
      <c r="O447" t="str">
        <f t="shared" si="67"/>
        <v>Meeting</v>
      </c>
    </row>
    <row r="448" spans="1:15" x14ac:dyDescent="0.3">
      <c r="B448" s="2">
        <v>42419</v>
      </c>
      <c r="C448" s="7">
        <v>0.43124999999999997</v>
      </c>
      <c r="D448" t="s">
        <v>94</v>
      </c>
      <c r="E448" s="2">
        <v>42419</v>
      </c>
      <c r="F448" s="8">
        <v>0.45</v>
      </c>
      <c r="G448" t="s">
        <v>7</v>
      </c>
      <c r="H448" s="7">
        <f t="shared" si="64"/>
        <v>1.8750000000000044E-2</v>
      </c>
      <c r="I448" s="13">
        <f t="shared" si="65"/>
        <v>0.45</v>
      </c>
      <c r="J448" t="s">
        <v>72</v>
      </c>
      <c r="K448" t="s">
        <v>88</v>
      </c>
      <c r="L448">
        <v>7.6</v>
      </c>
      <c r="M448" s="5">
        <f t="shared" si="66"/>
        <v>16.888888888888889</v>
      </c>
      <c r="N448" t="s">
        <v>11</v>
      </c>
      <c r="O448" t="str">
        <f t="shared" si="67"/>
        <v>Meeting</v>
      </c>
    </row>
    <row r="449" spans="1:15" x14ac:dyDescent="0.3">
      <c r="B449" s="2">
        <v>42420</v>
      </c>
      <c r="C449" s="7">
        <v>0.61805555555555558</v>
      </c>
      <c r="D449" t="s">
        <v>107</v>
      </c>
      <c r="E449" s="2">
        <v>42420</v>
      </c>
      <c r="F449" s="8">
        <v>0.66249999999999998</v>
      </c>
      <c r="G449" t="s">
        <v>7</v>
      </c>
      <c r="H449" s="7">
        <f t="shared" si="64"/>
        <v>4.4444444444444398E-2</v>
      </c>
      <c r="I449" s="13">
        <f t="shared" si="65"/>
        <v>1.0666666666666667</v>
      </c>
      <c r="J449" t="s">
        <v>106</v>
      </c>
      <c r="K449" t="s">
        <v>106</v>
      </c>
      <c r="L449">
        <v>23.1</v>
      </c>
      <c r="M449" s="5">
        <f t="shared" si="66"/>
        <v>21.65625</v>
      </c>
      <c r="N449" t="s">
        <v>11</v>
      </c>
      <c r="O449" t="str">
        <f t="shared" si="67"/>
        <v>Meeting</v>
      </c>
    </row>
    <row r="450" spans="1:15" x14ac:dyDescent="0.3">
      <c r="B450" s="2">
        <v>42421</v>
      </c>
      <c r="C450" s="7">
        <v>0.96875</v>
      </c>
      <c r="D450" t="s">
        <v>122</v>
      </c>
      <c r="E450" s="2">
        <v>42421</v>
      </c>
      <c r="F450" s="8">
        <v>0.99444444444444446</v>
      </c>
      <c r="G450" t="s">
        <v>7</v>
      </c>
      <c r="H450" s="7">
        <f t="shared" ref="H450:H513" si="76">IF(F450&gt;C450,F450-C450,F450-C450+1)</f>
        <v>2.5694444444444464E-2</v>
      </c>
      <c r="I450" s="13">
        <f t="shared" ref="I450:I513" si="77">(HOUR(H450)*60+MINUTE(H450))/60</f>
        <v>0.6166666666666667</v>
      </c>
      <c r="J450" t="s">
        <v>72</v>
      </c>
      <c r="K450" t="s">
        <v>106</v>
      </c>
      <c r="L450">
        <v>20</v>
      </c>
      <c r="M450" s="5">
        <f t="shared" ref="M450:M513" si="78">L450/I450</f>
        <v>32.432432432432428</v>
      </c>
      <c r="N450" t="s">
        <v>11</v>
      </c>
      <c r="O450" t="str">
        <f t="shared" ref="O450:O513" si="79">IF(ISBLANK($N450),"No Purpose",$N450)</f>
        <v>Meeting</v>
      </c>
    </row>
    <row r="451" spans="1:15" x14ac:dyDescent="0.3">
      <c r="B451" s="2">
        <v>42426</v>
      </c>
      <c r="C451" s="7">
        <v>0.4826388888888889</v>
      </c>
      <c r="D451" t="s">
        <v>133</v>
      </c>
      <c r="E451" s="2">
        <v>42426</v>
      </c>
      <c r="F451" s="8">
        <v>0.4993055555555555</v>
      </c>
      <c r="G451" t="s">
        <v>7</v>
      </c>
      <c r="H451" s="7">
        <f t="shared" si="76"/>
        <v>1.6666666666666607E-2</v>
      </c>
      <c r="I451" s="13">
        <f t="shared" si="77"/>
        <v>0.4</v>
      </c>
      <c r="J451" t="s">
        <v>15</v>
      </c>
      <c r="K451" t="s">
        <v>36</v>
      </c>
      <c r="L451">
        <v>10.6</v>
      </c>
      <c r="M451" s="5">
        <f t="shared" si="78"/>
        <v>26.499999999999996</v>
      </c>
      <c r="N451" t="s">
        <v>11</v>
      </c>
      <c r="O451" t="str">
        <f t="shared" si="79"/>
        <v>Meeting</v>
      </c>
    </row>
    <row r="452" spans="1:15" x14ac:dyDescent="0.3">
      <c r="B452" s="2">
        <v>42426</v>
      </c>
      <c r="C452" s="7">
        <v>0.54236111111111118</v>
      </c>
      <c r="D452" t="s">
        <v>134</v>
      </c>
      <c r="E452" s="2">
        <v>42426</v>
      </c>
      <c r="F452" s="8">
        <v>0.55833333333333335</v>
      </c>
      <c r="G452" t="s">
        <v>7</v>
      </c>
      <c r="H452" s="7">
        <f t="shared" si="76"/>
        <v>1.5972222222222165E-2</v>
      </c>
      <c r="I452" s="13">
        <f t="shared" si="77"/>
        <v>0.38333333333333336</v>
      </c>
      <c r="J452" t="s">
        <v>36</v>
      </c>
      <c r="K452" t="s">
        <v>15</v>
      </c>
      <c r="L452">
        <v>9.9</v>
      </c>
      <c r="M452" s="5">
        <f t="shared" si="78"/>
        <v>25.826086956521738</v>
      </c>
      <c r="N452" t="s">
        <v>11</v>
      </c>
      <c r="O452" t="str">
        <f t="shared" si="79"/>
        <v>Meeting</v>
      </c>
    </row>
    <row r="453" spans="1:15" x14ac:dyDescent="0.3">
      <c r="B453" s="2">
        <v>42428</v>
      </c>
      <c r="C453" s="7">
        <v>0.22361111111111109</v>
      </c>
      <c r="D453" t="s">
        <v>138</v>
      </c>
      <c r="E453" s="2">
        <v>42428</v>
      </c>
      <c r="F453" s="8">
        <v>0.23472222222222219</v>
      </c>
      <c r="G453" t="s">
        <v>7</v>
      </c>
      <c r="H453" s="7">
        <f t="shared" si="76"/>
        <v>1.1111111111111099E-2</v>
      </c>
      <c r="I453" s="13">
        <f t="shared" si="77"/>
        <v>0.26666666666666666</v>
      </c>
      <c r="J453" t="s">
        <v>38</v>
      </c>
      <c r="K453" t="s">
        <v>139</v>
      </c>
      <c r="L453">
        <v>7.7</v>
      </c>
      <c r="M453" s="5">
        <f t="shared" si="78"/>
        <v>28.875</v>
      </c>
      <c r="N453" t="s">
        <v>11</v>
      </c>
      <c r="O453" t="str">
        <f t="shared" si="79"/>
        <v>Meeting</v>
      </c>
    </row>
    <row r="454" spans="1:15" x14ac:dyDescent="0.3">
      <c r="B454" s="2">
        <v>42428</v>
      </c>
      <c r="C454" s="7">
        <v>0.39305555555555555</v>
      </c>
      <c r="D454" t="s">
        <v>140</v>
      </c>
      <c r="E454" s="2">
        <v>42428</v>
      </c>
      <c r="F454" s="8">
        <v>0.40416666666666662</v>
      </c>
      <c r="G454" t="s">
        <v>7</v>
      </c>
      <c r="H454" s="7">
        <f t="shared" si="76"/>
        <v>1.1111111111111072E-2</v>
      </c>
      <c r="I454" s="13">
        <f t="shared" si="77"/>
        <v>0.26666666666666666</v>
      </c>
      <c r="J454" t="s">
        <v>139</v>
      </c>
      <c r="K454" t="s">
        <v>38</v>
      </c>
      <c r="L454">
        <v>6.8</v>
      </c>
      <c r="M454" s="5">
        <f t="shared" si="78"/>
        <v>25.5</v>
      </c>
      <c r="N454" t="s">
        <v>11</v>
      </c>
      <c r="O454" t="str">
        <f t="shared" si="79"/>
        <v>Meeting</v>
      </c>
    </row>
    <row r="455" spans="1:15" x14ac:dyDescent="0.3">
      <c r="B455" s="2">
        <v>42429</v>
      </c>
      <c r="C455" s="7">
        <v>0.47916666666666669</v>
      </c>
      <c r="D455" t="s">
        <v>142</v>
      </c>
      <c r="E455" s="2">
        <v>42429</v>
      </c>
      <c r="F455" s="8">
        <v>0.4861111111111111</v>
      </c>
      <c r="G455" t="s">
        <v>7</v>
      </c>
      <c r="H455" s="7">
        <f t="shared" si="76"/>
        <v>6.9444444444444198E-3</v>
      </c>
      <c r="I455" s="13">
        <f t="shared" si="77"/>
        <v>0.16666666666666666</v>
      </c>
      <c r="J455" t="s">
        <v>15</v>
      </c>
      <c r="K455" t="s">
        <v>48</v>
      </c>
      <c r="L455">
        <v>3.8</v>
      </c>
      <c r="M455" s="5">
        <f t="shared" si="78"/>
        <v>22.8</v>
      </c>
      <c r="N455" t="s">
        <v>11</v>
      </c>
      <c r="O455" t="str">
        <f t="shared" si="79"/>
        <v>Meeting</v>
      </c>
    </row>
    <row r="456" spans="1:15" x14ac:dyDescent="0.3">
      <c r="B456" s="2">
        <v>42429</v>
      </c>
      <c r="C456" s="7">
        <v>0.52500000000000002</v>
      </c>
      <c r="D456" t="s">
        <v>143</v>
      </c>
      <c r="E456" s="2">
        <v>42429</v>
      </c>
      <c r="F456" s="8">
        <v>0.53333333333333333</v>
      </c>
      <c r="G456" t="s">
        <v>7</v>
      </c>
      <c r="H456" s="7">
        <f t="shared" si="76"/>
        <v>8.3333333333333037E-3</v>
      </c>
      <c r="I456" s="13">
        <f t="shared" si="77"/>
        <v>0.2</v>
      </c>
      <c r="J456" t="s">
        <v>48</v>
      </c>
      <c r="K456" t="s">
        <v>15</v>
      </c>
      <c r="L456">
        <v>5.6</v>
      </c>
      <c r="M456" s="5">
        <f t="shared" si="78"/>
        <v>27.999999999999996</v>
      </c>
      <c r="N456" t="s">
        <v>11</v>
      </c>
      <c r="O456" t="str">
        <f t="shared" si="79"/>
        <v>Meeting</v>
      </c>
    </row>
    <row r="457" spans="1:15" x14ac:dyDescent="0.3">
      <c r="A457" s="1">
        <v>42372.893750000003</v>
      </c>
      <c r="B457" s="6">
        <f t="shared" ref="B457:B465" si="80">INT(A457:A496)</f>
        <v>42372</v>
      </c>
      <c r="C457" s="7">
        <f t="shared" ref="C457:C465" si="81">(A457-B457)</f>
        <v>0.89375000000291038</v>
      </c>
      <c r="D457" s="1">
        <v>42372.90625</v>
      </c>
      <c r="E457" s="6">
        <f t="shared" ref="E457:E465" si="82">INT(D457)</f>
        <v>42372</v>
      </c>
      <c r="F457" s="8">
        <f t="shared" ref="F457:F465" si="83">D457-E457</f>
        <v>0.90625</v>
      </c>
      <c r="G457" t="s">
        <v>7</v>
      </c>
      <c r="H457" s="7">
        <f t="shared" si="76"/>
        <v>1.2499999997089617E-2</v>
      </c>
      <c r="I457" s="13">
        <f t="shared" si="77"/>
        <v>0.3</v>
      </c>
      <c r="J457" t="s">
        <v>146</v>
      </c>
      <c r="K457" t="s">
        <v>38</v>
      </c>
      <c r="L457">
        <v>8</v>
      </c>
      <c r="M457" s="5">
        <f t="shared" si="78"/>
        <v>26.666666666666668</v>
      </c>
      <c r="N457" t="s">
        <v>11</v>
      </c>
      <c r="O457" t="str">
        <f t="shared" si="79"/>
        <v>Meeting</v>
      </c>
    </row>
    <row r="458" spans="1:15" x14ac:dyDescent="0.3">
      <c r="A458" s="1">
        <v>42432.668055555558</v>
      </c>
      <c r="B458" s="6">
        <f t="shared" si="80"/>
        <v>42432</v>
      </c>
      <c r="C458" s="7">
        <f t="shared" si="81"/>
        <v>0.6680555555576575</v>
      </c>
      <c r="D458" s="1">
        <v>42432.695833333331</v>
      </c>
      <c r="E458" s="6">
        <f t="shared" si="82"/>
        <v>42432</v>
      </c>
      <c r="F458" s="8">
        <f t="shared" si="83"/>
        <v>0.69583333333139308</v>
      </c>
      <c r="G458" t="s">
        <v>7</v>
      </c>
      <c r="H458" s="7">
        <f t="shared" si="76"/>
        <v>2.7777777773735579E-2</v>
      </c>
      <c r="I458" s="13">
        <f t="shared" si="77"/>
        <v>0.66666666666666663</v>
      </c>
      <c r="J458" t="s">
        <v>40</v>
      </c>
      <c r="K458" t="s">
        <v>15</v>
      </c>
      <c r="L458">
        <v>17.3</v>
      </c>
      <c r="M458" s="5">
        <f t="shared" si="78"/>
        <v>25.950000000000003</v>
      </c>
      <c r="N458" t="s">
        <v>11</v>
      </c>
      <c r="O458" t="str">
        <f t="shared" si="79"/>
        <v>Meeting</v>
      </c>
    </row>
    <row r="459" spans="1:15" x14ac:dyDescent="0.3">
      <c r="A459" s="1">
        <v>42463.324305555558</v>
      </c>
      <c r="B459" s="6">
        <f t="shared" si="80"/>
        <v>42463</v>
      </c>
      <c r="C459" s="7">
        <f t="shared" si="81"/>
        <v>0.3243055555576575</v>
      </c>
      <c r="D459" s="1">
        <v>42463.337500000001</v>
      </c>
      <c r="E459" s="6">
        <f t="shared" si="82"/>
        <v>42463</v>
      </c>
      <c r="F459" s="8">
        <f t="shared" si="83"/>
        <v>0.33750000000145519</v>
      </c>
      <c r="G459" t="s">
        <v>7</v>
      </c>
      <c r="H459" s="7">
        <f t="shared" si="76"/>
        <v>1.3194444443797693E-2</v>
      </c>
      <c r="I459" s="13">
        <f t="shared" si="77"/>
        <v>0.31666666666666665</v>
      </c>
      <c r="J459" t="s">
        <v>15</v>
      </c>
      <c r="K459" t="s">
        <v>36</v>
      </c>
      <c r="L459">
        <v>9.9</v>
      </c>
      <c r="M459" s="5">
        <f t="shared" si="78"/>
        <v>31.263157894736846</v>
      </c>
      <c r="N459" t="s">
        <v>11</v>
      </c>
      <c r="O459" t="str">
        <f t="shared" si="79"/>
        <v>Meeting</v>
      </c>
    </row>
    <row r="460" spans="1:15" x14ac:dyDescent="0.3">
      <c r="A460" s="1">
        <v>42463.490277777775</v>
      </c>
      <c r="B460" s="6">
        <f t="shared" si="80"/>
        <v>42463</v>
      </c>
      <c r="C460" s="7">
        <f t="shared" si="81"/>
        <v>0.49027777777519077</v>
      </c>
      <c r="D460" s="1">
        <v>42463.504166666666</v>
      </c>
      <c r="E460" s="6">
        <f t="shared" si="82"/>
        <v>42463</v>
      </c>
      <c r="F460" s="8">
        <f t="shared" si="83"/>
        <v>0.50416666666569654</v>
      </c>
      <c r="G460" t="s">
        <v>7</v>
      </c>
      <c r="H460" s="7">
        <f t="shared" si="76"/>
        <v>1.3888888890505768E-2</v>
      </c>
      <c r="I460" s="13">
        <f t="shared" si="77"/>
        <v>0.33333333333333331</v>
      </c>
      <c r="J460" t="s">
        <v>15</v>
      </c>
      <c r="K460" t="s">
        <v>36</v>
      </c>
      <c r="L460">
        <v>10.4</v>
      </c>
      <c r="M460" s="5">
        <f t="shared" si="78"/>
        <v>31.200000000000003</v>
      </c>
      <c r="N460" t="s">
        <v>11</v>
      </c>
      <c r="O460" t="str">
        <f t="shared" si="79"/>
        <v>Meeting</v>
      </c>
    </row>
    <row r="461" spans="1:15" x14ac:dyDescent="0.3">
      <c r="A461" s="1">
        <v>42463.543749999997</v>
      </c>
      <c r="B461" s="6">
        <f t="shared" si="80"/>
        <v>42463</v>
      </c>
      <c r="C461" s="7">
        <f t="shared" si="81"/>
        <v>0.54374999999708962</v>
      </c>
      <c r="D461" s="1">
        <v>42463.559027777781</v>
      </c>
      <c r="E461" s="6">
        <f t="shared" si="82"/>
        <v>42463</v>
      </c>
      <c r="F461" s="8">
        <f t="shared" si="83"/>
        <v>0.55902777778101154</v>
      </c>
      <c r="G461" t="s">
        <v>7</v>
      </c>
      <c r="H461" s="7">
        <f t="shared" si="76"/>
        <v>1.527777778392192E-2</v>
      </c>
      <c r="I461" s="13">
        <f t="shared" si="77"/>
        <v>0.36666666666666664</v>
      </c>
      <c r="J461" t="s">
        <v>36</v>
      </c>
      <c r="K461" t="s">
        <v>15</v>
      </c>
      <c r="L461">
        <v>10.9</v>
      </c>
      <c r="M461" s="5">
        <f t="shared" si="78"/>
        <v>29.72727272727273</v>
      </c>
      <c r="N461" t="s">
        <v>11</v>
      </c>
      <c r="O461" t="str">
        <f t="shared" si="79"/>
        <v>Meeting</v>
      </c>
    </row>
    <row r="462" spans="1:15" x14ac:dyDescent="0.3">
      <c r="A462" s="1">
        <v>42463.696527777778</v>
      </c>
      <c r="B462" s="6">
        <f t="shared" si="80"/>
        <v>42463</v>
      </c>
      <c r="C462" s="7">
        <f t="shared" si="81"/>
        <v>0.69652777777810115</v>
      </c>
      <c r="D462" s="1">
        <v>42463.716666666667</v>
      </c>
      <c r="E462" s="6">
        <f t="shared" si="82"/>
        <v>42463</v>
      </c>
      <c r="F462" s="8">
        <f t="shared" si="83"/>
        <v>0.71666666666715173</v>
      </c>
      <c r="G462" t="s">
        <v>7</v>
      </c>
      <c r="H462" s="7">
        <f t="shared" si="76"/>
        <v>2.0138888889050577E-2</v>
      </c>
      <c r="I462" s="13">
        <f t="shared" si="77"/>
        <v>0.48333333333333334</v>
      </c>
      <c r="J462" t="s">
        <v>40</v>
      </c>
      <c r="K462" t="s">
        <v>15</v>
      </c>
      <c r="L462">
        <v>13.5</v>
      </c>
      <c r="M462" s="5">
        <f t="shared" si="78"/>
        <v>27.931034482758619</v>
      </c>
      <c r="N462" t="s">
        <v>11</v>
      </c>
      <c r="O462" t="str">
        <f t="shared" si="79"/>
        <v>Meeting</v>
      </c>
    </row>
    <row r="463" spans="1:15" x14ac:dyDescent="0.3">
      <c r="A463" s="1">
        <v>42554.581250000003</v>
      </c>
      <c r="B463" s="6">
        <f t="shared" si="80"/>
        <v>42554</v>
      </c>
      <c r="C463" s="7">
        <f t="shared" si="81"/>
        <v>0.58125000000291038</v>
      </c>
      <c r="D463" s="1">
        <v>42554.595833333333</v>
      </c>
      <c r="E463" s="6">
        <f t="shared" si="82"/>
        <v>42554</v>
      </c>
      <c r="F463" s="8">
        <f t="shared" si="83"/>
        <v>0.59583333333284827</v>
      </c>
      <c r="G463" t="s">
        <v>7</v>
      </c>
      <c r="H463" s="7">
        <f t="shared" si="76"/>
        <v>1.4583333329937886E-2</v>
      </c>
      <c r="I463" s="13">
        <f t="shared" si="77"/>
        <v>0.35</v>
      </c>
      <c r="J463" t="s">
        <v>46</v>
      </c>
      <c r="K463" t="s">
        <v>47</v>
      </c>
      <c r="L463">
        <v>9.4</v>
      </c>
      <c r="M463" s="5">
        <f t="shared" si="78"/>
        <v>26.857142857142861</v>
      </c>
      <c r="N463" t="s">
        <v>11</v>
      </c>
      <c r="O463" t="str">
        <f t="shared" si="79"/>
        <v>Meeting</v>
      </c>
    </row>
    <row r="464" spans="1:15" x14ac:dyDescent="0.3">
      <c r="A464" s="1">
        <v>42646.15</v>
      </c>
      <c r="B464" s="6">
        <f t="shared" si="80"/>
        <v>42646</v>
      </c>
      <c r="C464" s="7">
        <f t="shared" si="81"/>
        <v>0.15000000000145519</v>
      </c>
      <c r="D464" s="1">
        <v>42646.161805555559</v>
      </c>
      <c r="E464" s="6">
        <f t="shared" si="82"/>
        <v>42646</v>
      </c>
      <c r="F464" s="8">
        <f t="shared" si="83"/>
        <v>0.16180555555911269</v>
      </c>
      <c r="G464" t="s">
        <v>7</v>
      </c>
      <c r="H464" s="7">
        <f t="shared" si="76"/>
        <v>1.1805555557657499E-2</v>
      </c>
      <c r="I464" s="13">
        <f t="shared" si="77"/>
        <v>0.28333333333333333</v>
      </c>
      <c r="J464" t="s">
        <v>15</v>
      </c>
      <c r="K464" t="s">
        <v>16</v>
      </c>
      <c r="L464">
        <v>8.4</v>
      </c>
      <c r="M464" s="5">
        <f t="shared" si="78"/>
        <v>29.647058823529413</v>
      </c>
      <c r="N464" t="s">
        <v>11</v>
      </c>
      <c r="O464" t="str">
        <f t="shared" si="79"/>
        <v>Meeting</v>
      </c>
    </row>
    <row r="465" spans="1:15" x14ac:dyDescent="0.3">
      <c r="A465" s="1">
        <v>42646.422222222223</v>
      </c>
      <c r="B465" s="6">
        <f t="shared" si="80"/>
        <v>42646</v>
      </c>
      <c r="C465" s="7">
        <f t="shared" si="81"/>
        <v>0.42222222222335404</v>
      </c>
      <c r="D465" s="1">
        <v>42646.442361111112</v>
      </c>
      <c r="E465" s="6">
        <f t="shared" si="82"/>
        <v>42646</v>
      </c>
      <c r="F465" s="8">
        <f t="shared" si="83"/>
        <v>0.44236111111240461</v>
      </c>
      <c r="G465" t="s">
        <v>7</v>
      </c>
      <c r="H465" s="7">
        <f t="shared" si="76"/>
        <v>2.0138888889050577E-2</v>
      </c>
      <c r="I465" s="13">
        <f t="shared" si="77"/>
        <v>0.48333333333333334</v>
      </c>
      <c r="J465" t="s">
        <v>149</v>
      </c>
      <c r="K465" t="s">
        <v>150</v>
      </c>
      <c r="L465">
        <v>12.8</v>
      </c>
      <c r="M465" s="5">
        <f t="shared" si="78"/>
        <v>26.482758620689655</v>
      </c>
      <c r="N465" t="s">
        <v>11</v>
      </c>
      <c r="O465" t="str">
        <f t="shared" si="79"/>
        <v>Meeting</v>
      </c>
    </row>
    <row r="466" spans="1:15" x14ac:dyDescent="0.3">
      <c r="A466" t="s">
        <v>192</v>
      </c>
      <c r="B466" s="2">
        <v>42446</v>
      </c>
      <c r="C466" s="7">
        <v>0.63611111111111118</v>
      </c>
      <c r="D466" t="s">
        <v>193</v>
      </c>
      <c r="E466" s="2">
        <v>42446</v>
      </c>
      <c r="F466" s="8">
        <v>0.66527777777777775</v>
      </c>
      <c r="G466" t="s">
        <v>7</v>
      </c>
      <c r="H466" s="7">
        <f t="shared" si="76"/>
        <v>2.9166666666666563E-2</v>
      </c>
      <c r="I466" s="13">
        <f t="shared" si="77"/>
        <v>0.7</v>
      </c>
      <c r="J466" t="s">
        <v>191</v>
      </c>
      <c r="K466" t="s">
        <v>33</v>
      </c>
      <c r="L466">
        <v>30.2</v>
      </c>
      <c r="M466" s="5">
        <f t="shared" si="78"/>
        <v>43.142857142857146</v>
      </c>
      <c r="N466" t="s">
        <v>11</v>
      </c>
      <c r="O466" t="str">
        <f t="shared" si="79"/>
        <v>Meeting</v>
      </c>
    </row>
    <row r="467" spans="1:15" x14ac:dyDescent="0.3">
      <c r="A467" t="s">
        <v>208</v>
      </c>
      <c r="B467" s="2">
        <v>42447</v>
      </c>
      <c r="C467" s="7">
        <v>0.76666666666666661</v>
      </c>
      <c r="D467" t="s">
        <v>209</v>
      </c>
      <c r="E467" s="2">
        <v>42447</v>
      </c>
      <c r="F467" s="8">
        <v>0.79722222222222217</v>
      </c>
      <c r="G467" t="s">
        <v>7</v>
      </c>
      <c r="H467" s="7">
        <f t="shared" si="76"/>
        <v>3.0555555555555558E-2</v>
      </c>
      <c r="I467" s="13">
        <f t="shared" si="77"/>
        <v>0.73333333333333328</v>
      </c>
      <c r="J467" t="s">
        <v>21</v>
      </c>
      <c r="K467" t="s">
        <v>203</v>
      </c>
      <c r="L467">
        <v>13.2</v>
      </c>
      <c r="M467" s="5">
        <f t="shared" si="78"/>
        <v>18</v>
      </c>
      <c r="N467" t="s">
        <v>11</v>
      </c>
      <c r="O467" t="str">
        <f t="shared" si="79"/>
        <v>Meeting</v>
      </c>
    </row>
    <row r="468" spans="1:15" x14ac:dyDescent="0.3">
      <c r="A468" t="s">
        <v>231</v>
      </c>
      <c r="B468" s="2">
        <v>42448</v>
      </c>
      <c r="C468" s="7">
        <v>0.78680555555555554</v>
      </c>
      <c r="D468" t="s">
        <v>232</v>
      </c>
      <c r="E468" s="2">
        <v>42448</v>
      </c>
      <c r="F468" s="8">
        <v>0.81180555555555556</v>
      </c>
      <c r="G468" t="s">
        <v>7</v>
      </c>
      <c r="H468" s="7">
        <f t="shared" si="76"/>
        <v>2.5000000000000022E-2</v>
      </c>
      <c r="I468" s="13">
        <f t="shared" si="77"/>
        <v>0.6</v>
      </c>
      <c r="J468" t="s">
        <v>226</v>
      </c>
      <c r="K468" t="s">
        <v>223</v>
      </c>
      <c r="L468">
        <v>7.5</v>
      </c>
      <c r="M468" s="5">
        <f t="shared" si="78"/>
        <v>12.5</v>
      </c>
      <c r="N468" t="s">
        <v>11</v>
      </c>
      <c r="O468" t="str">
        <f t="shared" si="79"/>
        <v>Meeting</v>
      </c>
    </row>
    <row r="469" spans="1:15" x14ac:dyDescent="0.3">
      <c r="A469" t="s">
        <v>235</v>
      </c>
      <c r="B469" s="2">
        <v>42449</v>
      </c>
      <c r="C469" s="7">
        <v>0.31736111111111115</v>
      </c>
      <c r="D469" t="s">
        <v>236</v>
      </c>
      <c r="E469" s="2">
        <v>42449</v>
      </c>
      <c r="F469" s="8">
        <v>0.32500000000000001</v>
      </c>
      <c r="G469" t="s">
        <v>7</v>
      </c>
      <c r="H469" s="7">
        <f t="shared" si="76"/>
        <v>7.6388888888888618E-3</v>
      </c>
      <c r="I469" s="13">
        <f t="shared" si="77"/>
        <v>0.18333333333333332</v>
      </c>
      <c r="J469" t="s">
        <v>21</v>
      </c>
      <c r="K469" t="s">
        <v>237</v>
      </c>
      <c r="L469">
        <v>5.9</v>
      </c>
      <c r="M469" s="5">
        <f t="shared" si="78"/>
        <v>32.181818181818187</v>
      </c>
      <c r="N469" t="s">
        <v>11</v>
      </c>
      <c r="O469" t="str">
        <f t="shared" si="79"/>
        <v>Meeting</v>
      </c>
    </row>
    <row r="470" spans="1:15" x14ac:dyDescent="0.3">
      <c r="A470" t="s">
        <v>238</v>
      </c>
      <c r="B470" s="2">
        <v>42449</v>
      </c>
      <c r="C470" s="7">
        <v>0.48749999999999999</v>
      </c>
      <c r="D470" t="s">
        <v>239</v>
      </c>
      <c r="E470" s="2">
        <v>42449</v>
      </c>
      <c r="F470" s="8">
        <v>0.49722222222222223</v>
      </c>
      <c r="G470" t="s">
        <v>7</v>
      </c>
      <c r="H470" s="7">
        <f t="shared" si="76"/>
        <v>9.7222222222222432E-3</v>
      </c>
      <c r="I470" s="13">
        <f t="shared" si="77"/>
        <v>0.23333333333333334</v>
      </c>
      <c r="J470" t="s">
        <v>237</v>
      </c>
      <c r="K470" t="s">
        <v>21</v>
      </c>
      <c r="L470">
        <v>6.2</v>
      </c>
      <c r="M470" s="5">
        <f t="shared" si="78"/>
        <v>26.571428571428573</v>
      </c>
      <c r="N470" t="s">
        <v>11</v>
      </c>
      <c r="O470" t="str">
        <f t="shared" si="79"/>
        <v>Meeting</v>
      </c>
    </row>
    <row r="471" spans="1:15" x14ac:dyDescent="0.3">
      <c r="A471" t="s">
        <v>276</v>
      </c>
      <c r="B471" s="2">
        <v>42454</v>
      </c>
      <c r="C471" s="7">
        <v>0.95416666666666661</v>
      </c>
      <c r="D471" t="s">
        <v>277</v>
      </c>
      <c r="E471" s="2">
        <v>42455</v>
      </c>
      <c r="F471" s="8">
        <v>6.8749999999999992E-2</v>
      </c>
      <c r="G471" t="s">
        <v>7</v>
      </c>
      <c r="H471" s="7">
        <f t="shared" si="76"/>
        <v>0.11458333333333337</v>
      </c>
      <c r="I471" s="13">
        <f t="shared" si="77"/>
        <v>2.75</v>
      </c>
      <c r="J471" t="s">
        <v>275</v>
      </c>
      <c r="K471" t="s">
        <v>278</v>
      </c>
      <c r="L471">
        <v>201</v>
      </c>
      <c r="M471" s="5">
        <f t="shared" si="78"/>
        <v>73.090909090909093</v>
      </c>
      <c r="N471" t="s">
        <v>11</v>
      </c>
      <c r="O471" t="str">
        <f t="shared" si="79"/>
        <v>Meeting</v>
      </c>
    </row>
    <row r="472" spans="1:15" x14ac:dyDescent="0.3">
      <c r="A472" s="1">
        <v>42373.571527777778</v>
      </c>
      <c r="B472" s="6">
        <f t="shared" ref="B472:B480" si="84">INT(A472:A511)</f>
        <v>42373</v>
      </c>
      <c r="C472" s="7">
        <f t="shared" ref="C472:C480" si="85">(A472-B472)</f>
        <v>0.57152777777810115</v>
      </c>
      <c r="D472" s="1">
        <v>42373.584027777775</v>
      </c>
      <c r="E472" s="6">
        <f t="shared" ref="E472:E480" si="86">INT(D472)</f>
        <v>42373</v>
      </c>
      <c r="F472" s="8">
        <f t="shared" ref="F472:F480" si="87">D472-E472</f>
        <v>0.58402777777519077</v>
      </c>
      <c r="G472" t="s">
        <v>7</v>
      </c>
      <c r="H472" s="7">
        <f t="shared" si="76"/>
        <v>1.2499999997089617E-2</v>
      </c>
      <c r="I472" s="13">
        <f t="shared" si="77"/>
        <v>0.3</v>
      </c>
      <c r="J472" t="s">
        <v>278</v>
      </c>
      <c r="K472" t="s">
        <v>278</v>
      </c>
      <c r="L472">
        <v>11</v>
      </c>
      <c r="M472" s="5">
        <f t="shared" si="78"/>
        <v>36.666666666666671</v>
      </c>
      <c r="N472" t="s">
        <v>11</v>
      </c>
      <c r="O472" t="str">
        <f t="shared" si="79"/>
        <v>Meeting</v>
      </c>
    </row>
    <row r="473" spans="1:15" x14ac:dyDescent="0.3">
      <c r="A473" s="1">
        <v>42373.667361111111</v>
      </c>
      <c r="B473" s="6">
        <f t="shared" si="84"/>
        <v>42373</v>
      </c>
      <c r="C473" s="7">
        <f t="shared" si="85"/>
        <v>0.66736111111094942</v>
      </c>
      <c r="D473" s="1">
        <v>42373.700694444444</v>
      </c>
      <c r="E473" s="6">
        <f t="shared" si="86"/>
        <v>42373</v>
      </c>
      <c r="F473" s="8">
        <f t="shared" si="87"/>
        <v>0.70069444444379769</v>
      </c>
      <c r="G473" t="s">
        <v>7</v>
      </c>
      <c r="H473" s="7">
        <f t="shared" si="76"/>
        <v>3.3333333332848269E-2</v>
      </c>
      <c r="I473" s="13">
        <f t="shared" si="77"/>
        <v>0.8</v>
      </c>
      <c r="J473" t="s">
        <v>285</v>
      </c>
      <c r="K473" t="s">
        <v>278</v>
      </c>
      <c r="L473">
        <v>20.3</v>
      </c>
      <c r="M473" s="5">
        <f t="shared" si="78"/>
        <v>25.375</v>
      </c>
      <c r="N473" t="s">
        <v>11</v>
      </c>
      <c r="O473" t="str">
        <f t="shared" si="79"/>
        <v>Meeting</v>
      </c>
    </row>
    <row r="474" spans="1:15" x14ac:dyDescent="0.3">
      <c r="A474" s="1">
        <v>42404.96597222222</v>
      </c>
      <c r="B474" s="6">
        <f t="shared" si="84"/>
        <v>42404</v>
      </c>
      <c r="C474" s="7">
        <f t="shared" si="85"/>
        <v>0.96597222222044365</v>
      </c>
      <c r="D474" s="1">
        <v>42433.06527777778</v>
      </c>
      <c r="E474" s="6">
        <f t="shared" si="86"/>
        <v>42433</v>
      </c>
      <c r="F474" s="8">
        <f t="shared" si="87"/>
        <v>6.5277777779556345E-2</v>
      </c>
      <c r="G474" t="s">
        <v>7</v>
      </c>
      <c r="H474" s="7">
        <f t="shared" si="76"/>
        <v>9.930555555911269E-2</v>
      </c>
      <c r="I474" s="13">
        <f t="shared" si="77"/>
        <v>2.3833333333333333</v>
      </c>
      <c r="J474" t="s">
        <v>323</v>
      </c>
      <c r="K474" t="s">
        <v>324</v>
      </c>
      <c r="L474">
        <v>144</v>
      </c>
      <c r="M474" s="5">
        <f t="shared" si="78"/>
        <v>60.41958041958042</v>
      </c>
      <c r="N474" t="s">
        <v>11</v>
      </c>
      <c r="O474" t="str">
        <f t="shared" si="79"/>
        <v>Meeting</v>
      </c>
    </row>
    <row r="475" spans="1:15" x14ac:dyDescent="0.3">
      <c r="A475" s="1">
        <v>42433.083333333336</v>
      </c>
      <c r="B475" s="6">
        <f t="shared" si="84"/>
        <v>42433</v>
      </c>
      <c r="C475" s="7">
        <f t="shared" si="85"/>
        <v>8.3333333335758653E-2</v>
      </c>
      <c r="D475" s="1">
        <v>42433.177777777775</v>
      </c>
      <c r="E475" s="6">
        <f t="shared" si="86"/>
        <v>42433</v>
      </c>
      <c r="F475" s="8">
        <f t="shared" si="87"/>
        <v>0.17777777777519077</v>
      </c>
      <c r="G475" t="s">
        <v>7</v>
      </c>
      <c r="H475" s="7">
        <f t="shared" si="76"/>
        <v>9.4444444439432118E-2</v>
      </c>
      <c r="I475" s="13">
        <f t="shared" si="77"/>
        <v>2.2666666666666666</v>
      </c>
      <c r="J475" t="s">
        <v>324</v>
      </c>
      <c r="K475" t="s">
        <v>15</v>
      </c>
      <c r="L475">
        <v>159.30000000000001</v>
      </c>
      <c r="M475" s="5">
        <f t="shared" si="78"/>
        <v>70.279411764705884</v>
      </c>
      <c r="N475" t="s">
        <v>11</v>
      </c>
      <c r="O475" t="str">
        <f t="shared" si="79"/>
        <v>Meeting</v>
      </c>
    </row>
    <row r="476" spans="1:15" x14ac:dyDescent="0.3">
      <c r="A476" s="1">
        <v>42586.520833333336</v>
      </c>
      <c r="B476" s="6">
        <f t="shared" si="84"/>
        <v>42586</v>
      </c>
      <c r="C476" s="7">
        <f t="shared" si="85"/>
        <v>0.52083333333575865</v>
      </c>
      <c r="D476" s="1">
        <v>42586.533333333333</v>
      </c>
      <c r="E476" s="6">
        <f t="shared" si="86"/>
        <v>42586</v>
      </c>
      <c r="F476" s="8">
        <f t="shared" si="87"/>
        <v>0.53333333333284827</v>
      </c>
      <c r="G476" t="s">
        <v>7</v>
      </c>
      <c r="H476" s="7">
        <f t="shared" si="76"/>
        <v>1.2499999997089617E-2</v>
      </c>
      <c r="I476" s="13">
        <f t="shared" si="77"/>
        <v>0.3</v>
      </c>
      <c r="J476" t="s">
        <v>15</v>
      </c>
      <c r="K476" t="s">
        <v>36</v>
      </c>
      <c r="L476">
        <v>10.5</v>
      </c>
      <c r="M476" s="5">
        <f t="shared" si="78"/>
        <v>35</v>
      </c>
      <c r="N476" t="s">
        <v>11</v>
      </c>
      <c r="O476" t="str">
        <f t="shared" si="79"/>
        <v>Meeting</v>
      </c>
    </row>
    <row r="477" spans="1:15" x14ac:dyDescent="0.3">
      <c r="A477" s="1">
        <v>42586.613194444442</v>
      </c>
      <c r="B477" s="6">
        <f t="shared" si="84"/>
        <v>42586</v>
      </c>
      <c r="C477" s="7">
        <f t="shared" si="85"/>
        <v>0.6131944444423425</v>
      </c>
      <c r="D477" s="1">
        <v>42586.638888888891</v>
      </c>
      <c r="E477" s="6">
        <f t="shared" si="86"/>
        <v>42586</v>
      </c>
      <c r="F477" s="8">
        <f t="shared" si="87"/>
        <v>0.63888888889050577</v>
      </c>
      <c r="G477" t="s">
        <v>7</v>
      </c>
      <c r="H477" s="7">
        <f t="shared" si="76"/>
        <v>2.5694444448163267E-2</v>
      </c>
      <c r="I477" s="13">
        <f t="shared" si="77"/>
        <v>0.6166666666666667</v>
      </c>
      <c r="J477" t="s">
        <v>15</v>
      </c>
      <c r="K477" t="s">
        <v>40</v>
      </c>
      <c r="L477">
        <v>19.100000000000001</v>
      </c>
      <c r="M477" s="5">
        <f t="shared" si="78"/>
        <v>30.972972972972975</v>
      </c>
      <c r="N477" t="s">
        <v>11</v>
      </c>
      <c r="O477" t="str">
        <f t="shared" si="79"/>
        <v>Meeting</v>
      </c>
    </row>
    <row r="478" spans="1:15" x14ac:dyDescent="0.3">
      <c r="A478" s="1">
        <v>42586.670138888891</v>
      </c>
      <c r="B478" s="6">
        <f t="shared" si="84"/>
        <v>42586</v>
      </c>
      <c r="C478" s="7">
        <f t="shared" si="85"/>
        <v>0.67013888889050577</v>
      </c>
      <c r="D478" s="1">
        <v>42586.699305555558</v>
      </c>
      <c r="E478" s="6">
        <f t="shared" si="86"/>
        <v>42586</v>
      </c>
      <c r="F478" s="8">
        <f t="shared" si="87"/>
        <v>0.6993055555576575</v>
      </c>
      <c r="G478" t="s">
        <v>7</v>
      </c>
      <c r="H478" s="7">
        <f t="shared" si="76"/>
        <v>2.9166666667151731E-2</v>
      </c>
      <c r="I478" s="13">
        <f t="shared" si="77"/>
        <v>0.7</v>
      </c>
      <c r="J478" t="s">
        <v>40</v>
      </c>
      <c r="K478" t="s">
        <v>15</v>
      </c>
      <c r="L478">
        <v>18.600000000000001</v>
      </c>
      <c r="M478" s="5">
        <f t="shared" si="78"/>
        <v>26.571428571428577</v>
      </c>
      <c r="N478" t="s">
        <v>11</v>
      </c>
      <c r="O478" t="str">
        <f t="shared" si="79"/>
        <v>Meeting</v>
      </c>
    </row>
    <row r="479" spans="1:15" x14ac:dyDescent="0.3">
      <c r="A479" s="1">
        <v>42708.398611111108</v>
      </c>
      <c r="B479" s="6">
        <f t="shared" si="84"/>
        <v>42708</v>
      </c>
      <c r="C479" s="7">
        <f t="shared" si="85"/>
        <v>0.39861111110803904</v>
      </c>
      <c r="D479" s="1">
        <v>42708.411805555559</v>
      </c>
      <c r="E479" s="6">
        <f t="shared" si="86"/>
        <v>42708</v>
      </c>
      <c r="F479" s="8">
        <f t="shared" si="87"/>
        <v>0.41180555555911269</v>
      </c>
      <c r="G479" t="s">
        <v>7</v>
      </c>
      <c r="H479" s="7">
        <f t="shared" si="76"/>
        <v>1.319444445107365E-2</v>
      </c>
      <c r="I479" s="13">
        <f t="shared" si="77"/>
        <v>0.31666666666666665</v>
      </c>
      <c r="J479" t="s">
        <v>15</v>
      </c>
      <c r="K479" t="s">
        <v>40</v>
      </c>
      <c r="L479">
        <v>8.9</v>
      </c>
      <c r="M479" s="5">
        <f t="shared" si="78"/>
        <v>28.10526315789474</v>
      </c>
      <c r="N479" t="s">
        <v>11</v>
      </c>
      <c r="O479" t="str">
        <f t="shared" si="79"/>
        <v>Meeting</v>
      </c>
    </row>
    <row r="480" spans="1:15" x14ac:dyDescent="0.3">
      <c r="A480" s="1">
        <v>42708.515277777777</v>
      </c>
      <c r="B480" s="6">
        <f t="shared" si="84"/>
        <v>42708</v>
      </c>
      <c r="C480" s="7">
        <f t="shared" si="85"/>
        <v>0.51527777777664596</v>
      </c>
      <c r="D480" s="1">
        <v>42708.530555555553</v>
      </c>
      <c r="E480" s="6">
        <f t="shared" si="86"/>
        <v>42708</v>
      </c>
      <c r="F480" s="8">
        <f t="shared" si="87"/>
        <v>0.53055555555329192</v>
      </c>
      <c r="G480" t="s">
        <v>7</v>
      </c>
      <c r="H480" s="7">
        <f t="shared" si="76"/>
        <v>1.5277777776645962E-2</v>
      </c>
      <c r="I480" s="13">
        <f t="shared" si="77"/>
        <v>0.36666666666666664</v>
      </c>
      <c r="J480" t="s">
        <v>40</v>
      </c>
      <c r="K480" t="s">
        <v>16</v>
      </c>
      <c r="L480">
        <v>15.9</v>
      </c>
      <c r="M480" s="5">
        <f t="shared" si="78"/>
        <v>43.363636363636367</v>
      </c>
      <c r="N480" t="s">
        <v>11</v>
      </c>
      <c r="O480" t="str">
        <f t="shared" si="79"/>
        <v>Meeting</v>
      </c>
    </row>
    <row r="481" spans="1:15" x14ac:dyDescent="0.3">
      <c r="A481" t="s">
        <v>337</v>
      </c>
      <c r="B481" s="2">
        <v>42475</v>
      </c>
      <c r="C481" s="7">
        <v>0.60486111111111118</v>
      </c>
      <c r="D481" t="s">
        <v>338</v>
      </c>
      <c r="E481" s="2">
        <v>42475</v>
      </c>
      <c r="F481" s="8">
        <v>0.62569444444444444</v>
      </c>
      <c r="G481" t="s">
        <v>7</v>
      </c>
      <c r="H481" s="7">
        <f t="shared" si="76"/>
        <v>2.0833333333333259E-2</v>
      </c>
      <c r="I481" s="13">
        <f t="shared" si="77"/>
        <v>0.5</v>
      </c>
      <c r="J481" t="s">
        <v>40</v>
      </c>
      <c r="K481" t="s">
        <v>15</v>
      </c>
      <c r="L481">
        <v>15.2</v>
      </c>
      <c r="M481" s="5">
        <f t="shared" si="78"/>
        <v>30.4</v>
      </c>
      <c r="N481" t="s">
        <v>11</v>
      </c>
      <c r="O481" t="str">
        <f t="shared" si="79"/>
        <v>Meeting</v>
      </c>
    </row>
    <row r="482" spans="1:15" x14ac:dyDescent="0.3">
      <c r="A482" t="s">
        <v>347</v>
      </c>
      <c r="B482" s="2">
        <v>42482</v>
      </c>
      <c r="C482" s="7">
        <v>0.35069444444444442</v>
      </c>
      <c r="D482" t="s">
        <v>348</v>
      </c>
      <c r="E482" s="2">
        <v>42482</v>
      </c>
      <c r="F482" s="8">
        <v>0.37777777777777777</v>
      </c>
      <c r="G482" t="s">
        <v>7</v>
      </c>
      <c r="H482" s="7">
        <f t="shared" si="76"/>
        <v>2.7083333333333348E-2</v>
      </c>
      <c r="I482" s="13">
        <f t="shared" si="77"/>
        <v>0.65</v>
      </c>
      <c r="J482" t="s">
        <v>15</v>
      </c>
      <c r="K482" t="s">
        <v>40</v>
      </c>
      <c r="L482">
        <v>13.6</v>
      </c>
      <c r="M482" s="5">
        <f t="shared" si="78"/>
        <v>20.923076923076923</v>
      </c>
      <c r="N482" t="s">
        <v>11</v>
      </c>
      <c r="O482" t="str">
        <f t="shared" si="79"/>
        <v>Meeting</v>
      </c>
    </row>
    <row r="483" spans="1:15" x14ac:dyDescent="0.3">
      <c r="A483" t="s">
        <v>349</v>
      </c>
      <c r="B483" s="2">
        <v>42482</v>
      </c>
      <c r="C483" s="7">
        <v>0.4236111111111111</v>
      </c>
      <c r="D483" t="s">
        <v>350</v>
      </c>
      <c r="E483" s="2">
        <v>42482</v>
      </c>
      <c r="F483" s="8">
        <v>0.44444444444444442</v>
      </c>
      <c r="G483" t="s">
        <v>7</v>
      </c>
      <c r="H483" s="7">
        <f t="shared" si="76"/>
        <v>2.0833333333333315E-2</v>
      </c>
      <c r="I483" s="13">
        <f t="shared" si="77"/>
        <v>0.5</v>
      </c>
      <c r="J483" t="s">
        <v>40</v>
      </c>
      <c r="K483" t="s">
        <v>15</v>
      </c>
      <c r="L483">
        <v>22.5</v>
      </c>
      <c r="M483" s="5">
        <f t="shared" si="78"/>
        <v>45</v>
      </c>
      <c r="N483" t="s">
        <v>11</v>
      </c>
      <c r="O483" t="str">
        <f t="shared" si="79"/>
        <v>Meeting</v>
      </c>
    </row>
    <row r="484" spans="1:15" x14ac:dyDescent="0.3">
      <c r="A484" t="s">
        <v>351</v>
      </c>
      <c r="B484" s="2">
        <v>42482</v>
      </c>
      <c r="C484" s="7">
        <v>0.50555555555555554</v>
      </c>
      <c r="D484" t="s">
        <v>352</v>
      </c>
      <c r="E484" s="2">
        <v>42482</v>
      </c>
      <c r="F484" s="8">
        <v>0.51944444444444449</v>
      </c>
      <c r="G484" t="s">
        <v>7</v>
      </c>
      <c r="H484" s="7">
        <f t="shared" si="76"/>
        <v>1.3888888888888951E-2</v>
      </c>
      <c r="I484" s="13">
        <f t="shared" si="77"/>
        <v>0.33333333333333331</v>
      </c>
      <c r="J484" t="s">
        <v>15</v>
      </c>
      <c r="K484" t="s">
        <v>36</v>
      </c>
      <c r="L484">
        <v>10.4</v>
      </c>
      <c r="M484" s="5">
        <f t="shared" si="78"/>
        <v>31.200000000000003</v>
      </c>
      <c r="N484" t="s">
        <v>11</v>
      </c>
      <c r="O484" t="str">
        <f t="shared" si="79"/>
        <v>Meeting</v>
      </c>
    </row>
    <row r="485" spans="1:15" x14ac:dyDescent="0.3">
      <c r="A485" t="s">
        <v>353</v>
      </c>
      <c r="B485" s="2">
        <v>42482</v>
      </c>
      <c r="C485" s="7">
        <v>0.54305555555555551</v>
      </c>
      <c r="D485" t="s">
        <v>354</v>
      </c>
      <c r="E485" s="2">
        <v>42482</v>
      </c>
      <c r="F485" s="8">
        <v>0.55972222222222223</v>
      </c>
      <c r="G485" t="s">
        <v>7</v>
      </c>
      <c r="H485" s="7">
        <f t="shared" si="76"/>
        <v>1.6666666666666718E-2</v>
      </c>
      <c r="I485" s="13">
        <f t="shared" si="77"/>
        <v>0.4</v>
      </c>
      <c r="J485" t="s">
        <v>36</v>
      </c>
      <c r="K485" t="s">
        <v>15</v>
      </c>
      <c r="L485">
        <v>10</v>
      </c>
      <c r="M485" s="5">
        <f t="shared" si="78"/>
        <v>25</v>
      </c>
      <c r="N485" t="s">
        <v>11</v>
      </c>
      <c r="O485" t="str">
        <f t="shared" si="79"/>
        <v>Meeting</v>
      </c>
    </row>
    <row r="486" spans="1:15" x14ac:dyDescent="0.3">
      <c r="A486" t="s">
        <v>377</v>
      </c>
      <c r="B486" s="2">
        <v>42489</v>
      </c>
      <c r="C486" s="7">
        <v>0.48888888888888887</v>
      </c>
      <c r="D486" t="s">
        <v>378</v>
      </c>
      <c r="E486" s="2">
        <v>42489</v>
      </c>
      <c r="F486" s="8">
        <v>0.50069444444444444</v>
      </c>
      <c r="G486" t="s">
        <v>7</v>
      </c>
      <c r="H486" s="7">
        <f t="shared" si="76"/>
        <v>1.1805555555555569E-2</v>
      </c>
      <c r="I486" s="13">
        <f t="shared" si="77"/>
        <v>0.28333333333333333</v>
      </c>
      <c r="J486" t="s">
        <v>15</v>
      </c>
      <c r="K486" t="s">
        <v>36</v>
      </c>
      <c r="L486">
        <v>9.9</v>
      </c>
      <c r="M486" s="5">
        <f t="shared" si="78"/>
        <v>34.941176470588239</v>
      </c>
      <c r="N486" t="s">
        <v>11</v>
      </c>
      <c r="O486" t="str">
        <f t="shared" si="79"/>
        <v>Meeting</v>
      </c>
    </row>
    <row r="487" spans="1:15" x14ac:dyDescent="0.3">
      <c r="A487" t="s">
        <v>379</v>
      </c>
      <c r="B487" s="2">
        <v>42489</v>
      </c>
      <c r="C487" s="7">
        <v>0.55069444444444449</v>
      </c>
      <c r="D487" t="s">
        <v>380</v>
      </c>
      <c r="E487" s="2">
        <v>42489</v>
      </c>
      <c r="F487" s="8">
        <v>0.56527777777777777</v>
      </c>
      <c r="G487" t="s">
        <v>7</v>
      </c>
      <c r="H487" s="7">
        <f t="shared" si="76"/>
        <v>1.4583333333333282E-2</v>
      </c>
      <c r="I487" s="13">
        <f t="shared" si="77"/>
        <v>0.35</v>
      </c>
      <c r="J487" t="s">
        <v>36</v>
      </c>
      <c r="K487" t="s">
        <v>15</v>
      </c>
      <c r="L487">
        <v>10</v>
      </c>
      <c r="M487" s="5">
        <f t="shared" si="78"/>
        <v>28.571428571428573</v>
      </c>
      <c r="N487" t="s">
        <v>11</v>
      </c>
      <c r="O487" t="str">
        <f t="shared" si="79"/>
        <v>Meeting</v>
      </c>
    </row>
    <row r="488" spans="1:15" x14ac:dyDescent="0.3">
      <c r="A488" t="s">
        <v>383</v>
      </c>
      <c r="B488" s="2">
        <v>42489</v>
      </c>
      <c r="C488" s="7">
        <v>0.9472222222222223</v>
      </c>
      <c r="D488" t="s">
        <v>384</v>
      </c>
      <c r="E488" s="2">
        <v>42489</v>
      </c>
      <c r="F488" s="8">
        <v>0.97152777777777777</v>
      </c>
      <c r="G488" t="s">
        <v>7</v>
      </c>
      <c r="H488" s="7">
        <f t="shared" si="76"/>
        <v>2.4305555555555469E-2</v>
      </c>
      <c r="I488" s="13">
        <f t="shared" si="77"/>
        <v>0.58333333333333337</v>
      </c>
      <c r="J488" t="s">
        <v>36</v>
      </c>
      <c r="K488" t="s">
        <v>15</v>
      </c>
      <c r="L488">
        <v>18.2</v>
      </c>
      <c r="M488" s="5">
        <f t="shared" si="78"/>
        <v>31.199999999999996</v>
      </c>
      <c r="N488" t="s">
        <v>11</v>
      </c>
      <c r="O488" t="str">
        <f t="shared" si="79"/>
        <v>Meeting</v>
      </c>
    </row>
    <row r="489" spans="1:15" x14ac:dyDescent="0.3">
      <c r="A489" s="1">
        <v>42374.745833333334</v>
      </c>
      <c r="B489" s="6">
        <f t="shared" ref="B489:B494" si="88">INT(A489:A528)</f>
        <v>42374</v>
      </c>
      <c r="C489" s="7">
        <f t="shared" ref="C489:C494" si="89">(A489-B489)</f>
        <v>0.74583333333430346</v>
      </c>
      <c r="D489" s="1">
        <v>42374.756944444445</v>
      </c>
      <c r="E489" s="6">
        <f t="shared" ref="E489:E494" si="90">INT(D489)</f>
        <v>42374</v>
      </c>
      <c r="F489" s="8">
        <f t="shared" ref="F489:F494" si="91">D489-E489</f>
        <v>0.75694444444525288</v>
      </c>
      <c r="G489" t="s">
        <v>7</v>
      </c>
      <c r="H489" s="7">
        <f t="shared" si="76"/>
        <v>1.1111111110949423E-2</v>
      </c>
      <c r="I489" s="13">
        <f t="shared" si="77"/>
        <v>0.26666666666666666</v>
      </c>
      <c r="J489" t="s">
        <v>56</v>
      </c>
      <c r="K489" t="s">
        <v>389</v>
      </c>
      <c r="L489">
        <v>7.5</v>
      </c>
      <c r="M489" s="5">
        <f t="shared" si="78"/>
        <v>28.125</v>
      </c>
      <c r="N489" t="s">
        <v>11</v>
      </c>
      <c r="O489" t="str">
        <f t="shared" si="79"/>
        <v>Meeting</v>
      </c>
    </row>
    <row r="490" spans="1:15" x14ac:dyDescent="0.3">
      <c r="A490" s="1">
        <v>42495.996527777781</v>
      </c>
      <c r="B490" s="9">
        <f t="shared" si="88"/>
        <v>42495</v>
      </c>
      <c r="C490" s="17">
        <f t="shared" si="89"/>
        <v>0.99652777778101154</v>
      </c>
      <c r="D490" s="1">
        <v>42526.005555555559</v>
      </c>
      <c r="E490" s="9">
        <f t="shared" si="90"/>
        <v>42526</v>
      </c>
      <c r="F490" s="10">
        <f t="shared" si="91"/>
        <v>5.5555555591126904E-3</v>
      </c>
      <c r="G490" t="s">
        <v>7</v>
      </c>
      <c r="H490" s="7">
        <f t="shared" si="76"/>
        <v>9.0277777781011537E-3</v>
      </c>
      <c r="I490" s="13">
        <f t="shared" si="77"/>
        <v>0.21666666666666667</v>
      </c>
      <c r="J490" t="s">
        <v>395</v>
      </c>
      <c r="K490" t="s">
        <v>393</v>
      </c>
      <c r="L490">
        <v>12.9</v>
      </c>
      <c r="M490" s="5">
        <f t="shared" si="78"/>
        <v>59.53846153846154</v>
      </c>
      <c r="N490" t="s">
        <v>11</v>
      </c>
      <c r="O490" t="str">
        <f t="shared" si="79"/>
        <v>Meeting</v>
      </c>
    </row>
    <row r="491" spans="1:15" x14ac:dyDescent="0.3">
      <c r="A491" s="1">
        <v>42526.240972222222</v>
      </c>
      <c r="B491" s="6">
        <f t="shared" si="88"/>
        <v>42526</v>
      </c>
      <c r="C491" s="7">
        <f t="shared" si="89"/>
        <v>0.24097222222189885</v>
      </c>
      <c r="D491" s="1">
        <v>42526.251388888886</v>
      </c>
      <c r="E491" s="6">
        <f t="shared" si="90"/>
        <v>42526</v>
      </c>
      <c r="F491" s="8">
        <f t="shared" si="91"/>
        <v>0.25138888888614019</v>
      </c>
      <c r="G491" t="s">
        <v>7</v>
      </c>
      <c r="H491" s="7">
        <f t="shared" si="76"/>
        <v>1.0416666664241347E-2</v>
      </c>
      <c r="I491" s="13">
        <f t="shared" si="77"/>
        <v>0.25</v>
      </c>
      <c r="J491" t="s">
        <v>391</v>
      </c>
      <c r="K491" t="s">
        <v>390</v>
      </c>
      <c r="L491">
        <v>14.4</v>
      </c>
      <c r="M491" s="5">
        <f t="shared" si="78"/>
        <v>57.6</v>
      </c>
      <c r="N491" t="s">
        <v>11</v>
      </c>
      <c r="O491" t="str">
        <f t="shared" si="79"/>
        <v>Meeting</v>
      </c>
    </row>
    <row r="492" spans="1:15" x14ac:dyDescent="0.3">
      <c r="A492" s="1">
        <v>42526.697916666664</v>
      </c>
      <c r="B492" s="6">
        <f t="shared" si="88"/>
        <v>42526</v>
      </c>
      <c r="C492" s="7">
        <f t="shared" si="89"/>
        <v>0.69791666666424135</v>
      </c>
      <c r="D492" s="1">
        <v>42526.707638888889</v>
      </c>
      <c r="E492" s="6">
        <f t="shared" si="90"/>
        <v>42526</v>
      </c>
      <c r="F492" s="8">
        <f t="shared" si="91"/>
        <v>0.70763888888905058</v>
      </c>
      <c r="G492" t="s">
        <v>7</v>
      </c>
      <c r="H492" s="7">
        <f t="shared" si="76"/>
        <v>9.7222222248092294E-3</v>
      </c>
      <c r="I492" s="13">
        <f t="shared" si="77"/>
        <v>0.23333333333333334</v>
      </c>
      <c r="J492" t="s">
        <v>49</v>
      </c>
      <c r="K492" t="s">
        <v>16</v>
      </c>
      <c r="L492">
        <v>17</v>
      </c>
      <c r="M492" s="5">
        <f t="shared" si="78"/>
        <v>72.857142857142861</v>
      </c>
      <c r="N492" t="s">
        <v>11</v>
      </c>
      <c r="O492" t="str">
        <f t="shared" si="79"/>
        <v>Meeting</v>
      </c>
    </row>
    <row r="493" spans="1:15" x14ac:dyDescent="0.3">
      <c r="A493" s="1">
        <v>42679.357638888891</v>
      </c>
      <c r="B493" s="6">
        <f t="shared" si="88"/>
        <v>42679</v>
      </c>
      <c r="C493" s="7">
        <f t="shared" si="89"/>
        <v>0.35763888889050577</v>
      </c>
      <c r="D493" s="1">
        <v>42679.383333333331</v>
      </c>
      <c r="E493" s="6">
        <f t="shared" si="90"/>
        <v>42679</v>
      </c>
      <c r="F493" s="8">
        <f t="shared" si="91"/>
        <v>0.38333333333139308</v>
      </c>
      <c r="G493" t="s">
        <v>7</v>
      </c>
      <c r="H493" s="7">
        <f t="shared" si="76"/>
        <v>2.569444444088731E-2</v>
      </c>
      <c r="I493" s="13">
        <f t="shared" si="77"/>
        <v>0.6166666666666667</v>
      </c>
      <c r="J493" t="s">
        <v>399</v>
      </c>
      <c r="K493" t="s">
        <v>396</v>
      </c>
      <c r="L493">
        <v>25.6</v>
      </c>
      <c r="M493" s="5">
        <f t="shared" si="78"/>
        <v>41.513513513513516</v>
      </c>
      <c r="N493" t="s">
        <v>11</v>
      </c>
      <c r="O493" t="str">
        <f t="shared" si="79"/>
        <v>Meeting</v>
      </c>
    </row>
    <row r="494" spans="1:15" x14ac:dyDescent="0.3">
      <c r="A494" s="1">
        <v>42679.907638888886</v>
      </c>
      <c r="B494" s="6">
        <f t="shared" si="88"/>
        <v>42679</v>
      </c>
      <c r="C494" s="7">
        <f t="shared" si="89"/>
        <v>0.90763888888614019</v>
      </c>
      <c r="D494" s="1">
        <v>42679.919444444444</v>
      </c>
      <c r="E494" s="6">
        <f t="shared" si="90"/>
        <v>42679</v>
      </c>
      <c r="F494" s="8">
        <f t="shared" si="91"/>
        <v>0.91944444444379769</v>
      </c>
      <c r="G494" t="s">
        <v>7</v>
      </c>
      <c r="H494" s="7">
        <f t="shared" si="76"/>
        <v>1.1805555557657499E-2</v>
      </c>
      <c r="I494" s="13">
        <f t="shared" si="77"/>
        <v>0.28333333333333333</v>
      </c>
      <c r="J494" t="s">
        <v>16</v>
      </c>
      <c r="K494" t="s">
        <v>15</v>
      </c>
      <c r="L494">
        <v>8.1</v>
      </c>
      <c r="M494" s="5">
        <f t="shared" si="78"/>
        <v>28.588235294117645</v>
      </c>
      <c r="N494" t="s">
        <v>11</v>
      </c>
      <c r="O494" t="str">
        <f t="shared" si="79"/>
        <v>Meeting</v>
      </c>
    </row>
    <row r="495" spans="1:15" x14ac:dyDescent="0.3">
      <c r="A495" t="s">
        <v>419</v>
      </c>
      <c r="B495" s="2">
        <v>42510</v>
      </c>
      <c r="C495" s="7">
        <v>0.45555555555555555</v>
      </c>
      <c r="D495" t="s">
        <v>420</v>
      </c>
      <c r="E495" s="2">
        <v>42510</v>
      </c>
      <c r="F495" s="8">
        <v>0.46319444444444446</v>
      </c>
      <c r="G495" t="s">
        <v>7</v>
      </c>
      <c r="H495" s="7">
        <f t="shared" si="76"/>
        <v>7.6388888888889173E-3</v>
      </c>
      <c r="I495" s="13">
        <f t="shared" si="77"/>
        <v>0.18333333333333332</v>
      </c>
      <c r="J495" t="s">
        <v>417</v>
      </c>
      <c r="K495" t="s">
        <v>421</v>
      </c>
      <c r="L495">
        <v>11.2</v>
      </c>
      <c r="M495" s="5">
        <f t="shared" si="78"/>
        <v>61.090909090909093</v>
      </c>
      <c r="N495" t="s">
        <v>11</v>
      </c>
      <c r="O495" t="str">
        <f t="shared" si="79"/>
        <v>Meeting</v>
      </c>
    </row>
    <row r="496" spans="1:15" x14ac:dyDescent="0.3">
      <c r="A496" t="s">
        <v>447</v>
      </c>
      <c r="B496" s="2">
        <v>42521</v>
      </c>
      <c r="C496" s="7">
        <v>0.57916666666666672</v>
      </c>
      <c r="D496" t="s">
        <v>448</v>
      </c>
      <c r="E496" s="2">
        <v>42521</v>
      </c>
      <c r="F496" s="8">
        <v>0.6118055555555556</v>
      </c>
      <c r="G496" t="s">
        <v>7</v>
      </c>
      <c r="H496" s="7">
        <f t="shared" si="76"/>
        <v>3.2638888888888884E-2</v>
      </c>
      <c r="I496" s="13">
        <f t="shared" si="77"/>
        <v>0.78333333333333333</v>
      </c>
      <c r="J496" t="s">
        <v>15</v>
      </c>
      <c r="K496" t="s">
        <v>40</v>
      </c>
      <c r="L496">
        <v>14.9</v>
      </c>
      <c r="M496" s="5">
        <f t="shared" si="78"/>
        <v>19.021276595744681</v>
      </c>
      <c r="N496" t="s">
        <v>11</v>
      </c>
      <c r="O496" t="str">
        <f t="shared" si="79"/>
        <v>Meeting</v>
      </c>
    </row>
    <row r="497" spans="1:15" x14ac:dyDescent="0.3">
      <c r="A497" t="s">
        <v>449</v>
      </c>
      <c r="B497" s="2">
        <v>42521</v>
      </c>
      <c r="C497" s="7">
        <v>0.66805555555555562</v>
      </c>
      <c r="D497" t="s">
        <v>450</v>
      </c>
      <c r="E497" s="2">
        <v>42521</v>
      </c>
      <c r="F497" s="8">
        <v>0.69374999999999998</v>
      </c>
      <c r="G497" t="s">
        <v>7</v>
      </c>
      <c r="H497" s="7">
        <f t="shared" si="76"/>
        <v>2.5694444444444353E-2</v>
      </c>
      <c r="I497" s="13">
        <f t="shared" si="77"/>
        <v>0.6166666666666667</v>
      </c>
      <c r="J497" t="s">
        <v>40</v>
      </c>
      <c r="K497" t="s">
        <v>15</v>
      </c>
      <c r="L497">
        <v>14</v>
      </c>
      <c r="M497" s="5">
        <f t="shared" si="78"/>
        <v>22.702702702702702</v>
      </c>
      <c r="N497" t="s">
        <v>11</v>
      </c>
      <c r="O497" t="str">
        <f t="shared" si="79"/>
        <v>Meeting</v>
      </c>
    </row>
    <row r="498" spans="1:15" x14ac:dyDescent="0.3">
      <c r="A498" s="1">
        <v>42375.548611111109</v>
      </c>
      <c r="B498" s="6">
        <f t="shared" ref="B498:B511" si="92">INT(A498:A537)</f>
        <v>42375</v>
      </c>
      <c r="C498" s="7">
        <f t="shared" ref="C498:C511" si="93">(A498-B498)</f>
        <v>0.54861111110949423</v>
      </c>
      <c r="D498" s="1">
        <v>42375.568749999999</v>
      </c>
      <c r="E498" s="6">
        <f t="shared" ref="E498:E511" si="94">INT(D498)</f>
        <v>42375</v>
      </c>
      <c r="F498" s="8">
        <f t="shared" ref="F498:F511" si="95">D498-E498</f>
        <v>0.56874999999854481</v>
      </c>
      <c r="G498" t="s">
        <v>7</v>
      </c>
      <c r="H498" s="7">
        <f t="shared" si="76"/>
        <v>2.0138888889050577E-2</v>
      </c>
      <c r="I498" s="13">
        <f t="shared" si="77"/>
        <v>0.48333333333333334</v>
      </c>
      <c r="J498" t="s">
        <v>16</v>
      </c>
      <c r="K498" t="s">
        <v>15</v>
      </c>
      <c r="L498">
        <v>9.6</v>
      </c>
      <c r="M498" s="5">
        <f t="shared" si="78"/>
        <v>19.862068965517242</v>
      </c>
      <c r="N498" t="s">
        <v>11</v>
      </c>
      <c r="O498" t="str">
        <f t="shared" si="79"/>
        <v>Meeting</v>
      </c>
    </row>
    <row r="499" spans="1:15" x14ac:dyDescent="0.3">
      <c r="A499" s="1">
        <v>42435.478472222225</v>
      </c>
      <c r="B499" s="6">
        <f t="shared" si="92"/>
        <v>42435</v>
      </c>
      <c r="C499" s="7">
        <f t="shared" si="93"/>
        <v>0.47847222222480923</v>
      </c>
      <c r="D499" s="1">
        <v>42435.492361111108</v>
      </c>
      <c r="E499" s="6">
        <f t="shared" si="94"/>
        <v>42435</v>
      </c>
      <c r="F499" s="8">
        <f t="shared" si="95"/>
        <v>0.49236111110803904</v>
      </c>
      <c r="G499" t="s">
        <v>7</v>
      </c>
      <c r="H499" s="7">
        <f t="shared" si="76"/>
        <v>1.3888888883229811E-2</v>
      </c>
      <c r="I499" s="13">
        <f t="shared" si="77"/>
        <v>0.33333333333333331</v>
      </c>
      <c r="J499" t="s">
        <v>15</v>
      </c>
      <c r="K499" t="s">
        <v>36</v>
      </c>
      <c r="L499">
        <v>10.4</v>
      </c>
      <c r="M499" s="5">
        <f t="shared" si="78"/>
        <v>31.200000000000003</v>
      </c>
      <c r="N499" t="s">
        <v>11</v>
      </c>
      <c r="O499" t="str">
        <f t="shared" si="79"/>
        <v>Meeting</v>
      </c>
    </row>
    <row r="500" spans="1:15" x14ac:dyDescent="0.3">
      <c r="A500" s="1">
        <v>42435.547222222223</v>
      </c>
      <c r="B500" s="6">
        <f t="shared" si="92"/>
        <v>42435</v>
      </c>
      <c r="C500" s="7">
        <f t="shared" si="93"/>
        <v>0.54722222222335404</v>
      </c>
      <c r="D500" s="1">
        <v>42435.568055555559</v>
      </c>
      <c r="E500" s="6">
        <f t="shared" si="94"/>
        <v>42435</v>
      </c>
      <c r="F500" s="8">
        <f t="shared" si="95"/>
        <v>0.56805555555911269</v>
      </c>
      <c r="G500" t="s">
        <v>7</v>
      </c>
      <c r="H500" s="7">
        <f t="shared" si="76"/>
        <v>2.0833333335758653E-2</v>
      </c>
      <c r="I500" s="13">
        <f t="shared" si="77"/>
        <v>0.5</v>
      </c>
      <c r="J500" t="s">
        <v>36</v>
      </c>
      <c r="K500" t="s">
        <v>15</v>
      </c>
      <c r="L500">
        <v>9.9</v>
      </c>
      <c r="M500" s="5">
        <f t="shared" si="78"/>
        <v>19.8</v>
      </c>
      <c r="N500" t="s">
        <v>11</v>
      </c>
      <c r="O500" t="str">
        <f t="shared" si="79"/>
        <v>Meeting</v>
      </c>
    </row>
    <row r="501" spans="1:15" x14ac:dyDescent="0.3">
      <c r="A501" s="1">
        <v>42496.911805555559</v>
      </c>
      <c r="B501" s="6">
        <f t="shared" si="92"/>
        <v>42496</v>
      </c>
      <c r="C501" s="7">
        <f t="shared" si="93"/>
        <v>0.91180555555911269</v>
      </c>
      <c r="D501" s="1">
        <v>42496.920138888891</v>
      </c>
      <c r="E501" s="6">
        <f t="shared" si="94"/>
        <v>42496</v>
      </c>
      <c r="F501" s="8">
        <f t="shared" si="95"/>
        <v>0.92013888889050577</v>
      </c>
      <c r="G501" t="s">
        <v>7</v>
      </c>
      <c r="H501" s="7">
        <f t="shared" si="76"/>
        <v>8.333333331393078E-3</v>
      </c>
      <c r="I501" s="13">
        <f t="shared" si="77"/>
        <v>0.2</v>
      </c>
      <c r="J501" t="s">
        <v>15</v>
      </c>
      <c r="K501" t="s">
        <v>36</v>
      </c>
      <c r="L501">
        <v>9.9</v>
      </c>
      <c r="M501" s="5">
        <f t="shared" si="78"/>
        <v>49.5</v>
      </c>
      <c r="N501" t="s">
        <v>11</v>
      </c>
      <c r="O501" t="str">
        <f t="shared" si="79"/>
        <v>Meeting</v>
      </c>
    </row>
    <row r="502" spans="1:15" x14ac:dyDescent="0.3">
      <c r="A502" s="1">
        <v>42496.994444444441</v>
      </c>
      <c r="B502" s="6">
        <f t="shared" si="92"/>
        <v>42496</v>
      </c>
      <c r="C502" s="7">
        <f t="shared" si="93"/>
        <v>0.99444444444088731</v>
      </c>
      <c r="D502" s="1">
        <v>42527.005555555559</v>
      </c>
      <c r="E502" s="6">
        <f t="shared" si="94"/>
        <v>42527</v>
      </c>
      <c r="F502" s="8">
        <f t="shared" si="95"/>
        <v>5.5555555591126904E-3</v>
      </c>
      <c r="G502" t="s">
        <v>7</v>
      </c>
      <c r="H502" s="7">
        <f t="shared" si="76"/>
        <v>1.1111111118225381E-2</v>
      </c>
      <c r="I502" s="13">
        <f t="shared" si="77"/>
        <v>0.26666666666666666</v>
      </c>
      <c r="J502" t="s">
        <v>36</v>
      </c>
      <c r="K502" t="s">
        <v>15</v>
      </c>
      <c r="L502">
        <v>9.9</v>
      </c>
      <c r="M502" s="5">
        <f t="shared" si="78"/>
        <v>37.125</v>
      </c>
      <c r="N502" t="s">
        <v>11</v>
      </c>
      <c r="O502" t="str">
        <f t="shared" si="79"/>
        <v>Meeting</v>
      </c>
    </row>
    <row r="503" spans="1:15" x14ac:dyDescent="0.3">
      <c r="A503" s="1">
        <v>42527.90347222222</v>
      </c>
      <c r="B503" s="6">
        <f t="shared" si="92"/>
        <v>42527</v>
      </c>
      <c r="C503" s="7">
        <f t="shared" si="93"/>
        <v>0.90347222222044365</v>
      </c>
      <c r="D503" s="1">
        <v>42527.916666666664</v>
      </c>
      <c r="E503" s="6">
        <f t="shared" si="94"/>
        <v>42527</v>
      </c>
      <c r="F503" s="8">
        <f t="shared" si="95"/>
        <v>0.91666666666424135</v>
      </c>
      <c r="G503" t="s">
        <v>7</v>
      </c>
      <c r="H503" s="7">
        <f t="shared" si="76"/>
        <v>1.3194444443797693E-2</v>
      </c>
      <c r="I503" s="13">
        <f t="shared" si="77"/>
        <v>0.31666666666666665</v>
      </c>
      <c r="J503" t="s">
        <v>15</v>
      </c>
      <c r="K503" t="s">
        <v>36</v>
      </c>
      <c r="L503">
        <v>10.4</v>
      </c>
      <c r="M503" s="5">
        <f t="shared" si="78"/>
        <v>32.842105263157897</v>
      </c>
      <c r="N503" t="s">
        <v>11</v>
      </c>
      <c r="O503" t="str">
        <f t="shared" si="79"/>
        <v>Meeting</v>
      </c>
    </row>
    <row r="504" spans="1:15" x14ac:dyDescent="0.3">
      <c r="A504" s="1">
        <v>42527.981944444444</v>
      </c>
      <c r="B504" s="6">
        <f t="shared" si="92"/>
        <v>42527</v>
      </c>
      <c r="C504" s="7">
        <f t="shared" si="93"/>
        <v>0.98194444444379769</v>
      </c>
      <c r="D504" s="1">
        <v>42527.991666666669</v>
      </c>
      <c r="E504" s="6">
        <f t="shared" si="94"/>
        <v>42527</v>
      </c>
      <c r="F504" s="8">
        <f t="shared" si="95"/>
        <v>0.99166666666860692</v>
      </c>
      <c r="G504" t="s">
        <v>7</v>
      </c>
      <c r="H504" s="7">
        <f t="shared" si="76"/>
        <v>9.7222222248092294E-3</v>
      </c>
      <c r="I504" s="13">
        <f t="shared" si="77"/>
        <v>0.23333333333333334</v>
      </c>
      <c r="J504" t="s">
        <v>36</v>
      </c>
      <c r="K504" t="s">
        <v>15</v>
      </c>
      <c r="L504">
        <v>9.9</v>
      </c>
      <c r="M504" s="5">
        <f t="shared" si="78"/>
        <v>42.428571428571431</v>
      </c>
      <c r="N504" t="s">
        <v>11</v>
      </c>
      <c r="O504" t="str">
        <f t="shared" si="79"/>
        <v>Meeting</v>
      </c>
    </row>
    <row r="505" spans="1:15" x14ac:dyDescent="0.3">
      <c r="A505" s="1">
        <v>42557.904166666667</v>
      </c>
      <c r="B505" s="6">
        <f t="shared" si="92"/>
        <v>42557</v>
      </c>
      <c r="C505" s="7">
        <f t="shared" si="93"/>
        <v>0.90416666666715173</v>
      </c>
      <c r="D505" s="1">
        <v>42557.916666666664</v>
      </c>
      <c r="E505" s="6">
        <f t="shared" si="94"/>
        <v>42557</v>
      </c>
      <c r="F505" s="8">
        <f t="shared" si="95"/>
        <v>0.91666666666424135</v>
      </c>
      <c r="G505" t="s">
        <v>7</v>
      </c>
      <c r="H505" s="7">
        <f t="shared" si="76"/>
        <v>1.2499999997089617E-2</v>
      </c>
      <c r="I505" s="13">
        <f t="shared" si="77"/>
        <v>0.3</v>
      </c>
      <c r="J505" t="s">
        <v>15</v>
      </c>
      <c r="K505" t="s">
        <v>36</v>
      </c>
      <c r="L505">
        <v>10.4</v>
      </c>
      <c r="M505" s="5">
        <f t="shared" si="78"/>
        <v>34.666666666666671</v>
      </c>
      <c r="N505" t="s">
        <v>11</v>
      </c>
      <c r="O505" t="str">
        <f t="shared" si="79"/>
        <v>Meeting</v>
      </c>
    </row>
    <row r="506" spans="1:15" x14ac:dyDescent="0.3">
      <c r="A506" s="1">
        <v>42557.986805555556</v>
      </c>
      <c r="B506" s="6">
        <f t="shared" si="92"/>
        <v>42557</v>
      </c>
      <c r="C506" s="7">
        <f t="shared" si="93"/>
        <v>0.98680555555620231</v>
      </c>
      <c r="D506" s="1">
        <v>42588.00277777778</v>
      </c>
      <c r="E506" s="6">
        <f t="shared" si="94"/>
        <v>42588</v>
      </c>
      <c r="F506" s="8">
        <f t="shared" si="95"/>
        <v>2.7777777795563452E-3</v>
      </c>
      <c r="G506" t="s">
        <v>7</v>
      </c>
      <c r="H506" s="7">
        <f t="shared" si="76"/>
        <v>1.5972222223354038E-2</v>
      </c>
      <c r="I506" s="13">
        <f t="shared" si="77"/>
        <v>0.38333333333333336</v>
      </c>
      <c r="J506" t="s">
        <v>36</v>
      </c>
      <c r="K506" t="s">
        <v>15</v>
      </c>
      <c r="L506">
        <v>9.9</v>
      </c>
      <c r="M506" s="5">
        <f t="shared" si="78"/>
        <v>25.826086956521738</v>
      </c>
      <c r="N506" t="s">
        <v>11</v>
      </c>
      <c r="O506" t="str">
        <f t="shared" si="79"/>
        <v>Meeting</v>
      </c>
    </row>
    <row r="507" spans="1:15" x14ac:dyDescent="0.3">
      <c r="A507" s="1">
        <v>42649.638194444444</v>
      </c>
      <c r="B507" s="6">
        <f t="shared" si="92"/>
        <v>42649</v>
      </c>
      <c r="C507" s="7">
        <f t="shared" si="93"/>
        <v>0.63819444444379769</v>
      </c>
      <c r="D507" s="1">
        <v>42649.686111111114</v>
      </c>
      <c r="E507" s="6">
        <f t="shared" si="94"/>
        <v>42649</v>
      </c>
      <c r="F507" s="8">
        <f t="shared" si="95"/>
        <v>0.68611111111385981</v>
      </c>
      <c r="G507" t="s">
        <v>7</v>
      </c>
      <c r="H507" s="7">
        <f t="shared" si="76"/>
        <v>4.7916666670062114E-2</v>
      </c>
      <c r="I507" s="13">
        <f t="shared" si="77"/>
        <v>1.1499999999999999</v>
      </c>
      <c r="J507" t="s">
        <v>18</v>
      </c>
      <c r="K507" t="s">
        <v>17</v>
      </c>
      <c r="L507">
        <v>16.3</v>
      </c>
      <c r="M507" s="5">
        <f t="shared" si="78"/>
        <v>14.173913043478263</v>
      </c>
      <c r="N507" t="s">
        <v>11</v>
      </c>
      <c r="O507" t="str">
        <f t="shared" si="79"/>
        <v>Meeting</v>
      </c>
    </row>
    <row r="508" spans="1:15" x14ac:dyDescent="0.3">
      <c r="A508" s="1">
        <v>42649.907638888886</v>
      </c>
      <c r="B508" s="6">
        <f t="shared" si="92"/>
        <v>42649</v>
      </c>
      <c r="C508" s="7">
        <f t="shared" si="93"/>
        <v>0.90763888888614019</v>
      </c>
      <c r="D508" s="1">
        <v>42649.919444444444</v>
      </c>
      <c r="E508" s="6">
        <f t="shared" si="94"/>
        <v>42649</v>
      </c>
      <c r="F508" s="8">
        <f t="shared" si="95"/>
        <v>0.91944444444379769</v>
      </c>
      <c r="G508" t="s">
        <v>7</v>
      </c>
      <c r="H508" s="7">
        <f t="shared" si="76"/>
        <v>1.1805555557657499E-2</v>
      </c>
      <c r="I508" s="13">
        <f t="shared" si="77"/>
        <v>0.28333333333333333</v>
      </c>
      <c r="J508" t="s">
        <v>15</v>
      </c>
      <c r="K508" t="s">
        <v>36</v>
      </c>
      <c r="L508">
        <v>10.4</v>
      </c>
      <c r="M508" s="5">
        <f t="shared" si="78"/>
        <v>36.705882352941181</v>
      </c>
      <c r="N508" t="s">
        <v>11</v>
      </c>
      <c r="O508" t="str">
        <f t="shared" si="79"/>
        <v>Meeting</v>
      </c>
    </row>
    <row r="509" spans="1:15" x14ac:dyDescent="0.3">
      <c r="A509" s="1">
        <v>42649.995138888888</v>
      </c>
      <c r="B509" s="6">
        <f t="shared" si="92"/>
        <v>42649</v>
      </c>
      <c r="C509" s="7">
        <f t="shared" si="93"/>
        <v>0.99513888888759539</v>
      </c>
      <c r="D509" s="1">
        <v>42680.000694444447</v>
      </c>
      <c r="E509" s="6">
        <f t="shared" si="94"/>
        <v>42680</v>
      </c>
      <c r="F509" s="8">
        <f t="shared" si="95"/>
        <v>6.944444467080757E-4</v>
      </c>
      <c r="G509" t="s">
        <v>7</v>
      </c>
      <c r="H509" s="7">
        <f t="shared" si="76"/>
        <v>5.5555555591126904E-3</v>
      </c>
      <c r="I509" s="13">
        <f t="shared" si="77"/>
        <v>0.13333333333333333</v>
      </c>
      <c r="J509" t="s">
        <v>36</v>
      </c>
      <c r="K509" t="s">
        <v>15</v>
      </c>
      <c r="L509">
        <v>9.9</v>
      </c>
      <c r="M509" s="5">
        <f t="shared" si="78"/>
        <v>74.25</v>
      </c>
      <c r="N509" t="s">
        <v>11</v>
      </c>
      <c r="O509" t="str">
        <f t="shared" si="79"/>
        <v>Meeting</v>
      </c>
    </row>
    <row r="510" spans="1:15" x14ac:dyDescent="0.3">
      <c r="A510" s="1">
        <v>42680.90625</v>
      </c>
      <c r="B510" s="6">
        <f t="shared" si="92"/>
        <v>42680</v>
      </c>
      <c r="C510" s="7">
        <f t="shared" si="93"/>
        <v>0.90625</v>
      </c>
      <c r="D510" s="1">
        <v>42680.919444444444</v>
      </c>
      <c r="E510" s="6">
        <f t="shared" si="94"/>
        <v>42680</v>
      </c>
      <c r="F510" s="8">
        <f t="shared" si="95"/>
        <v>0.91944444444379769</v>
      </c>
      <c r="G510" t="s">
        <v>7</v>
      </c>
      <c r="H510" s="7">
        <f t="shared" si="76"/>
        <v>1.3194444443797693E-2</v>
      </c>
      <c r="I510" s="13">
        <f t="shared" si="77"/>
        <v>0.31666666666666665</v>
      </c>
      <c r="J510" t="s">
        <v>15</v>
      </c>
      <c r="K510" t="s">
        <v>36</v>
      </c>
      <c r="L510">
        <v>10.4</v>
      </c>
      <c r="M510" s="5">
        <f t="shared" si="78"/>
        <v>32.842105263157897</v>
      </c>
      <c r="N510" t="s">
        <v>11</v>
      </c>
      <c r="O510" t="str">
        <f t="shared" si="79"/>
        <v>Meeting</v>
      </c>
    </row>
    <row r="511" spans="1:15" x14ac:dyDescent="0.3">
      <c r="A511" s="1">
        <v>42680.98541666667</v>
      </c>
      <c r="B511" s="6">
        <f t="shared" si="92"/>
        <v>42680</v>
      </c>
      <c r="C511" s="7">
        <f t="shared" si="93"/>
        <v>0.98541666667006211</v>
      </c>
      <c r="D511" s="1">
        <v>42710.003472222219</v>
      </c>
      <c r="E511" s="6">
        <f t="shared" si="94"/>
        <v>42710</v>
      </c>
      <c r="F511" s="8">
        <f t="shared" si="95"/>
        <v>3.4722222189884633E-3</v>
      </c>
      <c r="G511" t="s">
        <v>7</v>
      </c>
      <c r="H511" s="7">
        <f t="shared" si="76"/>
        <v>1.805555554892635E-2</v>
      </c>
      <c r="I511" s="13">
        <f t="shared" si="77"/>
        <v>0.43333333333333335</v>
      </c>
      <c r="J511" t="s">
        <v>36</v>
      </c>
      <c r="K511" t="s">
        <v>15</v>
      </c>
      <c r="L511">
        <v>9.9</v>
      </c>
      <c r="M511" s="5">
        <f t="shared" si="78"/>
        <v>22.846153846153847</v>
      </c>
      <c r="N511" t="s">
        <v>11</v>
      </c>
      <c r="O511" t="str">
        <f t="shared" si="79"/>
        <v>Meeting</v>
      </c>
    </row>
    <row r="512" spans="1:15" x14ac:dyDescent="0.3">
      <c r="A512" t="s">
        <v>466</v>
      </c>
      <c r="B512" s="2">
        <v>42534</v>
      </c>
      <c r="C512" s="7">
        <v>0.59513888888888888</v>
      </c>
      <c r="D512" t="s">
        <v>467</v>
      </c>
      <c r="E512" s="2">
        <v>42534</v>
      </c>
      <c r="F512" s="8">
        <v>0.61527777777777781</v>
      </c>
      <c r="G512" t="s">
        <v>7</v>
      </c>
      <c r="H512" s="7">
        <f t="shared" si="76"/>
        <v>2.0138888888888928E-2</v>
      </c>
      <c r="I512" s="13">
        <f t="shared" si="77"/>
        <v>0.48333333333333334</v>
      </c>
      <c r="J512" t="s">
        <v>468</v>
      </c>
      <c r="K512" t="s">
        <v>469</v>
      </c>
      <c r="L512">
        <v>13.2</v>
      </c>
      <c r="M512" s="5">
        <f t="shared" si="78"/>
        <v>27.310344827586206</v>
      </c>
      <c r="N512" t="s">
        <v>11</v>
      </c>
      <c r="O512" t="str">
        <f t="shared" si="79"/>
        <v>Meeting</v>
      </c>
    </row>
    <row r="513" spans="1:15" x14ac:dyDescent="0.3">
      <c r="A513" t="s">
        <v>479</v>
      </c>
      <c r="B513" s="2">
        <v>42535</v>
      </c>
      <c r="C513" s="7">
        <v>0.67291666666666661</v>
      </c>
      <c r="D513" t="s">
        <v>480</v>
      </c>
      <c r="E513" s="2">
        <v>42535</v>
      </c>
      <c r="F513" s="8">
        <v>0.69374999999999998</v>
      </c>
      <c r="G513" t="s">
        <v>7</v>
      </c>
      <c r="H513" s="7">
        <f t="shared" si="76"/>
        <v>2.083333333333337E-2</v>
      </c>
      <c r="I513" s="13">
        <f t="shared" si="77"/>
        <v>0.5</v>
      </c>
      <c r="J513" t="s">
        <v>396</v>
      </c>
      <c r="K513" t="s">
        <v>469</v>
      </c>
      <c r="L513">
        <v>11.6</v>
      </c>
      <c r="M513" s="5">
        <f t="shared" si="78"/>
        <v>23.2</v>
      </c>
      <c r="N513" t="s">
        <v>11</v>
      </c>
      <c r="O513" t="str">
        <f t="shared" si="79"/>
        <v>Meeting</v>
      </c>
    </row>
    <row r="514" spans="1:15" x14ac:dyDescent="0.3">
      <c r="A514" t="s">
        <v>481</v>
      </c>
      <c r="B514" s="2">
        <v>42535</v>
      </c>
      <c r="C514" s="7">
        <v>0.71875</v>
      </c>
      <c r="D514" t="s">
        <v>482</v>
      </c>
      <c r="E514" s="2">
        <v>42535</v>
      </c>
      <c r="F514" s="8">
        <v>0.72499999999999998</v>
      </c>
      <c r="G514" t="s">
        <v>7</v>
      </c>
      <c r="H514" s="7">
        <f t="shared" ref="H514:H577" si="96">IF(F514&gt;C514,F514-C514,F514-C514+1)</f>
        <v>6.2499999999999778E-3</v>
      </c>
      <c r="I514" s="13">
        <f t="shared" ref="I514:I577" si="97">(HOUR(H514)*60+MINUTE(H514))/60</f>
        <v>0.15</v>
      </c>
      <c r="J514" t="s">
        <v>469</v>
      </c>
      <c r="K514" t="s">
        <v>468</v>
      </c>
      <c r="L514">
        <v>5.0999999999999996</v>
      </c>
      <c r="M514" s="5">
        <f t="shared" ref="M514:M577" si="98">L514/I514</f>
        <v>34</v>
      </c>
      <c r="N514" t="s">
        <v>11</v>
      </c>
      <c r="O514" t="str">
        <f t="shared" ref="O514:O577" si="99">IF(ISBLANK($N514),"No Purpose",$N514)</f>
        <v>Meeting</v>
      </c>
    </row>
    <row r="515" spans="1:15" x14ac:dyDescent="0.3">
      <c r="A515" t="s">
        <v>551</v>
      </c>
      <c r="B515" s="2">
        <v>42546</v>
      </c>
      <c r="C515" s="7">
        <v>0.47569444444444442</v>
      </c>
      <c r="D515" t="s">
        <v>552</v>
      </c>
      <c r="E515" s="2">
        <v>42546</v>
      </c>
      <c r="F515" s="8">
        <v>0.48194444444444445</v>
      </c>
      <c r="G515" t="s">
        <v>7</v>
      </c>
      <c r="H515" s="7">
        <f t="shared" si="96"/>
        <v>6.2500000000000333E-3</v>
      </c>
      <c r="I515" s="13">
        <f t="shared" si="97"/>
        <v>0.15</v>
      </c>
      <c r="J515" t="s">
        <v>553</v>
      </c>
      <c r="K515" t="s">
        <v>553</v>
      </c>
      <c r="L515">
        <v>1.7</v>
      </c>
      <c r="M515" s="5">
        <f t="shared" si="98"/>
        <v>11.333333333333334</v>
      </c>
      <c r="N515" t="s">
        <v>11</v>
      </c>
      <c r="O515" t="str">
        <f t="shared" si="99"/>
        <v>Meeting</v>
      </c>
    </row>
    <row r="516" spans="1:15" x14ac:dyDescent="0.3">
      <c r="A516" t="s">
        <v>554</v>
      </c>
      <c r="B516" s="2">
        <v>42546</v>
      </c>
      <c r="C516" s="7">
        <v>0.49513888888888885</v>
      </c>
      <c r="D516" t="s">
        <v>555</v>
      </c>
      <c r="E516" s="2">
        <v>42546</v>
      </c>
      <c r="F516" s="8">
        <v>0.55625000000000002</v>
      </c>
      <c r="G516" t="s">
        <v>7</v>
      </c>
      <c r="H516" s="7">
        <f t="shared" si="96"/>
        <v>6.1111111111111172E-2</v>
      </c>
      <c r="I516" s="13">
        <f t="shared" si="97"/>
        <v>1.4666666666666666</v>
      </c>
      <c r="J516" t="s">
        <v>505</v>
      </c>
      <c r="K516" t="s">
        <v>489</v>
      </c>
      <c r="L516">
        <v>15.5</v>
      </c>
      <c r="M516" s="5">
        <f t="shared" si="98"/>
        <v>10.568181818181818</v>
      </c>
      <c r="N516" t="s">
        <v>11</v>
      </c>
      <c r="O516" t="str">
        <f t="shared" si="99"/>
        <v>Meeting</v>
      </c>
    </row>
    <row r="517" spans="1:15" x14ac:dyDescent="0.3">
      <c r="A517" t="s">
        <v>561</v>
      </c>
      <c r="B517" s="2">
        <v>42547</v>
      </c>
      <c r="C517" s="7">
        <v>0.73819444444444438</v>
      </c>
      <c r="D517" t="s">
        <v>562</v>
      </c>
      <c r="E517" s="2">
        <v>42547</v>
      </c>
      <c r="F517" s="8">
        <v>0.76250000000000007</v>
      </c>
      <c r="G517" t="s">
        <v>7</v>
      </c>
      <c r="H517" s="7">
        <f t="shared" si="96"/>
        <v>2.4305555555555691E-2</v>
      </c>
      <c r="I517" s="13">
        <f t="shared" si="97"/>
        <v>0.58333333333333337</v>
      </c>
      <c r="J517" t="s">
        <v>489</v>
      </c>
      <c r="K517" t="s">
        <v>488</v>
      </c>
      <c r="L517">
        <v>12.6</v>
      </c>
      <c r="M517" s="5">
        <f t="shared" si="98"/>
        <v>21.599999999999998</v>
      </c>
      <c r="N517" t="s">
        <v>11</v>
      </c>
      <c r="O517" t="str">
        <f t="shared" si="99"/>
        <v>Meeting</v>
      </c>
    </row>
    <row r="518" spans="1:15" x14ac:dyDescent="0.3">
      <c r="A518" t="s">
        <v>595</v>
      </c>
      <c r="B518" s="2">
        <v>42549</v>
      </c>
      <c r="C518" s="7">
        <v>0.84236111111111101</v>
      </c>
      <c r="D518" t="s">
        <v>596</v>
      </c>
      <c r="E518" s="2">
        <v>42549</v>
      </c>
      <c r="F518" s="8">
        <v>0.85625000000000007</v>
      </c>
      <c r="G518" t="s">
        <v>7</v>
      </c>
      <c r="H518" s="7">
        <f t="shared" si="96"/>
        <v>1.3888888888889062E-2</v>
      </c>
      <c r="I518" s="13">
        <f t="shared" si="97"/>
        <v>0.33333333333333331</v>
      </c>
      <c r="J518" t="s">
        <v>15</v>
      </c>
      <c r="K518" t="s">
        <v>36</v>
      </c>
      <c r="L518">
        <v>10.4</v>
      </c>
      <c r="M518" s="5">
        <f t="shared" si="98"/>
        <v>31.200000000000003</v>
      </c>
      <c r="N518" t="s">
        <v>11</v>
      </c>
      <c r="O518" t="str">
        <f t="shared" si="99"/>
        <v>Meeting</v>
      </c>
    </row>
    <row r="519" spans="1:15" x14ac:dyDescent="0.3">
      <c r="A519" t="s">
        <v>597</v>
      </c>
      <c r="B519" s="2">
        <v>42549</v>
      </c>
      <c r="C519" s="7">
        <v>0.9819444444444444</v>
      </c>
      <c r="D519" t="s">
        <v>598</v>
      </c>
      <c r="E519" s="2">
        <v>42549</v>
      </c>
      <c r="F519" s="8">
        <v>0.99930555555555556</v>
      </c>
      <c r="G519" t="s">
        <v>7</v>
      </c>
      <c r="H519" s="7">
        <f t="shared" si="96"/>
        <v>1.736111111111116E-2</v>
      </c>
      <c r="I519" s="13">
        <f t="shared" si="97"/>
        <v>0.41666666666666669</v>
      </c>
      <c r="J519" t="s">
        <v>36</v>
      </c>
      <c r="K519" t="s">
        <v>15</v>
      </c>
      <c r="L519">
        <v>9.9</v>
      </c>
      <c r="M519" s="5">
        <f t="shared" si="98"/>
        <v>23.76</v>
      </c>
      <c r="N519" t="s">
        <v>11</v>
      </c>
      <c r="O519" t="str">
        <f t="shared" si="99"/>
        <v>Meeting</v>
      </c>
    </row>
    <row r="520" spans="1:15" x14ac:dyDescent="0.3">
      <c r="A520" t="s">
        <v>597</v>
      </c>
      <c r="B520" s="2">
        <v>42549</v>
      </c>
      <c r="C520" s="7">
        <v>0.9819444444444444</v>
      </c>
      <c r="D520" t="s">
        <v>598</v>
      </c>
      <c r="E520" s="2">
        <v>42549</v>
      </c>
      <c r="F520" s="8">
        <v>0.99930555555555556</v>
      </c>
      <c r="G520" t="s">
        <v>7</v>
      </c>
      <c r="H520" s="7">
        <f t="shared" si="96"/>
        <v>1.736111111111116E-2</v>
      </c>
      <c r="I520" s="13">
        <f t="shared" si="97"/>
        <v>0.41666666666666669</v>
      </c>
      <c r="J520" t="s">
        <v>36</v>
      </c>
      <c r="K520" t="s">
        <v>15</v>
      </c>
      <c r="L520">
        <v>9.9</v>
      </c>
      <c r="M520" s="5">
        <f t="shared" si="98"/>
        <v>23.76</v>
      </c>
      <c r="N520" t="s">
        <v>11</v>
      </c>
      <c r="O520" t="str">
        <f t="shared" si="99"/>
        <v>Meeting</v>
      </c>
    </row>
    <row r="521" spans="1:15" x14ac:dyDescent="0.3">
      <c r="A521" t="s">
        <v>607</v>
      </c>
      <c r="B521" s="2">
        <v>42550</v>
      </c>
      <c r="C521" s="7">
        <v>0.84097222222222223</v>
      </c>
      <c r="D521" t="s">
        <v>608</v>
      </c>
      <c r="E521" s="2">
        <v>42550</v>
      </c>
      <c r="F521" s="8">
        <v>0.8534722222222223</v>
      </c>
      <c r="G521" t="s">
        <v>7</v>
      </c>
      <c r="H521" s="7">
        <f t="shared" si="96"/>
        <v>1.2500000000000067E-2</v>
      </c>
      <c r="I521" s="13">
        <f t="shared" si="97"/>
        <v>0.3</v>
      </c>
      <c r="J521" t="s">
        <v>15</v>
      </c>
      <c r="K521" t="s">
        <v>36</v>
      </c>
      <c r="L521">
        <v>10.4</v>
      </c>
      <c r="M521" s="5">
        <f t="shared" si="98"/>
        <v>34.666666666666671</v>
      </c>
      <c r="N521" t="s">
        <v>11</v>
      </c>
      <c r="O521" t="str">
        <f t="shared" si="99"/>
        <v>Meeting</v>
      </c>
    </row>
    <row r="522" spans="1:15" x14ac:dyDescent="0.3">
      <c r="A522" t="s">
        <v>609</v>
      </c>
      <c r="B522" s="2">
        <v>42550</v>
      </c>
      <c r="C522" s="7">
        <v>0.98472222222222217</v>
      </c>
      <c r="D522" t="s">
        <v>610</v>
      </c>
      <c r="E522" s="2">
        <v>42551</v>
      </c>
      <c r="F522" s="8">
        <v>0</v>
      </c>
      <c r="G522" t="s">
        <v>7</v>
      </c>
      <c r="H522" s="7">
        <f t="shared" si="96"/>
        <v>1.5277777777777835E-2</v>
      </c>
      <c r="I522" s="13">
        <f t="shared" si="97"/>
        <v>0.36666666666666664</v>
      </c>
      <c r="J522" t="s">
        <v>36</v>
      </c>
      <c r="K522" t="s">
        <v>15</v>
      </c>
      <c r="L522">
        <v>9.9</v>
      </c>
      <c r="M522" s="5">
        <f t="shared" si="98"/>
        <v>27.000000000000004</v>
      </c>
      <c r="N522" t="s">
        <v>11</v>
      </c>
      <c r="O522" t="str">
        <f t="shared" si="99"/>
        <v>Meeting</v>
      </c>
    </row>
    <row r="523" spans="1:15" x14ac:dyDescent="0.3">
      <c r="A523" t="s">
        <v>611</v>
      </c>
      <c r="B523" s="2">
        <v>42551</v>
      </c>
      <c r="C523" s="7">
        <v>0.83958333333333324</v>
      </c>
      <c r="D523" t="s">
        <v>612</v>
      </c>
      <c r="E523" s="2">
        <v>42551</v>
      </c>
      <c r="F523" s="8">
        <v>0.85138888888888886</v>
      </c>
      <c r="G523" t="s">
        <v>7</v>
      </c>
      <c r="H523" s="7">
        <f t="shared" si="96"/>
        <v>1.1805555555555625E-2</v>
      </c>
      <c r="I523" s="13">
        <f t="shared" si="97"/>
        <v>0.28333333333333333</v>
      </c>
      <c r="J523" t="s">
        <v>15</v>
      </c>
      <c r="K523" t="s">
        <v>36</v>
      </c>
      <c r="L523">
        <v>9.9</v>
      </c>
      <c r="M523" s="5">
        <f t="shared" si="98"/>
        <v>34.941176470588239</v>
      </c>
      <c r="N523" t="s">
        <v>11</v>
      </c>
      <c r="O523" t="str">
        <f t="shared" si="99"/>
        <v>Meeting</v>
      </c>
    </row>
    <row r="524" spans="1:15" x14ac:dyDescent="0.3">
      <c r="A524" s="1">
        <v>42376</v>
      </c>
      <c r="B524" s="6">
        <f t="shared" ref="B524:B536" si="100">INT(A524:A563)</f>
        <v>42376</v>
      </c>
      <c r="C524" s="7">
        <f t="shared" ref="C524:C536" si="101">(A524-B524)</f>
        <v>0</v>
      </c>
      <c r="D524" s="1">
        <v>42376.017361111109</v>
      </c>
      <c r="E524" s="6">
        <f t="shared" ref="E524:E536" si="102">INT(D524)</f>
        <v>42376</v>
      </c>
      <c r="F524" s="8">
        <f t="shared" ref="F524:F536" si="103">D524-E524</f>
        <v>1.7361111109494232E-2</v>
      </c>
      <c r="G524" t="s">
        <v>7</v>
      </c>
      <c r="H524" s="7">
        <f t="shared" si="96"/>
        <v>1.7361111109494232E-2</v>
      </c>
      <c r="I524" s="13">
        <f t="shared" si="97"/>
        <v>0.41666666666666669</v>
      </c>
      <c r="J524" t="s">
        <v>36</v>
      </c>
      <c r="K524" t="s">
        <v>15</v>
      </c>
      <c r="L524">
        <v>9.9</v>
      </c>
      <c r="M524" s="5">
        <f t="shared" si="98"/>
        <v>23.76</v>
      </c>
      <c r="N524" t="s">
        <v>11</v>
      </c>
      <c r="O524" t="str">
        <f t="shared" si="99"/>
        <v>Meeting</v>
      </c>
    </row>
    <row r="525" spans="1:15" x14ac:dyDescent="0.3">
      <c r="A525" s="1">
        <v>42376.398611111108</v>
      </c>
      <c r="B525" s="6">
        <f t="shared" si="100"/>
        <v>42376</v>
      </c>
      <c r="C525" s="7">
        <f t="shared" si="101"/>
        <v>0.39861111110803904</v>
      </c>
      <c r="D525" s="1">
        <v>42376.414583333331</v>
      </c>
      <c r="E525" s="6">
        <f t="shared" si="102"/>
        <v>42376</v>
      </c>
      <c r="F525" s="8">
        <f t="shared" si="103"/>
        <v>0.41458333333139308</v>
      </c>
      <c r="G525" t="s">
        <v>7</v>
      </c>
      <c r="H525" s="7">
        <f t="shared" si="96"/>
        <v>1.5972222223354038E-2</v>
      </c>
      <c r="I525" s="13">
        <f t="shared" si="97"/>
        <v>0.38333333333333336</v>
      </c>
      <c r="J525" t="s">
        <v>15</v>
      </c>
      <c r="K525" t="s">
        <v>40</v>
      </c>
      <c r="L525">
        <v>13.3</v>
      </c>
      <c r="M525" s="5">
        <f t="shared" si="98"/>
        <v>34.695652173913039</v>
      </c>
      <c r="N525" t="s">
        <v>11</v>
      </c>
      <c r="O525" t="str">
        <f t="shared" si="99"/>
        <v>Meeting</v>
      </c>
    </row>
    <row r="526" spans="1:15" x14ac:dyDescent="0.3">
      <c r="A526" s="1">
        <v>42376.525000000001</v>
      </c>
      <c r="B526" s="6">
        <f t="shared" si="100"/>
        <v>42376</v>
      </c>
      <c r="C526" s="7">
        <f t="shared" si="101"/>
        <v>0.52500000000145519</v>
      </c>
      <c r="D526" s="1">
        <v>42376.541666666664</v>
      </c>
      <c r="E526" s="6">
        <f t="shared" si="102"/>
        <v>42376</v>
      </c>
      <c r="F526" s="8">
        <f t="shared" si="103"/>
        <v>0.54166666666424135</v>
      </c>
      <c r="G526" t="s">
        <v>7</v>
      </c>
      <c r="H526" s="7">
        <f t="shared" si="96"/>
        <v>1.6666666662786156E-2</v>
      </c>
      <c r="I526" s="13">
        <f t="shared" si="97"/>
        <v>0.4</v>
      </c>
      <c r="J526" t="s">
        <v>40</v>
      </c>
      <c r="K526" t="s">
        <v>15</v>
      </c>
      <c r="L526">
        <v>11.3</v>
      </c>
      <c r="M526" s="5">
        <f t="shared" si="98"/>
        <v>28.25</v>
      </c>
      <c r="N526" t="s">
        <v>11</v>
      </c>
      <c r="O526" t="str">
        <f t="shared" si="99"/>
        <v>Meeting</v>
      </c>
    </row>
    <row r="527" spans="1:15" x14ac:dyDescent="0.3">
      <c r="A527" s="1">
        <v>42376.837500000001</v>
      </c>
      <c r="B527" s="6">
        <f t="shared" si="100"/>
        <v>42376</v>
      </c>
      <c r="C527" s="7">
        <f t="shared" si="101"/>
        <v>0.83750000000145519</v>
      </c>
      <c r="D527" s="1">
        <v>42376.85</v>
      </c>
      <c r="E527" s="6">
        <f t="shared" si="102"/>
        <v>42376</v>
      </c>
      <c r="F527" s="8">
        <f t="shared" si="103"/>
        <v>0.84999999999854481</v>
      </c>
      <c r="G527" t="s">
        <v>7</v>
      </c>
      <c r="H527" s="7">
        <f t="shared" si="96"/>
        <v>1.2499999997089617E-2</v>
      </c>
      <c r="I527" s="13">
        <f t="shared" si="97"/>
        <v>0.3</v>
      </c>
      <c r="J527" t="s">
        <v>15</v>
      </c>
      <c r="K527" t="s">
        <v>36</v>
      </c>
      <c r="L527">
        <v>10.5</v>
      </c>
      <c r="M527" s="5">
        <f t="shared" si="98"/>
        <v>35</v>
      </c>
      <c r="N527" t="s">
        <v>11</v>
      </c>
      <c r="O527" t="str">
        <f t="shared" si="99"/>
        <v>Meeting</v>
      </c>
    </row>
    <row r="528" spans="1:15" x14ac:dyDescent="0.3">
      <c r="A528" s="1">
        <v>42376.991666666669</v>
      </c>
      <c r="B528" s="6">
        <f t="shared" si="100"/>
        <v>42376</v>
      </c>
      <c r="C528" s="7">
        <f t="shared" si="101"/>
        <v>0.99166666666860692</v>
      </c>
      <c r="D528" s="1">
        <v>42407.006249999999</v>
      </c>
      <c r="E528" s="6">
        <f t="shared" si="102"/>
        <v>42407</v>
      </c>
      <c r="F528" s="8">
        <f t="shared" si="103"/>
        <v>6.2499999985448085E-3</v>
      </c>
      <c r="G528" t="s">
        <v>7</v>
      </c>
      <c r="H528" s="7">
        <f t="shared" si="96"/>
        <v>1.4583333329937886E-2</v>
      </c>
      <c r="I528" s="13">
        <f t="shared" si="97"/>
        <v>0.35</v>
      </c>
      <c r="J528" t="s">
        <v>36</v>
      </c>
      <c r="K528" t="s">
        <v>15</v>
      </c>
      <c r="L528">
        <v>9.9</v>
      </c>
      <c r="M528" s="5">
        <f t="shared" si="98"/>
        <v>28.285714285714288</v>
      </c>
      <c r="N528" t="s">
        <v>11</v>
      </c>
      <c r="O528" t="str">
        <f t="shared" si="99"/>
        <v>Meeting</v>
      </c>
    </row>
    <row r="529" spans="1:15" x14ac:dyDescent="0.3">
      <c r="A529" s="1">
        <v>42407.845833333333</v>
      </c>
      <c r="B529" s="6">
        <f t="shared" si="100"/>
        <v>42407</v>
      </c>
      <c r="C529" s="7">
        <f t="shared" si="101"/>
        <v>0.84583333333284827</v>
      </c>
      <c r="D529" s="1">
        <v>42407.85833333333</v>
      </c>
      <c r="E529" s="6">
        <f t="shared" si="102"/>
        <v>42407</v>
      </c>
      <c r="F529" s="8">
        <f t="shared" si="103"/>
        <v>0.85833333332993789</v>
      </c>
      <c r="G529" t="s">
        <v>7</v>
      </c>
      <c r="H529" s="7">
        <f t="shared" si="96"/>
        <v>1.2499999997089617E-2</v>
      </c>
      <c r="I529" s="13">
        <f t="shared" si="97"/>
        <v>0.3</v>
      </c>
      <c r="J529" t="s">
        <v>15</v>
      </c>
      <c r="K529" t="s">
        <v>36</v>
      </c>
      <c r="L529">
        <v>10.1</v>
      </c>
      <c r="M529" s="5">
        <f t="shared" si="98"/>
        <v>33.666666666666664</v>
      </c>
      <c r="N529" t="s">
        <v>11</v>
      </c>
      <c r="O529" t="str">
        <f t="shared" si="99"/>
        <v>Meeting</v>
      </c>
    </row>
    <row r="530" spans="1:15" x14ac:dyDescent="0.3">
      <c r="A530" s="1">
        <v>42407.991666666669</v>
      </c>
      <c r="B530" s="6">
        <f t="shared" si="100"/>
        <v>42407</v>
      </c>
      <c r="C530" s="7">
        <f t="shared" si="101"/>
        <v>0.99166666666860692</v>
      </c>
      <c r="D530" s="1">
        <v>42436.008333333331</v>
      </c>
      <c r="E530" s="6">
        <f t="shared" si="102"/>
        <v>42436</v>
      </c>
      <c r="F530" s="8">
        <f t="shared" si="103"/>
        <v>8.333333331393078E-3</v>
      </c>
      <c r="G530" t="s">
        <v>7</v>
      </c>
      <c r="H530" s="7">
        <f t="shared" si="96"/>
        <v>1.6666666662786156E-2</v>
      </c>
      <c r="I530" s="13">
        <f t="shared" si="97"/>
        <v>0.4</v>
      </c>
      <c r="J530" t="s">
        <v>36</v>
      </c>
      <c r="K530" t="s">
        <v>15</v>
      </c>
      <c r="L530">
        <v>9.9</v>
      </c>
      <c r="M530" s="5">
        <f t="shared" si="98"/>
        <v>24.75</v>
      </c>
      <c r="N530" t="s">
        <v>11</v>
      </c>
      <c r="O530" t="str">
        <f t="shared" si="99"/>
        <v>Meeting</v>
      </c>
    </row>
    <row r="531" spans="1:15" x14ac:dyDescent="0.3">
      <c r="A531" s="1">
        <v>42436.833333333336</v>
      </c>
      <c r="B531" s="6">
        <f t="shared" si="100"/>
        <v>42436</v>
      </c>
      <c r="C531" s="7">
        <f t="shared" si="101"/>
        <v>0.83333333333575865</v>
      </c>
      <c r="D531" s="1">
        <v>42436.845833333333</v>
      </c>
      <c r="E531" s="6">
        <f t="shared" si="102"/>
        <v>42436</v>
      </c>
      <c r="F531" s="8">
        <f t="shared" si="103"/>
        <v>0.84583333333284827</v>
      </c>
      <c r="G531" t="s">
        <v>7</v>
      </c>
      <c r="H531" s="7">
        <f t="shared" si="96"/>
        <v>1.2499999997089617E-2</v>
      </c>
      <c r="I531" s="13">
        <f t="shared" si="97"/>
        <v>0.3</v>
      </c>
      <c r="J531" t="s">
        <v>15</v>
      </c>
      <c r="K531" t="s">
        <v>36</v>
      </c>
      <c r="L531">
        <v>9.9</v>
      </c>
      <c r="M531" s="5">
        <f t="shared" si="98"/>
        <v>33</v>
      </c>
      <c r="N531" t="s">
        <v>11</v>
      </c>
      <c r="O531" t="str">
        <f t="shared" si="99"/>
        <v>Meeting</v>
      </c>
    </row>
    <row r="532" spans="1:15" x14ac:dyDescent="0.3">
      <c r="A532" s="1">
        <v>42467.022222222222</v>
      </c>
      <c r="B532" s="6">
        <f t="shared" si="100"/>
        <v>42467</v>
      </c>
      <c r="C532" s="7">
        <f t="shared" si="101"/>
        <v>2.2222222221898846E-2</v>
      </c>
      <c r="D532" s="1">
        <v>42467.032638888886</v>
      </c>
      <c r="E532" s="6">
        <f t="shared" si="102"/>
        <v>42467</v>
      </c>
      <c r="F532" s="8">
        <f t="shared" si="103"/>
        <v>3.2638888886140194E-2</v>
      </c>
      <c r="G532" t="s">
        <v>7</v>
      </c>
      <c r="H532" s="7">
        <f t="shared" si="96"/>
        <v>1.0416666664241347E-2</v>
      </c>
      <c r="I532" s="13">
        <f t="shared" si="97"/>
        <v>0.25</v>
      </c>
      <c r="J532" t="s">
        <v>36</v>
      </c>
      <c r="K532" t="s">
        <v>15</v>
      </c>
      <c r="L532">
        <v>9.9</v>
      </c>
      <c r="M532" s="5">
        <f t="shared" si="98"/>
        <v>39.6</v>
      </c>
      <c r="N532" t="s">
        <v>11</v>
      </c>
      <c r="O532" t="str">
        <f t="shared" si="99"/>
        <v>Meeting</v>
      </c>
    </row>
    <row r="533" spans="1:15" x14ac:dyDescent="0.3">
      <c r="A533" s="1">
        <v>42467.729861111111</v>
      </c>
      <c r="B533" s="6">
        <f t="shared" si="100"/>
        <v>42467</v>
      </c>
      <c r="C533" s="7">
        <f t="shared" si="101"/>
        <v>0.72986111111094942</v>
      </c>
      <c r="D533" s="1">
        <v>42467.742361111108</v>
      </c>
      <c r="E533" s="6">
        <f t="shared" si="102"/>
        <v>42467</v>
      </c>
      <c r="F533" s="8">
        <f t="shared" si="103"/>
        <v>0.74236111110803904</v>
      </c>
      <c r="G533" t="s">
        <v>7</v>
      </c>
      <c r="H533" s="7">
        <f t="shared" si="96"/>
        <v>1.2499999997089617E-2</v>
      </c>
      <c r="I533" s="13">
        <f t="shared" si="97"/>
        <v>0.3</v>
      </c>
      <c r="J533" t="s">
        <v>38</v>
      </c>
      <c r="K533" t="s">
        <v>613</v>
      </c>
      <c r="L533">
        <v>8.8000000000000007</v>
      </c>
      <c r="M533" s="5">
        <f t="shared" si="98"/>
        <v>29.333333333333336</v>
      </c>
      <c r="N533" t="s">
        <v>11</v>
      </c>
      <c r="O533" t="str">
        <f t="shared" si="99"/>
        <v>Meeting</v>
      </c>
    </row>
    <row r="534" spans="1:15" x14ac:dyDescent="0.3">
      <c r="A534" s="1">
        <v>42467.833333333336</v>
      </c>
      <c r="B534" s="6">
        <f t="shared" si="100"/>
        <v>42467</v>
      </c>
      <c r="C534" s="7">
        <f t="shared" si="101"/>
        <v>0.83333333333575865</v>
      </c>
      <c r="D534" s="1">
        <v>42467.845138888886</v>
      </c>
      <c r="E534" s="6">
        <f t="shared" si="102"/>
        <v>42467</v>
      </c>
      <c r="F534" s="8">
        <f t="shared" si="103"/>
        <v>0.84513888888614019</v>
      </c>
      <c r="G534" t="s">
        <v>7</v>
      </c>
      <c r="H534" s="7">
        <f t="shared" si="96"/>
        <v>1.1805555550381541E-2</v>
      </c>
      <c r="I534" s="13">
        <f t="shared" si="97"/>
        <v>0.28333333333333333</v>
      </c>
      <c r="J534" t="s">
        <v>15</v>
      </c>
      <c r="K534" t="s">
        <v>36</v>
      </c>
      <c r="L534">
        <v>11.8</v>
      </c>
      <c r="M534" s="5">
        <f t="shared" si="98"/>
        <v>41.647058823529413</v>
      </c>
      <c r="N534" t="s">
        <v>11</v>
      </c>
      <c r="O534" t="str">
        <f t="shared" si="99"/>
        <v>Meeting</v>
      </c>
    </row>
    <row r="535" spans="1:15" x14ac:dyDescent="0.3">
      <c r="A535" s="1">
        <v>42497.005555555559</v>
      </c>
      <c r="B535" s="6">
        <f t="shared" si="100"/>
        <v>42497</v>
      </c>
      <c r="C535" s="7">
        <f t="shared" si="101"/>
        <v>5.5555555591126904E-3</v>
      </c>
      <c r="D535" s="1">
        <v>42497.019444444442</v>
      </c>
      <c r="E535" s="6">
        <f t="shared" si="102"/>
        <v>42497</v>
      </c>
      <c r="F535" s="8">
        <f t="shared" si="103"/>
        <v>1.9444444442342501E-2</v>
      </c>
      <c r="G535" t="s">
        <v>7</v>
      </c>
      <c r="H535" s="7">
        <f t="shared" si="96"/>
        <v>1.3888888883229811E-2</v>
      </c>
      <c r="I535" s="13">
        <f t="shared" si="97"/>
        <v>0.33333333333333331</v>
      </c>
      <c r="J535" t="s">
        <v>36</v>
      </c>
      <c r="K535" t="s">
        <v>15</v>
      </c>
      <c r="L535">
        <v>9.9</v>
      </c>
      <c r="M535" s="5">
        <f t="shared" si="98"/>
        <v>29.700000000000003</v>
      </c>
      <c r="N535" t="s">
        <v>11</v>
      </c>
      <c r="O535" t="str">
        <f t="shared" si="99"/>
        <v>Meeting</v>
      </c>
    </row>
    <row r="536" spans="1:15" x14ac:dyDescent="0.3">
      <c r="A536" s="1">
        <v>42528.379166666666</v>
      </c>
      <c r="B536" s="6">
        <f t="shared" si="100"/>
        <v>42528</v>
      </c>
      <c r="C536" s="7">
        <f t="shared" si="101"/>
        <v>0.37916666666569654</v>
      </c>
      <c r="D536" s="1">
        <v>42528.392361111109</v>
      </c>
      <c r="E536" s="6">
        <f t="shared" si="102"/>
        <v>42528</v>
      </c>
      <c r="F536" s="8">
        <f t="shared" si="103"/>
        <v>0.39236111110949423</v>
      </c>
      <c r="G536" t="s">
        <v>7</v>
      </c>
      <c r="H536" s="7">
        <f t="shared" si="96"/>
        <v>1.3194444443797693E-2</v>
      </c>
      <c r="I536" s="13">
        <f t="shared" si="97"/>
        <v>0.31666666666666665</v>
      </c>
      <c r="J536" t="s">
        <v>15</v>
      </c>
      <c r="K536" t="s">
        <v>36</v>
      </c>
      <c r="L536">
        <v>9.9</v>
      </c>
      <c r="M536" s="5">
        <f t="shared" si="98"/>
        <v>31.263157894736846</v>
      </c>
      <c r="N536" t="s">
        <v>11</v>
      </c>
      <c r="O536" t="str">
        <f t="shared" si="99"/>
        <v>Meeting</v>
      </c>
    </row>
    <row r="537" spans="1:15" x14ac:dyDescent="0.3">
      <c r="A537" t="s">
        <v>671</v>
      </c>
      <c r="B537" s="2">
        <v>42569</v>
      </c>
      <c r="C537" s="7">
        <v>0.71666666666666667</v>
      </c>
      <c r="D537" t="s">
        <v>672</v>
      </c>
      <c r="E537" s="2">
        <v>42569</v>
      </c>
      <c r="F537" s="8">
        <v>0.73125000000000007</v>
      </c>
      <c r="G537" t="s">
        <v>7</v>
      </c>
      <c r="H537" s="7">
        <f t="shared" si="96"/>
        <v>1.4583333333333393E-2</v>
      </c>
      <c r="I537" s="13">
        <f t="shared" si="97"/>
        <v>0.35</v>
      </c>
      <c r="J537" t="s">
        <v>15</v>
      </c>
      <c r="K537" t="s">
        <v>48</v>
      </c>
      <c r="L537">
        <v>7.2</v>
      </c>
      <c r="M537" s="5">
        <f t="shared" si="98"/>
        <v>20.571428571428573</v>
      </c>
      <c r="N537" t="s">
        <v>11</v>
      </c>
      <c r="O537" t="str">
        <f t="shared" si="99"/>
        <v>Meeting</v>
      </c>
    </row>
    <row r="538" spans="1:15" x14ac:dyDescent="0.3">
      <c r="A538" t="s">
        <v>684</v>
      </c>
      <c r="B538" s="2">
        <v>42570</v>
      </c>
      <c r="C538" s="7">
        <v>0.45555555555555555</v>
      </c>
      <c r="D538" t="s">
        <v>685</v>
      </c>
      <c r="E538" s="2">
        <v>42570</v>
      </c>
      <c r="F538" s="8">
        <v>0.46597222222222223</v>
      </c>
      <c r="G538" t="s">
        <v>7</v>
      </c>
      <c r="H538" s="7">
        <f t="shared" si="96"/>
        <v>1.0416666666666685E-2</v>
      </c>
      <c r="I538" s="13">
        <f t="shared" si="97"/>
        <v>0.25</v>
      </c>
      <c r="J538" t="s">
        <v>683</v>
      </c>
      <c r="K538" t="s">
        <v>686</v>
      </c>
      <c r="L538">
        <v>3</v>
      </c>
      <c r="M538" s="5">
        <f t="shared" si="98"/>
        <v>12</v>
      </c>
      <c r="N538" t="s">
        <v>11</v>
      </c>
      <c r="O538" t="str">
        <f t="shared" si="99"/>
        <v>Meeting</v>
      </c>
    </row>
    <row r="539" spans="1:15" x14ac:dyDescent="0.3">
      <c r="A539" t="s">
        <v>715</v>
      </c>
      <c r="B539" s="2">
        <v>42573</v>
      </c>
      <c r="C539" s="7">
        <v>0.55625000000000002</v>
      </c>
      <c r="D539" t="s">
        <v>716</v>
      </c>
      <c r="E539" s="2">
        <v>42573</v>
      </c>
      <c r="F539" s="8">
        <v>0.5708333333333333</v>
      </c>
      <c r="G539" t="s">
        <v>7</v>
      </c>
      <c r="H539" s="7">
        <f t="shared" si="96"/>
        <v>1.4583333333333282E-2</v>
      </c>
      <c r="I539" s="13">
        <f t="shared" si="97"/>
        <v>0.35</v>
      </c>
      <c r="J539" t="s">
        <v>36</v>
      </c>
      <c r="K539" t="s">
        <v>15</v>
      </c>
      <c r="L539">
        <v>9.9</v>
      </c>
      <c r="M539" s="5">
        <f t="shared" si="98"/>
        <v>28.285714285714288</v>
      </c>
      <c r="N539" t="s">
        <v>11</v>
      </c>
      <c r="O539" t="str">
        <f t="shared" si="99"/>
        <v>Meeting</v>
      </c>
    </row>
    <row r="540" spans="1:15" x14ac:dyDescent="0.3">
      <c r="A540" t="s">
        <v>731</v>
      </c>
      <c r="B540" s="2">
        <v>42574</v>
      </c>
      <c r="C540" s="7">
        <v>0.84513888888888899</v>
      </c>
      <c r="D540" t="s">
        <v>732</v>
      </c>
      <c r="E540" s="2">
        <v>42574</v>
      </c>
      <c r="F540" s="8">
        <v>0.85625000000000007</v>
      </c>
      <c r="G540" t="s">
        <v>7</v>
      </c>
      <c r="H540" s="7">
        <f t="shared" si="96"/>
        <v>1.1111111111111072E-2</v>
      </c>
      <c r="I540" s="13">
        <f t="shared" si="97"/>
        <v>0.26666666666666666</v>
      </c>
      <c r="J540" t="s">
        <v>15</v>
      </c>
      <c r="K540" t="s">
        <v>36</v>
      </c>
      <c r="L540">
        <v>10.4</v>
      </c>
      <c r="M540" s="5">
        <f t="shared" si="98"/>
        <v>39</v>
      </c>
      <c r="N540" t="s">
        <v>11</v>
      </c>
      <c r="O540" t="str">
        <f t="shared" si="99"/>
        <v>Meeting</v>
      </c>
    </row>
    <row r="541" spans="1:15" x14ac:dyDescent="0.3">
      <c r="A541" t="s">
        <v>733</v>
      </c>
      <c r="B541" s="2">
        <v>42574</v>
      </c>
      <c r="C541" s="7">
        <v>0.97083333333333333</v>
      </c>
      <c r="D541" t="s">
        <v>734</v>
      </c>
      <c r="E541" s="2">
        <v>42574</v>
      </c>
      <c r="F541" s="8">
        <v>0.98819444444444438</v>
      </c>
      <c r="G541" t="s">
        <v>7</v>
      </c>
      <c r="H541" s="7">
        <f t="shared" si="96"/>
        <v>1.7361111111111049E-2</v>
      </c>
      <c r="I541" s="13">
        <f t="shared" si="97"/>
        <v>0.41666666666666669</v>
      </c>
      <c r="J541" t="s">
        <v>36</v>
      </c>
      <c r="K541" t="s">
        <v>15</v>
      </c>
      <c r="L541">
        <v>9.9</v>
      </c>
      <c r="M541" s="5">
        <f t="shared" si="98"/>
        <v>23.76</v>
      </c>
      <c r="N541" t="s">
        <v>11</v>
      </c>
      <c r="O541" t="str">
        <f t="shared" si="99"/>
        <v>Meeting</v>
      </c>
    </row>
    <row r="542" spans="1:15" x14ac:dyDescent="0.3">
      <c r="A542" s="1">
        <v>42408.34097222222</v>
      </c>
      <c r="B542" s="6">
        <f>INT(A542:A581)</f>
        <v>42408</v>
      </c>
      <c r="C542" s="7">
        <f>(A542-B542)</f>
        <v>0.34097222222044365</v>
      </c>
      <c r="D542" s="1">
        <v>42408.355555555558</v>
      </c>
      <c r="E542" s="6">
        <f>INT(D542)</f>
        <v>42408</v>
      </c>
      <c r="F542" s="8">
        <f>D542-E542</f>
        <v>0.3555555555576575</v>
      </c>
      <c r="G542" t="s">
        <v>7</v>
      </c>
      <c r="H542" s="7">
        <f t="shared" si="96"/>
        <v>1.4583333337213844E-2</v>
      </c>
      <c r="I542" s="13">
        <f t="shared" si="97"/>
        <v>0.35</v>
      </c>
      <c r="J542" t="s">
        <v>15</v>
      </c>
      <c r="K542" t="s">
        <v>16</v>
      </c>
      <c r="L542">
        <v>8.4</v>
      </c>
      <c r="M542" s="5">
        <f t="shared" si="98"/>
        <v>24.000000000000004</v>
      </c>
      <c r="N542" t="s">
        <v>11</v>
      </c>
      <c r="O542" t="str">
        <f t="shared" si="99"/>
        <v>Meeting</v>
      </c>
    </row>
    <row r="543" spans="1:15" x14ac:dyDescent="0.3">
      <c r="A543" t="s">
        <v>779</v>
      </c>
      <c r="B543" s="2">
        <v>42595</v>
      </c>
      <c r="C543" s="7">
        <v>0.64930555555555558</v>
      </c>
      <c r="D543" t="s">
        <v>780</v>
      </c>
      <c r="E543" s="2">
        <v>42595</v>
      </c>
      <c r="F543" s="8">
        <v>0.66527777777777775</v>
      </c>
      <c r="G543" t="s">
        <v>7</v>
      </c>
      <c r="H543" s="7">
        <f t="shared" si="96"/>
        <v>1.5972222222222165E-2</v>
      </c>
      <c r="I543" s="13">
        <f t="shared" si="97"/>
        <v>0.38333333333333336</v>
      </c>
      <c r="J543" t="s">
        <v>15</v>
      </c>
      <c r="K543" t="s">
        <v>16</v>
      </c>
      <c r="L543">
        <v>8.4</v>
      </c>
      <c r="M543" s="5">
        <f t="shared" si="98"/>
        <v>21.913043478260867</v>
      </c>
      <c r="N543" t="s">
        <v>11</v>
      </c>
      <c r="O543" t="str">
        <f t="shared" si="99"/>
        <v>Meeting</v>
      </c>
    </row>
    <row r="544" spans="1:15" x14ac:dyDescent="0.3">
      <c r="A544" s="1">
        <v>42684.060416666667</v>
      </c>
      <c r="B544" s="6">
        <f>INT(A544:A582)</f>
        <v>42684</v>
      </c>
      <c r="C544" s="7">
        <f>(A544-B544)</f>
        <v>6.0416666667151731E-2</v>
      </c>
      <c r="D544" s="1">
        <v>42684.088888888888</v>
      </c>
      <c r="E544" s="6">
        <f>INT(D544)</f>
        <v>42684</v>
      </c>
      <c r="F544" s="8">
        <f>D544-E544</f>
        <v>8.8888888887595385E-2</v>
      </c>
      <c r="G544" t="s">
        <v>7</v>
      </c>
      <c r="H544" s="7">
        <f t="shared" si="96"/>
        <v>2.8472222220443655E-2</v>
      </c>
      <c r="I544" s="13">
        <f t="shared" si="97"/>
        <v>0.68333333333333335</v>
      </c>
      <c r="J544" t="s">
        <v>72</v>
      </c>
      <c r="K544" t="s">
        <v>106</v>
      </c>
      <c r="L544">
        <v>17.100000000000001</v>
      </c>
      <c r="M544" s="5">
        <f t="shared" si="98"/>
        <v>25.024390243902442</v>
      </c>
      <c r="N544" t="s">
        <v>11</v>
      </c>
      <c r="O544" t="str">
        <f t="shared" si="99"/>
        <v>Meeting</v>
      </c>
    </row>
    <row r="545" spans="1:15" x14ac:dyDescent="0.3">
      <c r="A545" t="s">
        <v>1020</v>
      </c>
      <c r="B545" s="2">
        <v>42657</v>
      </c>
      <c r="C545" s="7">
        <v>0.99583333333333324</v>
      </c>
      <c r="D545" t="s">
        <v>1021</v>
      </c>
      <c r="E545" s="2">
        <v>42658</v>
      </c>
      <c r="F545" s="8">
        <v>8.7500000000000008E-2</v>
      </c>
      <c r="G545" t="s">
        <v>7</v>
      </c>
      <c r="H545" s="7">
        <f t="shared" si="96"/>
        <v>9.1666666666666785E-2</v>
      </c>
      <c r="I545" s="13">
        <f t="shared" si="97"/>
        <v>2.2000000000000002</v>
      </c>
      <c r="J545" t="s">
        <v>72</v>
      </c>
      <c r="K545" t="s">
        <v>106</v>
      </c>
      <c r="L545">
        <v>17</v>
      </c>
      <c r="M545" s="5">
        <f t="shared" si="98"/>
        <v>7.7272727272727266</v>
      </c>
      <c r="N545" t="s">
        <v>11</v>
      </c>
      <c r="O545" t="str">
        <f t="shared" si="99"/>
        <v>Meeting</v>
      </c>
    </row>
    <row r="546" spans="1:15" x14ac:dyDescent="0.3">
      <c r="A546" t="s">
        <v>1026</v>
      </c>
      <c r="B546" s="2">
        <v>42659</v>
      </c>
      <c r="C546" s="7">
        <v>0.53611111111111109</v>
      </c>
      <c r="D546" t="s">
        <v>1027</v>
      </c>
      <c r="E546" s="2">
        <v>42659</v>
      </c>
      <c r="F546" s="8">
        <v>0.5493055555555556</v>
      </c>
      <c r="G546" t="s">
        <v>7</v>
      </c>
      <c r="H546" s="7">
        <f t="shared" si="96"/>
        <v>1.3194444444444509E-2</v>
      </c>
      <c r="I546" s="13">
        <f t="shared" si="97"/>
        <v>0.31666666666666665</v>
      </c>
      <c r="J546" t="s">
        <v>15</v>
      </c>
      <c r="K546" t="s">
        <v>36</v>
      </c>
      <c r="L546">
        <v>10.5</v>
      </c>
      <c r="M546" s="5">
        <f t="shared" si="98"/>
        <v>33.15789473684211</v>
      </c>
      <c r="N546" t="s">
        <v>11</v>
      </c>
      <c r="O546" t="str">
        <f t="shared" si="99"/>
        <v>Meeting</v>
      </c>
    </row>
    <row r="547" spans="1:15" x14ac:dyDescent="0.3">
      <c r="A547" t="s">
        <v>1032</v>
      </c>
      <c r="B547" s="2">
        <v>42659</v>
      </c>
      <c r="C547" s="7">
        <v>0.81041666666666667</v>
      </c>
      <c r="D547" t="s">
        <v>1033</v>
      </c>
      <c r="E547" s="2">
        <v>42659</v>
      </c>
      <c r="F547" s="8">
        <v>0.81458333333333333</v>
      </c>
      <c r="G547" t="s">
        <v>7</v>
      </c>
      <c r="H547" s="7">
        <f t="shared" si="96"/>
        <v>4.1666666666666519E-3</v>
      </c>
      <c r="I547" s="13">
        <f t="shared" si="97"/>
        <v>0.1</v>
      </c>
      <c r="J547" t="s">
        <v>38</v>
      </c>
      <c r="K547" t="s">
        <v>389</v>
      </c>
      <c r="L547">
        <v>2.1</v>
      </c>
      <c r="M547" s="5">
        <f t="shared" si="98"/>
        <v>21</v>
      </c>
      <c r="N547" t="s">
        <v>11</v>
      </c>
      <c r="O547" t="str">
        <f t="shared" si="99"/>
        <v>Meeting</v>
      </c>
    </row>
    <row r="548" spans="1:15" x14ac:dyDescent="0.3">
      <c r="A548" t="s">
        <v>1121</v>
      </c>
      <c r="B548" s="2">
        <v>42669</v>
      </c>
      <c r="C548" s="7">
        <v>0.80902777777777779</v>
      </c>
      <c r="D548" t="s">
        <v>1122</v>
      </c>
      <c r="E548" s="2">
        <v>42669</v>
      </c>
      <c r="F548" s="8">
        <v>0.81319444444444444</v>
      </c>
      <c r="G548" t="s">
        <v>7</v>
      </c>
      <c r="H548" s="7">
        <f t="shared" si="96"/>
        <v>4.1666666666666519E-3</v>
      </c>
      <c r="I548" s="13">
        <f t="shared" si="97"/>
        <v>0.1</v>
      </c>
      <c r="J548" t="s">
        <v>38</v>
      </c>
      <c r="K548" t="s">
        <v>389</v>
      </c>
      <c r="L548">
        <v>2.1</v>
      </c>
      <c r="M548" s="5">
        <f t="shared" si="98"/>
        <v>21</v>
      </c>
      <c r="N548" t="s">
        <v>11</v>
      </c>
      <c r="O548" t="str">
        <f t="shared" si="99"/>
        <v>Meeting</v>
      </c>
    </row>
    <row r="549" spans="1:15" x14ac:dyDescent="0.3">
      <c r="A549" t="s">
        <v>1125</v>
      </c>
      <c r="B549" s="2">
        <v>42670</v>
      </c>
      <c r="C549" s="7">
        <v>0.78541666666666676</v>
      </c>
      <c r="D549" t="s">
        <v>1126</v>
      </c>
      <c r="E549" s="2">
        <v>42670</v>
      </c>
      <c r="F549" s="8">
        <v>0.8027777777777777</v>
      </c>
      <c r="G549" t="s">
        <v>7</v>
      </c>
      <c r="H549" s="7">
        <f t="shared" si="96"/>
        <v>1.7361111111110938E-2</v>
      </c>
      <c r="I549" s="13">
        <f t="shared" si="97"/>
        <v>0.41666666666666669</v>
      </c>
      <c r="J549" t="s">
        <v>15</v>
      </c>
      <c r="K549" t="s">
        <v>16</v>
      </c>
      <c r="L549">
        <v>8.4</v>
      </c>
      <c r="M549" s="5">
        <f t="shared" si="98"/>
        <v>20.16</v>
      </c>
      <c r="N549" t="s">
        <v>11</v>
      </c>
      <c r="O549" t="str">
        <f t="shared" si="99"/>
        <v>Meeting</v>
      </c>
    </row>
    <row r="550" spans="1:15" x14ac:dyDescent="0.3">
      <c r="A550" t="s">
        <v>1135</v>
      </c>
      <c r="B550" s="2">
        <v>42671</v>
      </c>
      <c r="C550" s="7">
        <v>0.48194444444444445</v>
      </c>
      <c r="D550" t="s">
        <v>1136</v>
      </c>
      <c r="E550" s="2">
        <v>42671</v>
      </c>
      <c r="F550" s="8">
        <v>0.49444444444444446</v>
      </c>
      <c r="G550" t="s">
        <v>7</v>
      </c>
      <c r="H550" s="7">
        <f t="shared" si="96"/>
        <v>1.2500000000000011E-2</v>
      </c>
      <c r="I550" s="13">
        <f t="shared" si="97"/>
        <v>0.3</v>
      </c>
      <c r="J550" t="s">
        <v>15</v>
      </c>
      <c r="K550" t="s">
        <v>36</v>
      </c>
      <c r="L550">
        <v>10.4</v>
      </c>
      <c r="M550" s="5">
        <f t="shared" si="98"/>
        <v>34.666666666666671</v>
      </c>
      <c r="N550" t="s">
        <v>11</v>
      </c>
      <c r="O550" t="str">
        <f t="shared" si="99"/>
        <v>Meeting</v>
      </c>
    </row>
    <row r="551" spans="1:15" x14ac:dyDescent="0.3">
      <c r="A551" t="s">
        <v>1137</v>
      </c>
      <c r="B551" s="2">
        <v>42671</v>
      </c>
      <c r="C551" s="7">
        <v>0.54583333333333328</v>
      </c>
      <c r="D551" t="s">
        <v>1138</v>
      </c>
      <c r="E551" s="2">
        <v>42671</v>
      </c>
      <c r="F551" s="8">
        <v>0.56666666666666665</v>
      </c>
      <c r="G551" t="s">
        <v>7</v>
      </c>
      <c r="H551" s="7">
        <f t="shared" si="96"/>
        <v>2.083333333333337E-2</v>
      </c>
      <c r="I551" s="13">
        <f t="shared" si="97"/>
        <v>0.5</v>
      </c>
      <c r="J551" t="s">
        <v>36</v>
      </c>
      <c r="K551" t="s">
        <v>15</v>
      </c>
      <c r="L551">
        <v>9.9</v>
      </c>
      <c r="M551" s="5">
        <f t="shared" si="98"/>
        <v>19.8</v>
      </c>
      <c r="N551" t="s">
        <v>11</v>
      </c>
      <c r="O551" t="str">
        <f t="shared" si="99"/>
        <v>Meeting</v>
      </c>
    </row>
    <row r="552" spans="1:15" x14ac:dyDescent="0.3">
      <c r="A552" t="s">
        <v>1139</v>
      </c>
      <c r="B552" s="2">
        <v>42671</v>
      </c>
      <c r="C552" s="7">
        <v>0.66180555555555554</v>
      </c>
      <c r="D552" t="s">
        <v>1140</v>
      </c>
      <c r="E552" s="2">
        <v>42671</v>
      </c>
      <c r="F552" s="8">
        <v>0.74930555555555556</v>
      </c>
      <c r="G552" t="s">
        <v>7</v>
      </c>
      <c r="H552" s="7">
        <f t="shared" si="96"/>
        <v>8.7500000000000022E-2</v>
      </c>
      <c r="I552" s="13">
        <f t="shared" si="97"/>
        <v>2.1</v>
      </c>
      <c r="J552" t="s">
        <v>15</v>
      </c>
      <c r="K552" t="s">
        <v>1141</v>
      </c>
      <c r="L552">
        <v>107</v>
      </c>
      <c r="M552" s="5">
        <f t="shared" si="98"/>
        <v>50.952380952380949</v>
      </c>
      <c r="N552" t="s">
        <v>11</v>
      </c>
      <c r="O552" t="str">
        <f t="shared" si="99"/>
        <v>Meeting</v>
      </c>
    </row>
    <row r="553" spans="1:15" x14ac:dyDescent="0.3">
      <c r="A553" t="s">
        <v>1142</v>
      </c>
      <c r="B553" s="2">
        <v>42671</v>
      </c>
      <c r="C553" s="7">
        <v>0.75902777777777775</v>
      </c>
      <c r="D553" t="s">
        <v>1143</v>
      </c>
      <c r="E553" s="2">
        <v>42671</v>
      </c>
      <c r="F553" s="8">
        <v>0.83819444444444446</v>
      </c>
      <c r="G553" t="s">
        <v>7</v>
      </c>
      <c r="H553" s="7">
        <f t="shared" si="96"/>
        <v>7.9166666666666718E-2</v>
      </c>
      <c r="I553" s="13">
        <f t="shared" si="97"/>
        <v>1.9</v>
      </c>
      <c r="J553" t="s">
        <v>1141</v>
      </c>
      <c r="K553" t="s">
        <v>1144</v>
      </c>
      <c r="L553">
        <v>133.6</v>
      </c>
      <c r="M553" s="5">
        <f t="shared" si="98"/>
        <v>70.315789473684205</v>
      </c>
      <c r="N553" t="s">
        <v>11</v>
      </c>
      <c r="O553" t="str">
        <f t="shared" si="99"/>
        <v>Meeting</v>
      </c>
    </row>
    <row r="554" spans="1:15" x14ac:dyDescent="0.3">
      <c r="A554" t="s">
        <v>1145</v>
      </c>
      <c r="B554" s="2">
        <v>42671</v>
      </c>
      <c r="C554" s="7">
        <v>0.84236111111111101</v>
      </c>
      <c r="D554" t="s">
        <v>1146</v>
      </c>
      <c r="E554" s="2">
        <v>42671</v>
      </c>
      <c r="F554" s="8">
        <v>0.91666666666666663</v>
      </c>
      <c r="G554" t="s">
        <v>7</v>
      </c>
      <c r="H554" s="7">
        <f t="shared" si="96"/>
        <v>7.4305555555555625E-2</v>
      </c>
      <c r="I554" s="13">
        <f t="shared" si="97"/>
        <v>1.7833333333333334</v>
      </c>
      <c r="J554" t="s">
        <v>1144</v>
      </c>
      <c r="K554" t="s">
        <v>1147</v>
      </c>
      <c r="L554">
        <v>91.8</v>
      </c>
      <c r="M554" s="5">
        <f t="shared" si="98"/>
        <v>51.476635514018689</v>
      </c>
      <c r="N554" t="s">
        <v>11</v>
      </c>
      <c r="O554" t="str">
        <f t="shared" si="99"/>
        <v>Meeting</v>
      </c>
    </row>
    <row r="555" spans="1:15" x14ac:dyDescent="0.3">
      <c r="A555" t="s">
        <v>1148</v>
      </c>
      <c r="B555" s="2">
        <v>42672</v>
      </c>
      <c r="C555" s="7">
        <v>0.64027777777777783</v>
      </c>
      <c r="D555" t="s">
        <v>1149</v>
      </c>
      <c r="E555" s="2">
        <v>42672</v>
      </c>
      <c r="F555" s="8">
        <v>0.71180555555555547</v>
      </c>
      <c r="G555" t="s">
        <v>7</v>
      </c>
      <c r="H555" s="7">
        <f t="shared" si="96"/>
        <v>7.1527777777777635E-2</v>
      </c>
      <c r="I555" s="13">
        <f t="shared" si="97"/>
        <v>1.7166666666666666</v>
      </c>
      <c r="J555" t="s">
        <v>1147</v>
      </c>
      <c r="K555" t="s">
        <v>1150</v>
      </c>
      <c r="L555">
        <v>40.700000000000003</v>
      </c>
      <c r="M555" s="5">
        <f t="shared" si="98"/>
        <v>23.708737864077673</v>
      </c>
      <c r="N555" t="s">
        <v>11</v>
      </c>
      <c r="O555" t="str">
        <f t="shared" si="99"/>
        <v>Meeting</v>
      </c>
    </row>
    <row r="556" spans="1:15" x14ac:dyDescent="0.3">
      <c r="A556" s="1">
        <v>42411.698611111111</v>
      </c>
      <c r="B556" s="6">
        <f t="shared" ref="B556:B561" si="104">INT(A556:A595)</f>
        <v>42411</v>
      </c>
      <c r="C556" s="7">
        <f t="shared" ref="C556:C561" si="105">(A556-B556)</f>
        <v>0.69861111111094942</v>
      </c>
      <c r="D556" s="1">
        <v>42411.71597222222</v>
      </c>
      <c r="E556" s="6">
        <f t="shared" ref="E556:E561" si="106">INT(D556)</f>
        <v>42411</v>
      </c>
      <c r="F556" s="8">
        <f t="shared" ref="F556:F561" si="107">D556-E556</f>
        <v>0.71597222222044365</v>
      </c>
      <c r="G556" t="s">
        <v>7</v>
      </c>
      <c r="H556" s="7">
        <f t="shared" si="96"/>
        <v>1.7361111109494232E-2</v>
      </c>
      <c r="I556" s="13">
        <f t="shared" si="97"/>
        <v>0.41666666666666669</v>
      </c>
      <c r="J556" t="s">
        <v>15</v>
      </c>
      <c r="K556" t="s">
        <v>16</v>
      </c>
      <c r="L556">
        <v>8.5</v>
      </c>
      <c r="M556" s="5">
        <f t="shared" si="98"/>
        <v>20.399999999999999</v>
      </c>
      <c r="N556" t="s">
        <v>11</v>
      </c>
      <c r="O556" t="str">
        <f t="shared" si="99"/>
        <v>Meeting</v>
      </c>
    </row>
    <row r="557" spans="1:15" x14ac:dyDescent="0.3">
      <c r="A557" s="1">
        <v>42532.670138888891</v>
      </c>
      <c r="B557" s="6">
        <f t="shared" si="104"/>
        <v>42532</v>
      </c>
      <c r="C557" s="7">
        <f t="shared" si="105"/>
        <v>0.67013888889050577</v>
      </c>
      <c r="D557" s="1">
        <v>42532.681944444441</v>
      </c>
      <c r="E557" s="6">
        <f t="shared" si="106"/>
        <v>42532</v>
      </c>
      <c r="F557" s="8">
        <f t="shared" si="107"/>
        <v>0.68194444444088731</v>
      </c>
      <c r="G557" t="s">
        <v>7</v>
      </c>
      <c r="H557" s="7">
        <f t="shared" si="96"/>
        <v>1.1805555550381541E-2</v>
      </c>
      <c r="I557" s="13">
        <f t="shared" si="97"/>
        <v>0.28333333333333333</v>
      </c>
      <c r="J557" t="s">
        <v>1185</v>
      </c>
      <c r="K557" t="s">
        <v>1183</v>
      </c>
      <c r="L557">
        <v>2.8</v>
      </c>
      <c r="M557" s="5">
        <f t="shared" si="98"/>
        <v>9.882352941176471</v>
      </c>
      <c r="N557" t="s">
        <v>11</v>
      </c>
      <c r="O557" t="str">
        <f t="shared" si="99"/>
        <v>Meeting</v>
      </c>
    </row>
    <row r="558" spans="1:15" x14ac:dyDescent="0.3">
      <c r="A558" s="1">
        <v>42593.511111111111</v>
      </c>
      <c r="B558" s="6">
        <f t="shared" si="104"/>
        <v>42593</v>
      </c>
      <c r="C558" s="7">
        <f t="shared" si="105"/>
        <v>0.51111111111094942</v>
      </c>
      <c r="D558" s="1">
        <v>42593.53402777778</v>
      </c>
      <c r="E558" s="6">
        <f t="shared" si="106"/>
        <v>42593</v>
      </c>
      <c r="F558" s="8">
        <f t="shared" si="107"/>
        <v>0.53402777777955635</v>
      </c>
      <c r="G558" t="s">
        <v>7</v>
      </c>
      <c r="H558" s="7">
        <f t="shared" si="96"/>
        <v>2.2916666668606922E-2</v>
      </c>
      <c r="I558" s="13">
        <f t="shared" si="97"/>
        <v>0.55000000000000004</v>
      </c>
      <c r="J558" t="s">
        <v>396</v>
      </c>
      <c r="K558" t="s">
        <v>472</v>
      </c>
      <c r="L558">
        <v>11.3</v>
      </c>
      <c r="M558" s="5">
        <f t="shared" si="98"/>
        <v>20.545454545454547</v>
      </c>
      <c r="N558" t="s">
        <v>11</v>
      </c>
      <c r="O558" t="str">
        <f t="shared" si="99"/>
        <v>Meeting</v>
      </c>
    </row>
    <row r="559" spans="1:15" x14ac:dyDescent="0.3">
      <c r="A559" s="1">
        <v>42624.76458333333</v>
      </c>
      <c r="B559" s="6">
        <f t="shared" si="104"/>
        <v>42624</v>
      </c>
      <c r="C559" s="7">
        <f t="shared" si="105"/>
        <v>0.76458333332993789</v>
      </c>
      <c r="D559" s="1">
        <v>42624.774305555555</v>
      </c>
      <c r="E559" s="6">
        <f t="shared" si="106"/>
        <v>42624</v>
      </c>
      <c r="F559" s="8">
        <f t="shared" si="107"/>
        <v>0.77430555555474712</v>
      </c>
      <c r="G559" t="s">
        <v>7</v>
      </c>
      <c r="H559" s="7">
        <f t="shared" si="96"/>
        <v>9.7222222248092294E-3</v>
      </c>
      <c r="I559" s="13">
        <f t="shared" si="97"/>
        <v>0.23333333333333334</v>
      </c>
      <c r="J559" t="s">
        <v>1189</v>
      </c>
      <c r="K559" t="s">
        <v>1190</v>
      </c>
      <c r="L559">
        <v>5.5</v>
      </c>
      <c r="M559" s="5">
        <f t="shared" si="98"/>
        <v>23.571428571428569</v>
      </c>
      <c r="N559" t="s">
        <v>11</v>
      </c>
      <c r="O559" t="str">
        <f t="shared" si="99"/>
        <v>Meeting</v>
      </c>
    </row>
    <row r="560" spans="1:15" x14ac:dyDescent="0.3">
      <c r="A560" s="1">
        <v>42654.645833333336</v>
      </c>
      <c r="B560" s="6">
        <f t="shared" si="104"/>
        <v>42654</v>
      </c>
      <c r="C560" s="7">
        <f t="shared" si="105"/>
        <v>0.64583333333575865</v>
      </c>
      <c r="D560" s="1">
        <v>42654.661805555559</v>
      </c>
      <c r="E560" s="6">
        <f t="shared" si="106"/>
        <v>42654</v>
      </c>
      <c r="F560" s="8">
        <f t="shared" si="107"/>
        <v>0.66180555555911269</v>
      </c>
      <c r="G560" t="s">
        <v>7</v>
      </c>
      <c r="H560" s="7">
        <f t="shared" si="96"/>
        <v>1.5972222223354038E-2</v>
      </c>
      <c r="I560" s="13">
        <f t="shared" si="97"/>
        <v>0.38333333333333336</v>
      </c>
      <c r="J560" t="s">
        <v>468</v>
      </c>
      <c r="K560" t="s">
        <v>472</v>
      </c>
      <c r="L560">
        <v>6</v>
      </c>
      <c r="M560" s="5">
        <f t="shared" si="98"/>
        <v>15.652173913043477</v>
      </c>
      <c r="N560" t="s">
        <v>11</v>
      </c>
      <c r="O560" t="str">
        <f t="shared" si="99"/>
        <v>Meeting</v>
      </c>
    </row>
    <row r="561" spans="1:15" x14ac:dyDescent="0.3">
      <c r="A561" s="1">
        <v>42715.598611111112</v>
      </c>
      <c r="B561" s="6">
        <f t="shared" si="104"/>
        <v>42715</v>
      </c>
      <c r="C561" s="7">
        <f t="shared" si="105"/>
        <v>0.59861111111240461</v>
      </c>
      <c r="D561" s="1">
        <v>42715.620138888888</v>
      </c>
      <c r="E561" s="6">
        <f t="shared" si="106"/>
        <v>42715</v>
      </c>
      <c r="F561" s="8">
        <f t="shared" si="107"/>
        <v>0.62013888888759539</v>
      </c>
      <c r="G561" t="s">
        <v>7</v>
      </c>
      <c r="H561" s="7">
        <f t="shared" si="96"/>
        <v>2.1527777775190771E-2</v>
      </c>
      <c r="I561" s="13">
        <f t="shared" si="97"/>
        <v>0.51666666666666672</v>
      </c>
      <c r="J561" t="s">
        <v>1072</v>
      </c>
      <c r="K561" t="s">
        <v>1193</v>
      </c>
      <c r="L561">
        <v>5.9</v>
      </c>
      <c r="M561" s="5">
        <f t="shared" si="98"/>
        <v>11.419354838709676</v>
      </c>
      <c r="N561" t="s">
        <v>11</v>
      </c>
      <c r="O561" t="str">
        <f t="shared" si="99"/>
        <v>Meeting</v>
      </c>
    </row>
    <row r="562" spans="1:15" x14ac:dyDescent="0.3">
      <c r="A562" t="s">
        <v>1203</v>
      </c>
      <c r="B562" s="2">
        <v>42687</v>
      </c>
      <c r="C562" s="7">
        <v>0.51527777777777783</v>
      </c>
      <c r="D562" t="s">
        <v>1204</v>
      </c>
      <c r="E562" s="2">
        <v>42687</v>
      </c>
      <c r="F562" s="8">
        <v>0.53541666666666665</v>
      </c>
      <c r="G562" t="s">
        <v>7</v>
      </c>
      <c r="H562" s="7">
        <f t="shared" si="96"/>
        <v>2.0138888888888817E-2</v>
      </c>
      <c r="I562" s="13">
        <f t="shared" si="97"/>
        <v>0.48333333333333334</v>
      </c>
      <c r="J562" t="s">
        <v>1072</v>
      </c>
      <c r="K562" t="s">
        <v>1076</v>
      </c>
      <c r="L562">
        <v>4</v>
      </c>
      <c r="M562" s="5">
        <f t="shared" si="98"/>
        <v>8.2758620689655178</v>
      </c>
      <c r="N562" t="s">
        <v>11</v>
      </c>
      <c r="O562" t="str">
        <f t="shared" si="99"/>
        <v>Meeting</v>
      </c>
    </row>
    <row r="563" spans="1:15" x14ac:dyDescent="0.3">
      <c r="A563" t="s">
        <v>1242</v>
      </c>
      <c r="B563" s="2">
        <v>42692</v>
      </c>
      <c r="C563" s="7">
        <v>0.91388888888888886</v>
      </c>
      <c r="D563" t="s">
        <v>1243</v>
      </c>
      <c r="E563" s="2">
        <v>42692</v>
      </c>
      <c r="F563" s="8">
        <v>0.93125000000000002</v>
      </c>
      <c r="G563" t="s">
        <v>7</v>
      </c>
      <c r="H563" s="7">
        <f t="shared" si="96"/>
        <v>1.736111111111116E-2</v>
      </c>
      <c r="I563" s="13">
        <f t="shared" si="97"/>
        <v>0.41666666666666669</v>
      </c>
      <c r="J563" t="s">
        <v>1244</v>
      </c>
      <c r="K563" t="s">
        <v>38</v>
      </c>
      <c r="L563">
        <v>6.1</v>
      </c>
      <c r="M563" s="5">
        <f t="shared" si="98"/>
        <v>14.639999999999999</v>
      </c>
      <c r="N563" t="s">
        <v>11</v>
      </c>
      <c r="O563" t="str">
        <f t="shared" si="99"/>
        <v>Meeting</v>
      </c>
    </row>
    <row r="564" spans="1:15" x14ac:dyDescent="0.3">
      <c r="A564" t="s">
        <v>1245</v>
      </c>
      <c r="B564" s="2">
        <v>42693</v>
      </c>
      <c r="C564" s="7">
        <v>0.57708333333333328</v>
      </c>
      <c r="D564" t="s">
        <v>1246</v>
      </c>
      <c r="E564" s="2">
        <v>42693</v>
      </c>
      <c r="F564" s="8">
        <v>0.59027777777777779</v>
      </c>
      <c r="G564" t="s">
        <v>7</v>
      </c>
      <c r="H564" s="7">
        <f t="shared" si="96"/>
        <v>1.3194444444444509E-2</v>
      </c>
      <c r="I564" s="13">
        <f t="shared" si="97"/>
        <v>0.31666666666666665</v>
      </c>
      <c r="J564" t="s">
        <v>15</v>
      </c>
      <c r="K564" t="s">
        <v>36</v>
      </c>
      <c r="L564">
        <v>10.3</v>
      </c>
      <c r="M564" s="5">
        <f t="shared" si="98"/>
        <v>32.526315789473685</v>
      </c>
      <c r="N564" t="s">
        <v>11</v>
      </c>
      <c r="O564" t="str">
        <f t="shared" si="99"/>
        <v>Meeting</v>
      </c>
    </row>
    <row r="565" spans="1:15" x14ac:dyDescent="0.3">
      <c r="A565" t="s">
        <v>1247</v>
      </c>
      <c r="B565" s="2">
        <v>42693</v>
      </c>
      <c r="C565" s="7">
        <v>0.60416666666666663</v>
      </c>
      <c r="D565" t="s">
        <v>1248</v>
      </c>
      <c r="E565" s="2">
        <v>42693</v>
      </c>
      <c r="F565" s="8">
        <v>0.61875000000000002</v>
      </c>
      <c r="G565" t="s">
        <v>7</v>
      </c>
      <c r="H565" s="7">
        <f t="shared" si="96"/>
        <v>1.4583333333333393E-2</v>
      </c>
      <c r="I565" s="13">
        <f t="shared" si="97"/>
        <v>0.35</v>
      </c>
      <c r="J565" t="s">
        <v>36</v>
      </c>
      <c r="K565" t="s">
        <v>15</v>
      </c>
      <c r="L565">
        <v>10.5</v>
      </c>
      <c r="M565" s="5">
        <f t="shared" si="98"/>
        <v>30.000000000000004</v>
      </c>
      <c r="N565" t="s">
        <v>11</v>
      </c>
      <c r="O565" t="str">
        <f t="shared" si="99"/>
        <v>Meeting</v>
      </c>
    </row>
    <row r="566" spans="1:15" x14ac:dyDescent="0.3">
      <c r="A566" t="s">
        <v>1261</v>
      </c>
      <c r="B566" s="2">
        <v>42694</v>
      </c>
      <c r="C566" s="7">
        <v>0.62361111111111112</v>
      </c>
      <c r="D566" t="s">
        <v>1262</v>
      </c>
      <c r="E566" s="2">
        <v>42694</v>
      </c>
      <c r="F566" s="8">
        <v>0.62986111111111109</v>
      </c>
      <c r="G566" t="s">
        <v>7</v>
      </c>
      <c r="H566" s="7">
        <f t="shared" si="96"/>
        <v>6.2499999999999778E-3</v>
      </c>
      <c r="I566" s="13">
        <f t="shared" si="97"/>
        <v>0.15</v>
      </c>
      <c r="J566" t="s">
        <v>15</v>
      </c>
      <c r="K566" t="s">
        <v>15</v>
      </c>
      <c r="L566">
        <v>2.7</v>
      </c>
      <c r="M566" s="5">
        <f t="shared" si="98"/>
        <v>18.000000000000004</v>
      </c>
      <c r="N566" t="s">
        <v>11</v>
      </c>
      <c r="O566" t="str">
        <f t="shared" si="99"/>
        <v>Meeting</v>
      </c>
    </row>
    <row r="567" spans="1:15" x14ac:dyDescent="0.3">
      <c r="A567" t="s">
        <v>1275</v>
      </c>
      <c r="B567" s="2">
        <v>42696</v>
      </c>
      <c r="C567" s="7">
        <v>0.6333333333333333</v>
      </c>
      <c r="D567" t="s">
        <v>1276</v>
      </c>
      <c r="E567" s="2">
        <v>42696</v>
      </c>
      <c r="F567" s="8">
        <v>0.64374999999999993</v>
      </c>
      <c r="G567" t="s">
        <v>7</v>
      </c>
      <c r="H567" s="7">
        <f t="shared" si="96"/>
        <v>1.041666666666663E-2</v>
      </c>
      <c r="I567" s="13">
        <f t="shared" si="97"/>
        <v>0.25</v>
      </c>
      <c r="J567" t="s">
        <v>15</v>
      </c>
      <c r="K567" t="s">
        <v>15</v>
      </c>
      <c r="L567">
        <v>5.5</v>
      </c>
      <c r="M567" s="5">
        <f t="shared" si="98"/>
        <v>22</v>
      </c>
      <c r="N567" t="s">
        <v>11</v>
      </c>
      <c r="O567" t="str">
        <f t="shared" si="99"/>
        <v>Meeting</v>
      </c>
    </row>
    <row r="568" spans="1:15" x14ac:dyDescent="0.3">
      <c r="A568" t="s">
        <v>1277</v>
      </c>
      <c r="B568" s="2">
        <v>42696</v>
      </c>
      <c r="C568" s="7">
        <v>0.64652777777777781</v>
      </c>
      <c r="D568" t="s">
        <v>1278</v>
      </c>
      <c r="E568" s="2">
        <v>42696</v>
      </c>
      <c r="F568" s="8">
        <v>0.65555555555555556</v>
      </c>
      <c r="G568" t="s">
        <v>7</v>
      </c>
      <c r="H568" s="7">
        <f t="shared" si="96"/>
        <v>9.0277777777777457E-3</v>
      </c>
      <c r="I568" s="13">
        <f t="shared" si="97"/>
        <v>0.21666666666666667</v>
      </c>
      <c r="J568" t="s">
        <v>15</v>
      </c>
      <c r="K568" t="s">
        <v>15</v>
      </c>
      <c r="L568">
        <v>4.0999999999999996</v>
      </c>
      <c r="M568" s="5">
        <f t="shared" si="98"/>
        <v>18.92307692307692</v>
      </c>
      <c r="N568" t="s">
        <v>11</v>
      </c>
      <c r="O568" t="str">
        <f t="shared" si="99"/>
        <v>Meeting</v>
      </c>
    </row>
    <row r="569" spans="1:15" x14ac:dyDescent="0.3">
      <c r="A569" t="s">
        <v>1293</v>
      </c>
      <c r="B569" s="2">
        <v>42699</v>
      </c>
      <c r="C569" s="7">
        <v>0.4909722222222222</v>
      </c>
      <c r="D569" t="s">
        <v>1294</v>
      </c>
      <c r="E569" s="2">
        <v>42699</v>
      </c>
      <c r="F569" s="8">
        <v>0.50277777777777777</v>
      </c>
      <c r="G569" t="s">
        <v>7</v>
      </c>
      <c r="H569" s="7">
        <f t="shared" si="96"/>
        <v>1.1805555555555569E-2</v>
      </c>
      <c r="I569" s="13">
        <f t="shared" si="97"/>
        <v>0.28333333333333333</v>
      </c>
      <c r="J569" t="s">
        <v>15</v>
      </c>
      <c r="K569" t="s">
        <v>36</v>
      </c>
      <c r="L569">
        <v>10.3</v>
      </c>
      <c r="M569" s="5">
        <f t="shared" si="98"/>
        <v>36.352941176470594</v>
      </c>
      <c r="N569" t="s">
        <v>11</v>
      </c>
      <c r="O569" t="str">
        <f t="shared" si="99"/>
        <v>Meeting</v>
      </c>
    </row>
    <row r="570" spans="1:15" x14ac:dyDescent="0.3">
      <c r="A570" t="s">
        <v>1295</v>
      </c>
      <c r="B570" s="2">
        <v>42699</v>
      </c>
      <c r="C570" s="7">
        <v>0.55069444444444449</v>
      </c>
      <c r="D570" t="s">
        <v>1296</v>
      </c>
      <c r="E570" s="2">
        <v>42699</v>
      </c>
      <c r="F570" s="8">
        <v>0.56319444444444444</v>
      </c>
      <c r="G570" t="s">
        <v>7</v>
      </c>
      <c r="H570" s="7">
        <f t="shared" si="96"/>
        <v>1.2499999999999956E-2</v>
      </c>
      <c r="I570" s="13">
        <f t="shared" si="97"/>
        <v>0.3</v>
      </c>
      <c r="J570" t="s">
        <v>36</v>
      </c>
      <c r="K570" t="s">
        <v>15</v>
      </c>
      <c r="L570">
        <v>11.1</v>
      </c>
      <c r="M570" s="5">
        <f t="shared" si="98"/>
        <v>37</v>
      </c>
      <c r="N570" t="s">
        <v>11</v>
      </c>
      <c r="O570" t="str">
        <f t="shared" si="99"/>
        <v>Meeting</v>
      </c>
    </row>
    <row r="571" spans="1:15" x14ac:dyDescent="0.3">
      <c r="A571" t="s">
        <v>1299</v>
      </c>
      <c r="B571" s="2">
        <v>42700</v>
      </c>
      <c r="C571" s="7">
        <v>0.70833333333333337</v>
      </c>
      <c r="D571" t="s">
        <v>1300</v>
      </c>
      <c r="E571" s="2">
        <v>42700</v>
      </c>
      <c r="F571" s="8">
        <v>0.71666666666666667</v>
      </c>
      <c r="G571" t="s">
        <v>7</v>
      </c>
      <c r="H571" s="7">
        <f t="shared" si="96"/>
        <v>8.3333333333333037E-3</v>
      </c>
      <c r="I571" s="13">
        <f t="shared" si="97"/>
        <v>0.2</v>
      </c>
      <c r="J571" t="s">
        <v>15</v>
      </c>
      <c r="K571" t="s">
        <v>48</v>
      </c>
      <c r="L571">
        <v>5.0999999999999996</v>
      </c>
      <c r="M571" s="5">
        <f t="shared" si="98"/>
        <v>25.499999999999996</v>
      </c>
      <c r="N571" t="s">
        <v>11</v>
      </c>
      <c r="O571" t="str">
        <f t="shared" si="99"/>
        <v>Meeting</v>
      </c>
    </row>
    <row r="572" spans="1:15" x14ac:dyDescent="0.3">
      <c r="A572" t="s">
        <v>1301</v>
      </c>
      <c r="B572" s="2">
        <v>42700</v>
      </c>
      <c r="C572" s="7">
        <v>0.73333333333333339</v>
      </c>
      <c r="D572" t="s">
        <v>1302</v>
      </c>
      <c r="E572" s="2">
        <v>42700</v>
      </c>
      <c r="F572" s="8">
        <v>0.74722222222222223</v>
      </c>
      <c r="G572" t="s">
        <v>7</v>
      </c>
      <c r="H572" s="7">
        <f t="shared" si="96"/>
        <v>1.388888888888884E-2</v>
      </c>
      <c r="I572" s="13">
        <f t="shared" si="97"/>
        <v>0.33333333333333331</v>
      </c>
      <c r="J572" t="s">
        <v>48</v>
      </c>
      <c r="K572" t="s">
        <v>329</v>
      </c>
      <c r="L572">
        <v>9</v>
      </c>
      <c r="M572" s="5">
        <f t="shared" si="98"/>
        <v>27</v>
      </c>
      <c r="N572" t="s">
        <v>11</v>
      </c>
      <c r="O572" t="str">
        <f t="shared" si="99"/>
        <v>Meeting</v>
      </c>
    </row>
    <row r="573" spans="1:15" x14ac:dyDescent="0.3">
      <c r="A573" s="1">
        <v>42381.322222222225</v>
      </c>
      <c r="B573" s="6">
        <f t="shared" ref="B573:B578" si="108">INT(A573:A612)</f>
        <v>42381</v>
      </c>
      <c r="C573" s="7">
        <f t="shared" ref="C573:C578" si="109">(A573-B573)</f>
        <v>0.32222222222480923</v>
      </c>
      <c r="D573" s="1">
        <v>42381.332638888889</v>
      </c>
      <c r="E573" s="6">
        <f t="shared" ref="E573:E578" si="110">INT(D573)</f>
        <v>42381</v>
      </c>
      <c r="F573" s="8">
        <f t="shared" ref="F573:F578" si="111">D573-E573</f>
        <v>0.33263888888905058</v>
      </c>
      <c r="G573" t="s">
        <v>7</v>
      </c>
      <c r="H573" s="7">
        <f t="shared" si="96"/>
        <v>1.0416666664241347E-2</v>
      </c>
      <c r="I573" s="13">
        <f t="shared" si="97"/>
        <v>0.25</v>
      </c>
      <c r="J573" t="s">
        <v>15</v>
      </c>
      <c r="K573" t="s">
        <v>15</v>
      </c>
      <c r="L573">
        <v>5.5</v>
      </c>
      <c r="M573" s="5">
        <f t="shared" si="98"/>
        <v>22</v>
      </c>
      <c r="N573" t="s">
        <v>11</v>
      </c>
      <c r="O573" t="str">
        <f t="shared" si="99"/>
        <v>Meeting</v>
      </c>
    </row>
    <row r="574" spans="1:15" x14ac:dyDescent="0.3">
      <c r="A574" s="1">
        <v>42563.502083333333</v>
      </c>
      <c r="B574" s="6">
        <f t="shared" si="108"/>
        <v>42563</v>
      </c>
      <c r="C574" s="7">
        <f t="shared" si="109"/>
        <v>0.50208333333284827</v>
      </c>
      <c r="D574" s="1">
        <v>42563.522222222222</v>
      </c>
      <c r="E574" s="6">
        <f t="shared" si="110"/>
        <v>42563</v>
      </c>
      <c r="F574" s="8">
        <f t="shared" si="111"/>
        <v>0.52222222222189885</v>
      </c>
      <c r="G574" t="s">
        <v>7</v>
      </c>
      <c r="H574" s="7">
        <f t="shared" si="96"/>
        <v>2.0138888889050577E-2</v>
      </c>
      <c r="I574" s="13">
        <f t="shared" si="97"/>
        <v>0.48333333333333334</v>
      </c>
      <c r="J574" t="s">
        <v>15</v>
      </c>
      <c r="K574" t="s">
        <v>15</v>
      </c>
      <c r="L574">
        <v>6.6</v>
      </c>
      <c r="M574" s="5">
        <f t="shared" si="98"/>
        <v>13.655172413793103</v>
      </c>
      <c r="N574" t="s">
        <v>11</v>
      </c>
      <c r="O574" t="str">
        <f t="shared" si="99"/>
        <v>Meeting</v>
      </c>
    </row>
    <row r="575" spans="1:15" x14ac:dyDescent="0.3">
      <c r="A575" s="1">
        <v>42563.524305555555</v>
      </c>
      <c r="B575" s="6">
        <f t="shared" si="108"/>
        <v>42563</v>
      </c>
      <c r="C575" s="7">
        <f t="shared" si="109"/>
        <v>0.52430555555474712</v>
      </c>
      <c r="D575" s="1">
        <v>42563.531944444447</v>
      </c>
      <c r="E575" s="6">
        <f t="shared" si="110"/>
        <v>42563</v>
      </c>
      <c r="F575" s="8">
        <f t="shared" si="111"/>
        <v>0.53194444444670808</v>
      </c>
      <c r="G575" t="s">
        <v>7</v>
      </c>
      <c r="H575" s="7">
        <f t="shared" si="96"/>
        <v>7.6388888919609599E-3</v>
      </c>
      <c r="I575" s="13">
        <f t="shared" si="97"/>
        <v>0.18333333333333332</v>
      </c>
      <c r="J575" t="s">
        <v>15</v>
      </c>
      <c r="K575" t="s">
        <v>15</v>
      </c>
      <c r="L575">
        <v>4</v>
      </c>
      <c r="M575" s="5">
        <f t="shared" si="98"/>
        <v>21.81818181818182</v>
      </c>
      <c r="N575" t="s">
        <v>11</v>
      </c>
      <c r="O575" t="str">
        <f t="shared" si="99"/>
        <v>Meeting</v>
      </c>
    </row>
    <row r="576" spans="1:15" x14ac:dyDescent="0.3">
      <c r="A576" s="1">
        <v>42594.806944444441</v>
      </c>
      <c r="B576" s="6">
        <f t="shared" si="108"/>
        <v>42594</v>
      </c>
      <c r="C576" s="7">
        <f t="shared" si="109"/>
        <v>0.80694444444088731</v>
      </c>
      <c r="D576" s="1">
        <v>42594.810416666667</v>
      </c>
      <c r="E576" s="6">
        <f t="shared" si="110"/>
        <v>42594</v>
      </c>
      <c r="F576" s="8">
        <f t="shared" si="111"/>
        <v>0.81041666666715173</v>
      </c>
      <c r="G576" t="s">
        <v>7</v>
      </c>
      <c r="H576" s="7">
        <f t="shared" si="96"/>
        <v>3.4722222262644209E-3</v>
      </c>
      <c r="I576" s="13">
        <f t="shared" si="97"/>
        <v>8.3333333333333329E-2</v>
      </c>
      <c r="J576" t="s">
        <v>15</v>
      </c>
      <c r="K576" t="s">
        <v>15</v>
      </c>
      <c r="L576">
        <v>2</v>
      </c>
      <c r="M576" s="5">
        <f t="shared" si="98"/>
        <v>24</v>
      </c>
      <c r="N576" t="s">
        <v>11</v>
      </c>
      <c r="O576" t="str">
        <f t="shared" si="99"/>
        <v>Meeting</v>
      </c>
    </row>
    <row r="577" spans="1:15" x14ac:dyDescent="0.3">
      <c r="A577" s="1">
        <v>42625.84097222222</v>
      </c>
      <c r="B577" s="6">
        <f t="shared" si="108"/>
        <v>42625</v>
      </c>
      <c r="C577" s="7">
        <f t="shared" si="109"/>
        <v>0.84097222222044365</v>
      </c>
      <c r="D577" s="1">
        <v>42625.856944444444</v>
      </c>
      <c r="E577" s="6">
        <f t="shared" si="110"/>
        <v>42625</v>
      </c>
      <c r="F577" s="8">
        <f t="shared" si="111"/>
        <v>0.85694444444379769</v>
      </c>
      <c r="G577" t="s">
        <v>7</v>
      </c>
      <c r="H577" s="7">
        <f t="shared" si="96"/>
        <v>1.5972222223354038E-2</v>
      </c>
      <c r="I577" s="13">
        <f t="shared" si="97"/>
        <v>0.38333333333333336</v>
      </c>
      <c r="J577" t="s">
        <v>15</v>
      </c>
      <c r="K577" t="s">
        <v>15</v>
      </c>
      <c r="L577">
        <v>5.6</v>
      </c>
      <c r="M577" s="5">
        <f t="shared" si="98"/>
        <v>14.60869565217391</v>
      </c>
      <c r="N577" t="s">
        <v>11</v>
      </c>
      <c r="O577" t="str">
        <f t="shared" si="99"/>
        <v>Meeting</v>
      </c>
    </row>
    <row r="578" spans="1:15" x14ac:dyDescent="0.3">
      <c r="A578" s="1">
        <v>42655.529861111114</v>
      </c>
      <c r="B578" s="6">
        <f t="shared" si="108"/>
        <v>42655</v>
      </c>
      <c r="C578" s="7">
        <f t="shared" si="109"/>
        <v>0.52986111111385981</v>
      </c>
      <c r="D578" s="1">
        <v>42655.552777777775</v>
      </c>
      <c r="E578" s="6">
        <f t="shared" si="110"/>
        <v>42655</v>
      </c>
      <c r="F578" s="8">
        <f t="shared" si="111"/>
        <v>0.55277777777519077</v>
      </c>
      <c r="G578" t="s">
        <v>7</v>
      </c>
      <c r="H578" s="7">
        <f t="shared" ref="H578:H641" si="112">IF(F578&gt;C578,F578-C578,F578-C578+1)</f>
        <v>2.2916666661330964E-2</v>
      </c>
      <c r="I578" s="13">
        <f t="shared" ref="I578:I641" si="113">(HOUR(H578)*60+MINUTE(H578))/60</f>
        <v>0.55000000000000004</v>
      </c>
      <c r="J578" t="s">
        <v>15</v>
      </c>
      <c r="K578" t="s">
        <v>1318</v>
      </c>
      <c r="L578">
        <v>15.6</v>
      </c>
      <c r="M578" s="5">
        <f t="shared" ref="M578:M641" si="114">L578/I578</f>
        <v>28.36363636363636</v>
      </c>
      <c r="N578" t="s">
        <v>11</v>
      </c>
      <c r="O578" t="str">
        <f t="shared" ref="O578:O641" si="115">IF(ISBLANK($N578),"No Purpose",$N578)</f>
        <v>Meeting</v>
      </c>
    </row>
    <row r="579" spans="1:15" x14ac:dyDescent="0.3">
      <c r="A579" t="s">
        <v>1331</v>
      </c>
      <c r="B579" s="2">
        <v>42719</v>
      </c>
      <c r="C579" s="7">
        <v>0.59722222222222221</v>
      </c>
      <c r="D579" t="s">
        <v>1332</v>
      </c>
      <c r="E579" s="2">
        <v>42719</v>
      </c>
      <c r="F579" s="8">
        <v>0.62083333333333335</v>
      </c>
      <c r="G579" t="s">
        <v>7</v>
      </c>
      <c r="H579" s="7">
        <f t="shared" si="112"/>
        <v>2.3611111111111138E-2</v>
      </c>
      <c r="I579" s="13">
        <f t="shared" si="113"/>
        <v>0.56666666666666665</v>
      </c>
      <c r="J579" t="s">
        <v>15</v>
      </c>
      <c r="K579" t="s">
        <v>16</v>
      </c>
      <c r="L579">
        <v>10.6</v>
      </c>
      <c r="M579" s="5">
        <f t="shared" si="114"/>
        <v>18.705882352941178</v>
      </c>
      <c r="N579" t="s">
        <v>11</v>
      </c>
      <c r="O579" t="str">
        <f t="shared" si="115"/>
        <v>Meeting</v>
      </c>
    </row>
    <row r="580" spans="1:15" x14ac:dyDescent="0.3">
      <c r="A580" t="s">
        <v>1364</v>
      </c>
      <c r="B580" s="2">
        <v>42723</v>
      </c>
      <c r="C580" s="7">
        <v>0.82986111111111116</v>
      </c>
      <c r="D580" t="s">
        <v>1365</v>
      </c>
      <c r="E580" s="2">
        <v>42723</v>
      </c>
      <c r="F580" s="8">
        <v>0.85416666666666663</v>
      </c>
      <c r="G580" t="s">
        <v>7</v>
      </c>
      <c r="H580" s="7">
        <f t="shared" si="112"/>
        <v>2.4305555555555469E-2</v>
      </c>
      <c r="I580" s="13">
        <f t="shared" si="113"/>
        <v>0.58333333333333337</v>
      </c>
      <c r="J580" t="s">
        <v>72</v>
      </c>
      <c r="K580" t="s">
        <v>72</v>
      </c>
      <c r="L580">
        <v>11</v>
      </c>
      <c r="M580" s="5">
        <f t="shared" si="114"/>
        <v>18.857142857142858</v>
      </c>
      <c r="N580" t="s">
        <v>11</v>
      </c>
      <c r="O580" t="str">
        <f t="shared" si="115"/>
        <v>Meeting</v>
      </c>
    </row>
    <row r="581" spans="1:15" x14ac:dyDescent="0.3">
      <c r="A581" t="s">
        <v>1370</v>
      </c>
      <c r="B581" s="2">
        <v>42724</v>
      </c>
      <c r="C581" s="7">
        <v>0.47916666666666669</v>
      </c>
      <c r="D581" t="s">
        <v>1371</v>
      </c>
      <c r="E581" s="2">
        <v>42724</v>
      </c>
      <c r="F581" s="8">
        <v>0.51180555555555551</v>
      </c>
      <c r="G581" t="s">
        <v>7</v>
      </c>
      <c r="H581" s="7">
        <f t="shared" si="112"/>
        <v>3.2638888888888828E-2</v>
      </c>
      <c r="I581" s="13">
        <f t="shared" si="113"/>
        <v>0.78333333333333333</v>
      </c>
      <c r="J581" t="s">
        <v>1347</v>
      </c>
      <c r="K581" t="s">
        <v>72</v>
      </c>
      <c r="L581">
        <v>19.399999999999999</v>
      </c>
      <c r="M581" s="5">
        <f t="shared" si="114"/>
        <v>24.76595744680851</v>
      </c>
      <c r="N581" t="s">
        <v>11</v>
      </c>
      <c r="O581" t="str">
        <f t="shared" si="115"/>
        <v>Meeting</v>
      </c>
    </row>
    <row r="582" spans="1:15" x14ac:dyDescent="0.3">
      <c r="A582" t="s">
        <v>1382</v>
      </c>
      <c r="B582" s="2">
        <v>42725</v>
      </c>
      <c r="C582" s="7">
        <v>0.32083333333333336</v>
      </c>
      <c r="D582" t="s">
        <v>1383</v>
      </c>
      <c r="E582" s="2">
        <v>42725</v>
      </c>
      <c r="F582" s="8">
        <v>0.34027777777777773</v>
      </c>
      <c r="G582" t="s">
        <v>7</v>
      </c>
      <c r="H582" s="7">
        <f t="shared" si="112"/>
        <v>1.9444444444444375E-2</v>
      </c>
      <c r="I582" s="13">
        <f t="shared" si="113"/>
        <v>0.46666666666666667</v>
      </c>
      <c r="J582" t="s">
        <v>72</v>
      </c>
      <c r="K582" t="s">
        <v>72</v>
      </c>
      <c r="L582">
        <v>11.5</v>
      </c>
      <c r="M582" s="5">
        <f t="shared" si="114"/>
        <v>24.642857142857142</v>
      </c>
      <c r="N582" t="s">
        <v>11</v>
      </c>
      <c r="O582" t="str">
        <f t="shared" si="115"/>
        <v>Meeting</v>
      </c>
    </row>
    <row r="583" spans="1:15" x14ac:dyDescent="0.3">
      <c r="A583" t="s">
        <v>1388</v>
      </c>
      <c r="B583" s="2">
        <v>42725</v>
      </c>
      <c r="C583" s="7">
        <v>0.53541666666666665</v>
      </c>
      <c r="D583" t="s">
        <v>1389</v>
      </c>
      <c r="E583" s="2">
        <v>42725</v>
      </c>
      <c r="F583" s="8">
        <v>0.56458333333333333</v>
      </c>
      <c r="G583" t="s">
        <v>7</v>
      </c>
      <c r="H583" s="7">
        <f t="shared" si="112"/>
        <v>2.9166666666666674E-2</v>
      </c>
      <c r="I583" s="13">
        <f t="shared" si="113"/>
        <v>0.7</v>
      </c>
      <c r="J583" t="s">
        <v>72</v>
      </c>
      <c r="K583" t="s">
        <v>72</v>
      </c>
      <c r="L583">
        <v>16.2</v>
      </c>
      <c r="M583" s="5">
        <f t="shared" si="114"/>
        <v>23.142857142857142</v>
      </c>
      <c r="N583" t="s">
        <v>11</v>
      </c>
      <c r="O583" t="str">
        <f t="shared" si="115"/>
        <v>Meeting</v>
      </c>
    </row>
    <row r="584" spans="1:15" x14ac:dyDescent="0.3">
      <c r="A584" t="s">
        <v>1394</v>
      </c>
      <c r="B584" s="2">
        <v>42725</v>
      </c>
      <c r="C584" s="7">
        <v>0.73958333333333337</v>
      </c>
      <c r="D584" t="s">
        <v>1395</v>
      </c>
      <c r="E584" s="2">
        <v>42725</v>
      </c>
      <c r="F584" s="8">
        <v>0.74583333333333324</v>
      </c>
      <c r="G584" t="s">
        <v>7</v>
      </c>
      <c r="H584" s="7">
        <f t="shared" si="112"/>
        <v>6.2499999999998668E-3</v>
      </c>
      <c r="I584" s="13">
        <f t="shared" si="113"/>
        <v>0.15</v>
      </c>
      <c r="J584" t="s">
        <v>88</v>
      </c>
      <c r="K584" t="s">
        <v>88</v>
      </c>
      <c r="L584">
        <v>2.1</v>
      </c>
      <c r="M584" s="5">
        <f t="shared" si="114"/>
        <v>14.000000000000002</v>
      </c>
      <c r="N584" t="s">
        <v>11</v>
      </c>
      <c r="O584" t="str">
        <f t="shared" si="115"/>
        <v>Meeting</v>
      </c>
    </row>
    <row r="585" spans="1:15" x14ac:dyDescent="0.3">
      <c r="A585" t="s">
        <v>1398</v>
      </c>
      <c r="B585" s="2">
        <v>42725</v>
      </c>
      <c r="C585" s="7">
        <v>0.8256944444444444</v>
      </c>
      <c r="D585" t="s">
        <v>1399</v>
      </c>
      <c r="E585" s="2">
        <v>42725</v>
      </c>
      <c r="F585" s="8">
        <v>0.85763888888888884</v>
      </c>
      <c r="G585" t="s">
        <v>7</v>
      </c>
      <c r="H585" s="7">
        <f t="shared" si="112"/>
        <v>3.1944444444444442E-2</v>
      </c>
      <c r="I585" s="13">
        <f t="shared" si="113"/>
        <v>0.76666666666666672</v>
      </c>
      <c r="J585" t="s">
        <v>72</v>
      </c>
      <c r="K585" t="s">
        <v>1347</v>
      </c>
      <c r="L585">
        <v>12</v>
      </c>
      <c r="M585" s="5">
        <f t="shared" si="114"/>
        <v>15.652173913043477</v>
      </c>
      <c r="N585" t="s">
        <v>11</v>
      </c>
      <c r="O585" t="str">
        <f t="shared" si="115"/>
        <v>Meeting</v>
      </c>
    </row>
    <row r="586" spans="1:15" x14ac:dyDescent="0.3">
      <c r="A586" t="s">
        <v>1400</v>
      </c>
      <c r="B586" s="2">
        <v>42725</v>
      </c>
      <c r="C586" s="7">
        <v>0.87222222222222223</v>
      </c>
      <c r="D586" t="s">
        <v>1401</v>
      </c>
      <c r="E586" s="2">
        <v>42725</v>
      </c>
      <c r="F586" s="8">
        <v>0.98749999999999993</v>
      </c>
      <c r="G586" t="s">
        <v>7</v>
      </c>
      <c r="H586" s="7">
        <f t="shared" si="112"/>
        <v>0.1152777777777777</v>
      </c>
      <c r="I586" s="13">
        <f t="shared" si="113"/>
        <v>2.7666666666666666</v>
      </c>
      <c r="J586" t="s">
        <v>1347</v>
      </c>
      <c r="K586" t="s">
        <v>72</v>
      </c>
      <c r="L586">
        <v>103</v>
      </c>
      <c r="M586" s="5">
        <f t="shared" si="114"/>
        <v>37.2289156626506</v>
      </c>
      <c r="N586" t="s">
        <v>11</v>
      </c>
      <c r="O586" t="str">
        <f t="shared" si="115"/>
        <v>Meeting</v>
      </c>
    </row>
    <row r="587" spans="1:15" x14ac:dyDescent="0.3">
      <c r="A587" t="s">
        <v>1402</v>
      </c>
      <c r="B587" s="2">
        <v>42726</v>
      </c>
      <c r="C587" s="7">
        <v>0.65277777777777779</v>
      </c>
      <c r="D587" t="s">
        <v>1403</v>
      </c>
      <c r="E587" s="2">
        <v>42726</v>
      </c>
      <c r="F587" s="8">
        <v>0.69305555555555554</v>
      </c>
      <c r="G587" t="s">
        <v>7</v>
      </c>
      <c r="H587" s="7">
        <f t="shared" si="112"/>
        <v>4.0277777777777746E-2</v>
      </c>
      <c r="I587" s="13">
        <f t="shared" si="113"/>
        <v>0.96666666666666667</v>
      </c>
      <c r="J587" t="s">
        <v>72</v>
      </c>
      <c r="K587" t="s">
        <v>72</v>
      </c>
      <c r="L587">
        <v>32.299999999999997</v>
      </c>
      <c r="M587" s="5">
        <f t="shared" si="114"/>
        <v>33.41379310344827</v>
      </c>
      <c r="N587" t="s">
        <v>11</v>
      </c>
      <c r="O587" t="str">
        <f t="shared" si="115"/>
        <v>Meeting</v>
      </c>
    </row>
    <row r="588" spans="1:15" x14ac:dyDescent="0.3">
      <c r="A588" t="s">
        <v>1406</v>
      </c>
      <c r="B588" s="2">
        <v>42726</v>
      </c>
      <c r="C588" s="7">
        <v>0.7270833333333333</v>
      </c>
      <c r="D588" t="s">
        <v>1407</v>
      </c>
      <c r="E588" s="2">
        <v>42726</v>
      </c>
      <c r="F588" s="8">
        <v>0.74513888888888891</v>
      </c>
      <c r="G588" t="s">
        <v>7</v>
      </c>
      <c r="H588" s="7">
        <f t="shared" si="112"/>
        <v>1.8055555555555602E-2</v>
      </c>
      <c r="I588" s="13">
        <f t="shared" si="113"/>
        <v>0.43333333333333335</v>
      </c>
      <c r="J588" t="s">
        <v>72</v>
      </c>
      <c r="K588" t="s">
        <v>72</v>
      </c>
      <c r="L588">
        <v>11.6</v>
      </c>
      <c r="M588" s="5">
        <f t="shared" si="114"/>
        <v>26.769230769230766</v>
      </c>
      <c r="N588" t="s">
        <v>11</v>
      </c>
      <c r="O588" t="str">
        <f t="shared" si="115"/>
        <v>Meeting</v>
      </c>
    </row>
    <row r="589" spans="1:15" x14ac:dyDescent="0.3">
      <c r="A589" t="s">
        <v>1408</v>
      </c>
      <c r="B589" s="2">
        <v>42726</v>
      </c>
      <c r="C589" s="7">
        <v>0.74722222222222223</v>
      </c>
      <c r="D589" t="s">
        <v>1409</v>
      </c>
      <c r="E589" s="2">
        <v>42726</v>
      </c>
      <c r="F589" s="8">
        <v>0.77013888888888893</v>
      </c>
      <c r="G589" t="s">
        <v>7</v>
      </c>
      <c r="H589" s="7">
        <f t="shared" si="112"/>
        <v>2.2916666666666696E-2</v>
      </c>
      <c r="I589" s="13">
        <f t="shared" si="113"/>
        <v>0.55000000000000004</v>
      </c>
      <c r="J589" t="s">
        <v>72</v>
      </c>
      <c r="K589" t="s">
        <v>72</v>
      </c>
      <c r="L589">
        <v>23.2</v>
      </c>
      <c r="M589" s="5">
        <f t="shared" si="114"/>
        <v>42.18181818181818</v>
      </c>
      <c r="N589" t="s">
        <v>11</v>
      </c>
      <c r="O589" t="str">
        <f t="shared" si="115"/>
        <v>Meeting</v>
      </c>
    </row>
    <row r="590" spans="1:15" x14ac:dyDescent="0.3">
      <c r="A590" t="s">
        <v>1414</v>
      </c>
      <c r="B590" s="2">
        <v>42726</v>
      </c>
      <c r="C590" s="7">
        <v>0.7944444444444444</v>
      </c>
      <c r="D590" t="s">
        <v>1415</v>
      </c>
      <c r="E590" s="2">
        <v>42726</v>
      </c>
      <c r="F590" s="8">
        <v>0.82638888888888884</v>
      </c>
      <c r="G590" t="s">
        <v>7</v>
      </c>
      <c r="H590" s="7">
        <f t="shared" si="112"/>
        <v>3.1944444444444442E-2</v>
      </c>
      <c r="I590" s="13">
        <f t="shared" si="113"/>
        <v>0.76666666666666672</v>
      </c>
      <c r="J590" t="s">
        <v>72</v>
      </c>
      <c r="K590" t="s">
        <v>894</v>
      </c>
      <c r="L590">
        <v>14</v>
      </c>
      <c r="M590" s="5">
        <f t="shared" si="114"/>
        <v>18.260869565217391</v>
      </c>
      <c r="N590" t="s">
        <v>11</v>
      </c>
      <c r="O590" t="str">
        <f t="shared" si="115"/>
        <v>Meeting</v>
      </c>
    </row>
    <row r="591" spans="1:15" x14ac:dyDescent="0.3">
      <c r="A591" t="s">
        <v>1420</v>
      </c>
      <c r="B591" s="2">
        <v>42727</v>
      </c>
      <c r="C591" s="7">
        <v>0.38958333333333334</v>
      </c>
      <c r="D591" t="s">
        <v>1421</v>
      </c>
      <c r="E591" s="2">
        <v>42727</v>
      </c>
      <c r="F591" s="8">
        <v>0.40347222222222223</v>
      </c>
      <c r="G591" t="s">
        <v>7</v>
      </c>
      <c r="H591" s="7">
        <f t="shared" si="112"/>
        <v>1.3888888888888895E-2</v>
      </c>
      <c r="I591" s="13">
        <f t="shared" si="113"/>
        <v>0.33333333333333331</v>
      </c>
      <c r="J591" t="s">
        <v>894</v>
      </c>
      <c r="K591" t="s">
        <v>894</v>
      </c>
      <c r="L591">
        <v>3</v>
      </c>
      <c r="M591" s="5">
        <f t="shared" si="114"/>
        <v>9</v>
      </c>
      <c r="N591" t="s">
        <v>11</v>
      </c>
      <c r="O591" t="str">
        <f t="shared" si="115"/>
        <v>Meeting</v>
      </c>
    </row>
    <row r="592" spans="1:15" x14ac:dyDescent="0.3">
      <c r="A592" t="s">
        <v>1422</v>
      </c>
      <c r="B592" s="2">
        <v>42727</v>
      </c>
      <c r="C592" s="7">
        <v>0.48125000000000001</v>
      </c>
      <c r="D592" t="s">
        <v>1423</v>
      </c>
      <c r="E592" s="2">
        <v>42727</v>
      </c>
      <c r="F592" s="8">
        <v>0.49861111111111112</v>
      </c>
      <c r="G592" t="s">
        <v>7</v>
      </c>
      <c r="H592" s="7">
        <f t="shared" si="112"/>
        <v>1.7361111111111105E-2</v>
      </c>
      <c r="I592" s="13">
        <f t="shared" si="113"/>
        <v>0.41666666666666669</v>
      </c>
      <c r="J592" t="s">
        <v>894</v>
      </c>
      <c r="K592" t="s">
        <v>72</v>
      </c>
      <c r="L592">
        <v>6.2</v>
      </c>
      <c r="M592" s="5">
        <f t="shared" si="114"/>
        <v>14.879999999999999</v>
      </c>
      <c r="N592" t="s">
        <v>11</v>
      </c>
      <c r="O592" t="str">
        <f t="shared" si="115"/>
        <v>Meeting</v>
      </c>
    </row>
    <row r="593" spans="1:15" x14ac:dyDescent="0.3">
      <c r="A593" t="s">
        <v>1424</v>
      </c>
      <c r="B593" s="2">
        <v>42727</v>
      </c>
      <c r="C593" s="7">
        <v>0.59375</v>
      </c>
      <c r="D593" t="s">
        <v>1425</v>
      </c>
      <c r="E593" s="2">
        <v>42727</v>
      </c>
      <c r="F593" s="8">
        <v>0.64236111111111105</v>
      </c>
      <c r="G593" t="s">
        <v>7</v>
      </c>
      <c r="H593" s="7">
        <f t="shared" si="112"/>
        <v>4.8611111111111049E-2</v>
      </c>
      <c r="I593" s="13">
        <f t="shared" si="113"/>
        <v>1.1666666666666667</v>
      </c>
      <c r="J593" t="s">
        <v>72</v>
      </c>
      <c r="K593" t="s">
        <v>72</v>
      </c>
      <c r="L593">
        <v>9.6</v>
      </c>
      <c r="M593" s="5">
        <f t="shared" si="114"/>
        <v>8.2285714285714278</v>
      </c>
      <c r="N593" t="s">
        <v>11</v>
      </c>
      <c r="O593" t="str">
        <f t="shared" si="115"/>
        <v>Meeting</v>
      </c>
    </row>
    <row r="594" spans="1:15" x14ac:dyDescent="0.3">
      <c r="A594" t="s">
        <v>1460</v>
      </c>
      <c r="B594" s="2">
        <v>42730</v>
      </c>
      <c r="C594" s="7">
        <v>0.54791666666666672</v>
      </c>
      <c r="D594" t="s">
        <v>1461</v>
      </c>
      <c r="E594" s="2">
        <v>42730</v>
      </c>
      <c r="F594" s="8">
        <v>0.57152777777777775</v>
      </c>
      <c r="G594" t="s">
        <v>7</v>
      </c>
      <c r="H594" s="7">
        <f t="shared" si="112"/>
        <v>2.3611111111111027E-2</v>
      </c>
      <c r="I594" s="13">
        <f t="shared" si="113"/>
        <v>0.56666666666666665</v>
      </c>
      <c r="J594" t="s">
        <v>894</v>
      </c>
      <c r="K594" t="s">
        <v>72</v>
      </c>
      <c r="L594">
        <v>7.9</v>
      </c>
      <c r="M594" s="5">
        <f t="shared" si="114"/>
        <v>13.941176470588236</v>
      </c>
      <c r="N594" t="s">
        <v>11</v>
      </c>
      <c r="O594" t="str">
        <f t="shared" si="115"/>
        <v>Meeting</v>
      </c>
    </row>
    <row r="595" spans="1:15" x14ac:dyDescent="0.3">
      <c r="A595" t="s">
        <v>1471</v>
      </c>
      <c r="B595" s="2">
        <v>42731</v>
      </c>
      <c r="C595" s="7">
        <v>0.69027777777777777</v>
      </c>
      <c r="D595" t="s">
        <v>1472</v>
      </c>
      <c r="E595" s="2">
        <v>42731</v>
      </c>
      <c r="F595" s="8">
        <v>0.70694444444444438</v>
      </c>
      <c r="G595" t="s">
        <v>7</v>
      </c>
      <c r="H595" s="7">
        <f t="shared" si="112"/>
        <v>1.6666666666666607E-2</v>
      </c>
      <c r="I595" s="13">
        <f t="shared" si="113"/>
        <v>0.4</v>
      </c>
      <c r="J595" t="s">
        <v>72</v>
      </c>
      <c r="K595" t="s">
        <v>1464</v>
      </c>
      <c r="L595">
        <v>7.9</v>
      </c>
      <c r="M595" s="5">
        <f t="shared" si="114"/>
        <v>19.75</v>
      </c>
      <c r="N595" t="s">
        <v>11</v>
      </c>
      <c r="O595" t="str">
        <f t="shared" si="115"/>
        <v>Meeting</v>
      </c>
    </row>
    <row r="596" spans="1:15" x14ac:dyDescent="0.3">
      <c r="A596" t="s">
        <v>1509</v>
      </c>
      <c r="B596" s="2">
        <v>42733</v>
      </c>
      <c r="C596" s="7">
        <v>0.84375</v>
      </c>
      <c r="D596" t="s">
        <v>1510</v>
      </c>
      <c r="E596" s="2">
        <v>42733</v>
      </c>
      <c r="F596" s="8">
        <v>0.86458333333333337</v>
      </c>
      <c r="G596" t="s">
        <v>7</v>
      </c>
      <c r="H596" s="7">
        <f t="shared" si="112"/>
        <v>2.083333333333337E-2</v>
      </c>
      <c r="I596" s="13">
        <f t="shared" si="113"/>
        <v>0.5</v>
      </c>
      <c r="J596" t="s">
        <v>1464</v>
      </c>
      <c r="K596" t="s">
        <v>1464</v>
      </c>
      <c r="L596">
        <v>7.2</v>
      </c>
      <c r="M596" s="5">
        <f t="shared" si="114"/>
        <v>14.4</v>
      </c>
      <c r="N596" t="s">
        <v>11</v>
      </c>
      <c r="O596" t="str">
        <f t="shared" si="115"/>
        <v>Meeting</v>
      </c>
    </row>
    <row r="597" spans="1:15" x14ac:dyDescent="0.3">
      <c r="A597" t="s">
        <v>1513</v>
      </c>
      <c r="B597" s="2">
        <v>42733</v>
      </c>
      <c r="C597" s="7">
        <v>0.96805555555555556</v>
      </c>
      <c r="D597" t="s">
        <v>1514</v>
      </c>
      <c r="E597" s="2">
        <v>42733</v>
      </c>
      <c r="F597" s="8">
        <v>0.99097222222222225</v>
      </c>
      <c r="G597" t="s">
        <v>7</v>
      </c>
      <c r="H597" s="7">
        <f t="shared" si="112"/>
        <v>2.2916666666666696E-2</v>
      </c>
      <c r="I597" s="13">
        <f t="shared" si="113"/>
        <v>0.55000000000000004</v>
      </c>
      <c r="J597" t="s">
        <v>72</v>
      </c>
      <c r="K597" t="s">
        <v>1464</v>
      </c>
      <c r="L597">
        <v>12.9</v>
      </c>
      <c r="M597" s="5">
        <f t="shared" si="114"/>
        <v>23.454545454545453</v>
      </c>
      <c r="N597" t="s">
        <v>11</v>
      </c>
      <c r="O597" t="str">
        <f t="shared" si="115"/>
        <v>Meeting</v>
      </c>
    </row>
    <row r="598" spans="1:15" x14ac:dyDescent="0.3">
      <c r="A598" t="s">
        <v>1521</v>
      </c>
      <c r="B598" s="2">
        <v>42734</v>
      </c>
      <c r="C598" s="7">
        <v>0.69791666666666663</v>
      </c>
      <c r="D598" t="s">
        <v>1522</v>
      </c>
      <c r="E598" s="2">
        <v>42734</v>
      </c>
      <c r="F598" s="8">
        <v>0.71388888888888891</v>
      </c>
      <c r="G598" t="s">
        <v>7</v>
      </c>
      <c r="H598" s="7">
        <f t="shared" si="112"/>
        <v>1.5972222222222276E-2</v>
      </c>
      <c r="I598" s="13">
        <f t="shared" si="113"/>
        <v>0.38333333333333336</v>
      </c>
      <c r="J598" t="s">
        <v>1464</v>
      </c>
      <c r="K598" t="s">
        <v>1464</v>
      </c>
      <c r="L598">
        <v>4.5999999999999996</v>
      </c>
      <c r="M598" s="5">
        <f t="shared" si="114"/>
        <v>11.999999999999998</v>
      </c>
      <c r="N598" t="s">
        <v>11</v>
      </c>
      <c r="O598" t="str">
        <f t="shared" si="115"/>
        <v>Meeting</v>
      </c>
    </row>
    <row r="599" spans="1:15" x14ac:dyDescent="0.3">
      <c r="A599" t="s">
        <v>1525</v>
      </c>
      <c r="B599" s="2">
        <v>42735</v>
      </c>
      <c r="C599" s="7">
        <v>4.6527777777777779E-2</v>
      </c>
      <c r="D599" t="s">
        <v>1526</v>
      </c>
      <c r="E599" s="2">
        <v>42735</v>
      </c>
      <c r="F599" s="8">
        <v>5.1388888888888894E-2</v>
      </c>
      <c r="G599" t="s">
        <v>7</v>
      </c>
      <c r="H599" s="7">
        <f t="shared" si="112"/>
        <v>4.8611111111111147E-3</v>
      </c>
      <c r="I599" s="13">
        <f t="shared" si="113"/>
        <v>0.11666666666666667</v>
      </c>
      <c r="J599" t="s">
        <v>1464</v>
      </c>
      <c r="K599" t="s">
        <v>1464</v>
      </c>
      <c r="L599">
        <v>0.7</v>
      </c>
      <c r="M599" s="5">
        <f t="shared" si="114"/>
        <v>5.9999999999999991</v>
      </c>
      <c r="N599" t="s">
        <v>11</v>
      </c>
      <c r="O599" t="str">
        <f t="shared" si="115"/>
        <v>Meeting</v>
      </c>
    </row>
    <row r="600" spans="1:15" x14ac:dyDescent="0.3">
      <c r="A600" t="s">
        <v>1529</v>
      </c>
      <c r="B600" s="2">
        <v>42735</v>
      </c>
      <c r="C600" s="7">
        <v>0.62708333333333333</v>
      </c>
      <c r="D600" t="s">
        <v>1530</v>
      </c>
      <c r="E600" s="2">
        <v>42735</v>
      </c>
      <c r="F600" s="8">
        <v>0.65138888888888891</v>
      </c>
      <c r="G600" t="s">
        <v>7</v>
      </c>
      <c r="H600" s="7">
        <f t="shared" si="112"/>
        <v>2.430555555555558E-2</v>
      </c>
      <c r="I600" s="13">
        <f t="shared" si="113"/>
        <v>0.58333333333333337</v>
      </c>
      <c r="J600" t="s">
        <v>72</v>
      </c>
      <c r="K600" t="s">
        <v>72</v>
      </c>
      <c r="L600">
        <v>16.2</v>
      </c>
      <c r="M600" s="5">
        <f t="shared" si="114"/>
        <v>27.771428571428569</v>
      </c>
      <c r="N600" t="s">
        <v>11</v>
      </c>
      <c r="O600" t="str">
        <f t="shared" si="115"/>
        <v>Meeting</v>
      </c>
    </row>
    <row r="601" spans="1:15" x14ac:dyDescent="0.3">
      <c r="A601" t="s">
        <v>662</v>
      </c>
      <c r="B601" s="2">
        <v>42569</v>
      </c>
      <c r="C601" s="7">
        <v>0.44236111111111115</v>
      </c>
      <c r="D601" t="s">
        <v>663</v>
      </c>
      <c r="E601" s="2">
        <v>42569</v>
      </c>
      <c r="F601" s="8">
        <v>0.45069444444444445</v>
      </c>
      <c r="G601" t="s">
        <v>55</v>
      </c>
      <c r="H601" s="7">
        <f t="shared" si="112"/>
        <v>8.3333333333333037E-3</v>
      </c>
      <c r="I601" s="13">
        <f t="shared" si="113"/>
        <v>0.2</v>
      </c>
      <c r="J601" t="s">
        <v>15</v>
      </c>
      <c r="K601" t="s">
        <v>16</v>
      </c>
      <c r="L601">
        <v>4.0999999999999996</v>
      </c>
      <c r="M601" s="5">
        <f t="shared" si="114"/>
        <v>20.499999999999996</v>
      </c>
      <c r="N601" t="s">
        <v>664</v>
      </c>
      <c r="O601" t="str">
        <f t="shared" si="115"/>
        <v>Moving</v>
      </c>
    </row>
    <row r="602" spans="1:15" x14ac:dyDescent="0.3">
      <c r="A602" t="s">
        <v>665</v>
      </c>
      <c r="B602" s="2">
        <v>42569</v>
      </c>
      <c r="C602" s="7">
        <v>0.45416666666666666</v>
      </c>
      <c r="D602" t="s">
        <v>666</v>
      </c>
      <c r="E602" s="2">
        <v>42569</v>
      </c>
      <c r="F602" s="8">
        <v>0.46875</v>
      </c>
      <c r="G602" t="s">
        <v>55</v>
      </c>
      <c r="H602" s="7">
        <f t="shared" si="112"/>
        <v>1.4583333333333337E-2</v>
      </c>
      <c r="I602" s="13">
        <f t="shared" si="113"/>
        <v>0.35</v>
      </c>
      <c r="J602" t="s">
        <v>16</v>
      </c>
      <c r="K602" t="s">
        <v>15</v>
      </c>
      <c r="L602">
        <v>6.1</v>
      </c>
      <c r="M602" s="5">
        <f t="shared" si="114"/>
        <v>17.428571428571427</v>
      </c>
      <c r="N602" t="s">
        <v>664</v>
      </c>
      <c r="O602" t="str">
        <f t="shared" si="115"/>
        <v>Moving</v>
      </c>
    </row>
    <row r="603" spans="1:15" x14ac:dyDescent="0.3">
      <c r="A603" t="s">
        <v>667</v>
      </c>
      <c r="B603" s="2">
        <v>42569</v>
      </c>
      <c r="C603" s="7">
        <v>0.47569444444444442</v>
      </c>
      <c r="D603" t="s">
        <v>668</v>
      </c>
      <c r="E603" s="2">
        <v>42569</v>
      </c>
      <c r="F603" s="8">
        <v>0.48333333333333334</v>
      </c>
      <c r="G603" t="s">
        <v>55</v>
      </c>
      <c r="H603" s="7">
        <f t="shared" si="112"/>
        <v>7.6388888888889173E-3</v>
      </c>
      <c r="I603" s="13">
        <f t="shared" si="113"/>
        <v>0.18333333333333332</v>
      </c>
      <c r="J603" t="s">
        <v>50</v>
      </c>
      <c r="K603" t="s">
        <v>57</v>
      </c>
      <c r="L603">
        <v>3.3</v>
      </c>
      <c r="M603" s="5">
        <f t="shared" si="114"/>
        <v>18</v>
      </c>
      <c r="N603" t="s">
        <v>664</v>
      </c>
      <c r="O603" t="str">
        <f t="shared" si="115"/>
        <v>Moving</v>
      </c>
    </row>
    <row r="604" spans="1:15" x14ac:dyDescent="0.3">
      <c r="A604" t="s">
        <v>669</v>
      </c>
      <c r="B604" s="2">
        <v>42569</v>
      </c>
      <c r="C604" s="7">
        <v>0.4861111111111111</v>
      </c>
      <c r="D604" t="s">
        <v>670</v>
      </c>
      <c r="E604" s="2">
        <v>42569</v>
      </c>
      <c r="F604" s="8">
        <v>0.49722222222222223</v>
      </c>
      <c r="G604" t="s">
        <v>55</v>
      </c>
      <c r="H604" s="7">
        <f t="shared" si="112"/>
        <v>1.1111111111111127E-2</v>
      </c>
      <c r="I604" s="13">
        <f t="shared" si="113"/>
        <v>0.26666666666666666</v>
      </c>
      <c r="J604" t="s">
        <v>57</v>
      </c>
      <c r="K604" t="s">
        <v>38</v>
      </c>
      <c r="L604">
        <v>4.7</v>
      </c>
      <c r="M604" s="5">
        <f t="shared" si="114"/>
        <v>17.625</v>
      </c>
      <c r="N604" t="s">
        <v>664</v>
      </c>
      <c r="O604" t="str">
        <f t="shared" si="115"/>
        <v>Moving</v>
      </c>
    </row>
    <row r="605" spans="1:15" x14ac:dyDescent="0.3">
      <c r="A605" s="1">
        <v>42401.059027777781</v>
      </c>
      <c r="B605" s="6">
        <f>INT(A605)</f>
        <v>42401</v>
      </c>
      <c r="C605" s="7">
        <f>(A605-B605)</f>
        <v>5.9027777781011537E-2</v>
      </c>
      <c r="D605" s="1">
        <v>42401.067361111112</v>
      </c>
      <c r="E605" s="6">
        <f>INT(D605)</f>
        <v>42401</v>
      </c>
      <c r="F605" s="8">
        <f>D605-E605</f>
        <v>6.7361111112404615E-2</v>
      </c>
      <c r="G605" t="s">
        <v>7</v>
      </c>
      <c r="H605" s="7">
        <f t="shared" si="112"/>
        <v>8.333333331393078E-3</v>
      </c>
      <c r="I605" s="13">
        <f t="shared" si="113"/>
        <v>0.2</v>
      </c>
      <c r="J605" t="s">
        <v>8</v>
      </c>
      <c r="K605" t="s">
        <v>8</v>
      </c>
      <c r="L605">
        <v>5</v>
      </c>
      <c r="M605" s="5">
        <f t="shared" si="114"/>
        <v>25</v>
      </c>
      <c r="O605" t="str">
        <f t="shared" si="115"/>
        <v>No Purpose</v>
      </c>
    </row>
    <row r="606" spans="1:15" x14ac:dyDescent="0.3">
      <c r="B606" s="2">
        <v>42388</v>
      </c>
      <c r="C606" s="7">
        <v>0.38125000000000003</v>
      </c>
      <c r="E606" s="2">
        <v>42388</v>
      </c>
      <c r="F606" s="8">
        <v>0.39097222222222222</v>
      </c>
      <c r="G606" t="s">
        <v>7</v>
      </c>
      <c r="H606" s="7">
        <f t="shared" si="112"/>
        <v>9.7222222222221877E-3</v>
      </c>
      <c r="I606" s="13">
        <f t="shared" si="113"/>
        <v>0.23333333333333334</v>
      </c>
      <c r="J606" t="s">
        <v>38</v>
      </c>
      <c r="K606" t="s">
        <v>39</v>
      </c>
      <c r="L606">
        <v>7.2</v>
      </c>
      <c r="M606" s="5">
        <f t="shared" si="114"/>
        <v>30.857142857142858</v>
      </c>
      <c r="O606" t="str">
        <f t="shared" si="115"/>
        <v>No Purpose</v>
      </c>
    </row>
    <row r="607" spans="1:15" x14ac:dyDescent="0.3">
      <c r="A607" s="1">
        <v>42615.45416666667</v>
      </c>
      <c r="B607" s="6">
        <f>INT(A607:A644)</f>
        <v>42615</v>
      </c>
      <c r="C607" s="7">
        <f>(A607-B607)</f>
        <v>0.45416666667006211</v>
      </c>
      <c r="D607" s="1">
        <v>42615.463194444441</v>
      </c>
      <c r="E607" s="6">
        <f>INT(D607:D644)</f>
        <v>42615</v>
      </c>
      <c r="F607" s="8">
        <f>(D607-E607)</f>
        <v>0.46319444444088731</v>
      </c>
      <c r="G607" t="s">
        <v>55</v>
      </c>
      <c r="H607" s="7">
        <f t="shared" si="112"/>
        <v>9.0277777708251961E-3</v>
      </c>
      <c r="I607" s="13">
        <f t="shared" si="113"/>
        <v>0.21666666666666667</v>
      </c>
      <c r="J607" t="s">
        <v>38</v>
      </c>
      <c r="K607" t="s">
        <v>50</v>
      </c>
      <c r="L607">
        <v>5.3</v>
      </c>
      <c r="M607" s="5">
        <f t="shared" si="114"/>
        <v>24.46153846153846</v>
      </c>
      <c r="O607" t="str">
        <f t="shared" si="115"/>
        <v>No Purpose</v>
      </c>
    </row>
    <row r="608" spans="1:15" x14ac:dyDescent="0.3">
      <c r="A608" s="1">
        <v>42615.488194444442</v>
      </c>
      <c r="B608" s="6">
        <f>INT(A608:A645)</f>
        <v>42615</v>
      </c>
      <c r="C608" s="7">
        <f>(A608-B608)</f>
        <v>0.4881944444423425</v>
      </c>
      <c r="D608" s="1">
        <v>42615.493055555555</v>
      </c>
      <c r="E608" s="6">
        <f>INT(D608:D645)</f>
        <v>42615</v>
      </c>
      <c r="F608" s="8">
        <f>(D608-E608)</f>
        <v>0.49305555555474712</v>
      </c>
      <c r="G608" t="s">
        <v>55</v>
      </c>
      <c r="H608" s="7">
        <f t="shared" si="112"/>
        <v>4.8611111124046147E-3</v>
      </c>
      <c r="I608" s="13">
        <f t="shared" si="113"/>
        <v>0.11666666666666667</v>
      </c>
      <c r="J608" t="s">
        <v>50</v>
      </c>
      <c r="K608" t="s">
        <v>56</v>
      </c>
      <c r="L608">
        <v>3</v>
      </c>
      <c r="M608" s="5">
        <f t="shared" si="114"/>
        <v>25.714285714285715</v>
      </c>
      <c r="O608" t="str">
        <f t="shared" si="115"/>
        <v>No Purpose</v>
      </c>
    </row>
    <row r="609" spans="1:15" x14ac:dyDescent="0.3">
      <c r="A609" s="1">
        <v>42615.566666666666</v>
      </c>
      <c r="B609" s="6">
        <f>INT(A609:A646)</f>
        <v>42615</v>
      </c>
      <c r="C609" s="7">
        <f>(A609-B609)</f>
        <v>0.56666666666569654</v>
      </c>
      <c r="D609" s="1">
        <v>42615.577777777777</v>
      </c>
      <c r="E609" s="6">
        <f>INT(D609:D646)</f>
        <v>42615</v>
      </c>
      <c r="F609" s="8">
        <f>(D609-E609)</f>
        <v>0.57777777777664596</v>
      </c>
      <c r="G609" t="s">
        <v>55</v>
      </c>
      <c r="H609" s="7">
        <f t="shared" si="112"/>
        <v>1.1111111110949423E-2</v>
      </c>
      <c r="I609" s="13">
        <f t="shared" si="113"/>
        <v>0.26666666666666666</v>
      </c>
      <c r="J609" t="s">
        <v>56</v>
      </c>
      <c r="K609" t="s">
        <v>57</v>
      </c>
      <c r="L609">
        <v>5.0999999999999996</v>
      </c>
      <c r="M609" s="5">
        <f t="shared" si="114"/>
        <v>19.125</v>
      </c>
      <c r="O609" t="str">
        <f t="shared" si="115"/>
        <v>No Purpose</v>
      </c>
    </row>
    <row r="610" spans="1:15" x14ac:dyDescent="0.3">
      <c r="A610" s="1">
        <v>42615.581944444442</v>
      </c>
      <c r="B610" s="6">
        <f>INT(A610:A647)</f>
        <v>42615</v>
      </c>
      <c r="C610" s="7">
        <f>(A610-B610)</f>
        <v>0.5819444444423425</v>
      </c>
      <c r="D610" s="1">
        <v>42615.584722222222</v>
      </c>
      <c r="E610" s="6">
        <f>INT(D610:D647)</f>
        <v>42615</v>
      </c>
      <c r="F610" s="8">
        <f>(D610-E610)</f>
        <v>0.58472222222189885</v>
      </c>
      <c r="G610" t="s">
        <v>55</v>
      </c>
      <c r="H610" s="7">
        <f t="shared" si="112"/>
        <v>2.7777777795563452E-3</v>
      </c>
      <c r="I610" s="13">
        <f t="shared" si="113"/>
        <v>6.6666666666666666E-2</v>
      </c>
      <c r="J610" t="s">
        <v>57</v>
      </c>
      <c r="K610" t="s">
        <v>38</v>
      </c>
      <c r="L610">
        <v>1.5</v>
      </c>
      <c r="M610" s="5">
        <f t="shared" si="114"/>
        <v>22.5</v>
      </c>
      <c r="O610" t="str">
        <f t="shared" si="115"/>
        <v>No Purpose</v>
      </c>
    </row>
    <row r="611" spans="1:15" x14ac:dyDescent="0.3">
      <c r="A611" s="1">
        <v>42615.788194444445</v>
      </c>
      <c r="B611" s="6">
        <f>INT(A611:A648)</f>
        <v>42615</v>
      </c>
      <c r="C611" s="7">
        <f>(A611-B611)</f>
        <v>0.78819444444525288</v>
      </c>
      <c r="D611" s="1">
        <v>42615.799305555556</v>
      </c>
      <c r="E611" s="6">
        <f>INT(D611:D648)</f>
        <v>42615</v>
      </c>
      <c r="F611" s="8">
        <f>(D611-E611)</f>
        <v>0.79930555555620231</v>
      </c>
      <c r="G611" t="s">
        <v>7</v>
      </c>
      <c r="H611" s="7">
        <f t="shared" si="112"/>
        <v>1.1111111110949423E-2</v>
      </c>
      <c r="I611" s="13">
        <f t="shared" si="113"/>
        <v>0.26666666666666666</v>
      </c>
      <c r="J611" t="s">
        <v>15</v>
      </c>
      <c r="K611" t="s">
        <v>16</v>
      </c>
      <c r="L611">
        <v>6.1</v>
      </c>
      <c r="M611" s="5">
        <f t="shared" si="114"/>
        <v>22.875</v>
      </c>
      <c r="O611" t="str">
        <f t="shared" si="115"/>
        <v>No Purpose</v>
      </c>
    </row>
    <row r="612" spans="1:15" x14ac:dyDescent="0.3">
      <c r="A612" t="s">
        <v>1543</v>
      </c>
      <c r="B612" s="2">
        <v>42414</v>
      </c>
      <c r="C612" s="7">
        <v>3.4722222222222224E-2</v>
      </c>
      <c r="D612" t="s">
        <v>63</v>
      </c>
      <c r="E612" s="2">
        <v>42414</v>
      </c>
      <c r="F612" s="8">
        <v>4.1666666666666664E-2</v>
      </c>
      <c r="G612" t="s">
        <v>55</v>
      </c>
      <c r="H612" s="7">
        <f t="shared" si="112"/>
        <v>6.9444444444444406E-3</v>
      </c>
      <c r="I612" s="13">
        <f t="shared" si="113"/>
        <v>0.16666666666666666</v>
      </c>
      <c r="J612" t="s">
        <v>62</v>
      </c>
      <c r="K612" t="s">
        <v>61</v>
      </c>
      <c r="L612">
        <v>1.8</v>
      </c>
      <c r="M612" s="5">
        <f t="shared" si="114"/>
        <v>10.8</v>
      </c>
      <c r="O612" t="str">
        <f t="shared" si="115"/>
        <v>No Purpose</v>
      </c>
    </row>
    <row r="613" spans="1:15" x14ac:dyDescent="0.3">
      <c r="A613" t="s">
        <v>1549</v>
      </c>
      <c r="B613" s="2">
        <v>42416</v>
      </c>
      <c r="C613" s="7">
        <v>0.35347222222222219</v>
      </c>
      <c r="D613" t="s">
        <v>73</v>
      </c>
      <c r="E613" s="2">
        <v>42416</v>
      </c>
      <c r="F613" s="8">
        <v>0.39861111111111108</v>
      </c>
      <c r="G613" t="s">
        <v>7</v>
      </c>
      <c r="H613" s="7">
        <f t="shared" si="112"/>
        <v>4.5138888888888895E-2</v>
      </c>
      <c r="I613" s="13">
        <f t="shared" si="113"/>
        <v>1.0833333333333333</v>
      </c>
      <c r="J613" t="s">
        <v>72</v>
      </c>
      <c r="K613" t="s">
        <v>74</v>
      </c>
      <c r="L613">
        <v>14.1</v>
      </c>
      <c r="M613" s="5">
        <f t="shared" si="114"/>
        <v>13.015384615384615</v>
      </c>
      <c r="O613" t="str">
        <f t="shared" si="115"/>
        <v>No Purpose</v>
      </c>
    </row>
    <row r="614" spans="1:15" x14ac:dyDescent="0.3">
      <c r="B614" s="2">
        <v>42416</v>
      </c>
      <c r="C614" s="7">
        <v>0.48055555555555557</v>
      </c>
      <c r="D614" t="s">
        <v>75</v>
      </c>
      <c r="E614" s="2">
        <v>42416</v>
      </c>
      <c r="F614" s="8">
        <v>0.50138888888888888</v>
      </c>
      <c r="G614" t="s">
        <v>7</v>
      </c>
      <c r="H614" s="7">
        <f t="shared" si="112"/>
        <v>2.0833333333333315E-2</v>
      </c>
      <c r="I614" s="13">
        <f t="shared" si="113"/>
        <v>0.5</v>
      </c>
      <c r="J614" t="s">
        <v>74</v>
      </c>
      <c r="K614" t="s">
        <v>74</v>
      </c>
      <c r="L614">
        <v>4.5</v>
      </c>
      <c r="M614" s="5">
        <f t="shared" si="114"/>
        <v>9</v>
      </c>
      <c r="O614" t="str">
        <f t="shared" si="115"/>
        <v>No Purpose</v>
      </c>
    </row>
    <row r="615" spans="1:15" x14ac:dyDescent="0.3">
      <c r="B615" s="2">
        <v>42416</v>
      </c>
      <c r="C615" s="7">
        <v>0.52708333333333335</v>
      </c>
      <c r="D615" t="s">
        <v>76</v>
      </c>
      <c r="E615" s="2">
        <v>42416</v>
      </c>
      <c r="F615" s="8">
        <v>0.52916666666666667</v>
      </c>
      <c r="G615" t="s">
        <v>7</v>
      </c>
      <c r="H615" s="7">
        <f t="shared" si="112"/>
        <v>2.0833333333333259E-3</v>
      </c>
      <c r="I615" s="13">
        <f t="shared" si="113"/>
        <v>0.05</v>
      </c>
      <c r="J615" t="s">
        <v>74</v>
      </c>
      <c r="K615" t="s">
        <v>74</v>
      </c>
      <c r="L615">
        <v>1.7</v>
      </c>
      <c r="M615" s="5">
        <f t="shared" si="114"/>
        <v>34</v>
      </c>
      <c r="O615" t="str">
        <f t="shared" si="115"/>
        <v>No Purpose</v>
      </c>
    </row>
    <row r="616" spans="1:15" x14ac:dyDescent="0.3">
      <c r="B616" s="2">
        <v>42416</v>
      </c>
      <c r="C616" s="7">
        <v>0.69027777777777777</v>
      </c>
      <c r="D616" t="s">
        <v>78</v>
      </c>
      <c r="E616" s="2">
        <v>42416</v>
      </c>
      <c r="F616" s="8">
        <v>0.71527777777777779</v>
      </c>
      <c r="G616" t="s">
        <v>7</v>
      </c>
      <c r="H616" s="7">
        <f t="shared" si="112"/>
        <v>2.5000000000000022E-2</v>
      </c>
      <c r="I616" s="13">
        <f t="shared" si="113"/>
        <v>0.6</v>
      </c>
      <c r="J616" t="s">
        <v>74</v>
      </c>
      <c r="K616" t="s">
        <v>74</v>
      </c>
      <c r="L616">
        <v>6</v>
      </c>
      <c r="M616" s="5">
        <f t="shared" si="114"/>
        <v>10</v>
      </c>
      <c r="O616" t="str">
        <f t="shared" si="115"/>
        <v>No Purpose</v>
      </c>
    </row>
    <row r="617" spans="1:15" x14ac:dyDescent="0.3">
      <c r="B617" s="2">
        <v>42419</v>
      </c>
      <c r="C617" s="7">
        <v>0.47222222222222227</v>
      </c>
      <c r="D617" t="s">
        <v>95</v>
      </c>
      <c r="E617" s="2">
        <v>42419</v>
      </c>
      <c r="F617" s="8">
        <v>0.47638888888888892</v>
      </c>
      <c r="G617" t="s">
        <v>55</v>
      </c>
      <c r="H617" s="7">
        <f t="shared" si="112"/>
        <v>4.1666666666666519E-3</v>
      </c>
      <c r="I617" s="13">
        <f t="shared" si="113"/>
        <v>0.1</v>
      </c>
      <c r="J617" t="s">
        <v>88</v>
      </c>
      <c r="K617" t="s">
        <v>88</v>
      </c>
      <c r="L617">
        <v>1.5</v>
      </c>
      <c r="M617" s="5">
        <f t="shared" si="114"/>
        <v>15</v>
      </c>
      <c r="O617" t="str">
        <f t="shared" si="115"/>
        <v>No Purpose</v>
      </c>
    </row>
    <row r="618" spans="1:15" x14ac:dyDescent="0.3">
      <c r="B618" s="2">
        <v>42419</v>
      </c>
      <c r="C618" s="7">
        <v>0.48958333333333331</v>
      </c>
      <c r="D618" t="s">
        <v>96</v>
      </c>
      <c r="E618" s="2">
        <v>42419</v>
      </c>
      <c r="F618" s="8">
        <v>0.49305555555555558</v>
      </c>
      <c r="G618" t="s">
        <v>55</v>
      </c>
      <c r="H618" s="7">
        <f t="shared" si="112"/>
        <v>3.4722222222222654E-3</v>
      </c>
      <c r="I618" s="13">
        <f t="shared" si="113"/>
        <v>8.3333333333333329E-2</v>
      </c>
      <c r="J618" t="s">
        <v>88</v>
      </c>
      <c r="K618" t="s">
        <v>88</v>
      </c>
      <c r="L618">
        <v>1</v>
      </c>
      <c r="M618" s="5">
        <f t="shared" si="114"/>
        <v>12</v>
      </c>
      <c r="O618" t="str">
        <f t="shared" si="115"/>
        <v>No Purpose</v>
      </c>
    </row>
    <row r="619" spans="1:15" x14ac:dyDescent="0.3">
      <c r="B619" s="2">
        <v>42419</v>
      </c>
      <c r="C619" s="7">
        <v>0.68472222222222223</v>
      </c>
      <c r="D619" t="s">
        <v>98</v>
      </c>
      <c r="E619" s="2">
        <v>42419</v>
      </c>
      <c r="F619" s="8">
        <v>0.69791666666666663</v>
      </c>
      <c r="G619" t="s">
        <v>7</v>
      </c>
      <c r="H619" s="7">
        <f t="shared" si="112"/>
        <v>1.3194444444444398E-2</v>
      </c>
      <c r="I619" s="13">
        <f t="shared" si="113"/>
        <v>0.31666666666666665</v>
      </c>
      <c r="J619" t="s">
        <v>72</v>
      </c>
      <c r="K619" t="s">
        <v>88</v>
      </c>
      <c r="L619">
        <v>3.5</v>
      </c>
      <c r="M619" s="5">
        <f t="shared" si="114"/>
        <v>11.052631578947368</v>
      </c>
      <c r="O619" t="str">
        <f t="shared" si="115"/>
        <v>No Purpose</v>
      </c>
    </row>
    <row r="620" spans="1:15" x14ac:dyDescent="0.3">
      <c r="B620" s="2">
        <v>42419</v>
      </c>
      <c r="C620" s="7">
        <v>0.71458333333333324</v>
      </c>
      <c r="D620" t="s">
        <v>99</v>
      </c>
      <c r="E620" s="2">
        <v>42419</v>
      </c>
      <c r="F620" s="8">
        <v>0.72222222222222221</v>
      </c>
      <c r="G620" t="s">
        <v>7</v>
      </c>
      <c r="H620" s="7">
        <f t="shared" si="112"/>
        <v>7.6388888888889728E-3</v>
      </c>
      <c r="I620" s="13">
        <f t="shared" si="113"/>
        <v>0.18333333333333332</v>
      </c>
      <c r="J620" t="s">
        <v>88</v>
      </c>
      <c r="K620" t="s">
        <v>88</v>
      </c>
      <c r="L620">
        <v>4.2</v>
      </c>
      <c r="M620" s="5">
        <f t="shared" si="114"/>
        <v>22.90909090909091</v>
      </c>
      <c r="O620" t="str">
        <f t="shared" si="115"/>
        <v>No Purpose</v>
      </c>
    </row>
    <row r="621" spans="1:15" x14ac:dyDescent="0.3">
      <c r="B621" s="2">
        <v>42419</v>
      </c>
      <c r="C621" s="7">
        <v>0.83888888888888891</v>
      </c>
      <c r="D621" t="s">
        <v>100</v>
      </c>
      <c r="E621" s="2">
        <v>42419</v>
      </c>
      <c r="F621" s="8">
        <v>0.85416666666666663</v>
      </c>
      <c r="G621" t="s">
        <v>55</v>
      </c>
      <c r="H621" s="7">
        <f t="shared" si="112"/>
        <v>1.5277777777777724E-2</v>
      </c>
      <c r="I621" s="13">
        <f t="shared" si="113"/>
        <v>0.36666666666666664</v>
      </c>
      <c r="J621" t="s">
        <v>88</v>
      </c>
      <c r="K621" t="s">
        <v>72</v>
      </c>
      <c r="L621">
        <v>13.6</v>
      </c>
      <c r="M621" s="5">
        <f t="shared" si="114"/>
        <v>37.090909090909093</v>
      </c>
      <c r="O621" t="str">
        <f t="shared" si="115"/>
        <v>No Purpose</v>
      </c>
    </row>
    <row r="622" spans="1:15" x14ac:dyDescent="0.3">
      <c r="B622" s="2">
        <v>42419</v>
      </c>
      <c r="C622" s="7">
        <v>0.8569444444444444</v>
      </c>
      <c r="D622" t="s">
        <v>101</v>
      </c>
      <c r="E622" s="2">
        <v>42419</v>
      </c>
      <c r="F622" s="8">
        <v>0.86875000000000002</v>
      </c>
      <c r="G622" t="s">
        <v>55</v>
      </c>
      <c r="H622" s="7">
        <f t="shared" si="112"/>
        <v>1.1805555555555625E-2</v>
      </c>
      <c r="I622" s="13">
        <f t="shared" si="113"/>
        <v>0.28333333333333333</v>
      </c>
      <c r="J622" t="s">
        <v>72</v>
      </c>
      <c r="K622" t="s">
        <v>72</v>
      </c>
      <c r="L622">
        <v>2.5</v>
      </c>
      <c r="M622" s="5">
        <f t="shared" si="114"/>
        <v>8.8235294117647065</v>
      </c>
      <c r="O622" t="str">
        <f t="shared" si="115"/>
        <v>No Purpose</v>
      </c>
    </row>
    <row r="623" spans="1:15" x14ac:dyDescent="0.3">
      <c r="B623" s="2">
        <v>42420</v>
      </c>
      <c r="C623" s="7">
        <v>0.33263888888888887</v>
      </c>
      <c r="D623" t="s">
        <v>102</v>
      </c>
      <c r="E623" s="2">
        <v>42420</v>
      </c>
      <c r="F623" s="8">
        <v>0.35555555555555557</v>
      </c>
      <c r="G623" t="s">
        <v>55</v>
      </c>
      <c r="H623" s="7">
        <f t="shared" si="112"/>
        <v>2.2916666666666696E-2</v>
      </c>
      <c r="I623" s="13">
        <f t="shared" si="113"/>
        <v>0.55000000000000004</v>
      </c>
      <c r="J623" t="s">
        <v>72</v>
      </c>
      <c r="K623" t="s">
        <v>88</v>
      </c>
      <c r="L623">
        <v>14.4</v>
      </c>
      <c r="M623" s="5">
        <f t="shared" si="114"/>
        <v>26.18181818181818</v>
      </c>
      <c r="O623" t="str">
        <f t="shared" si="115"/>
        <v>No Purpose</v>
      </c>
    </row>
    <row r="624" spans="1:15" x14ac:dyDescent="0.3">
      <c r="B624" s="2">
        <v>42420</v>
      </c>
      <c r="C624" s="7">
        <v>0.45</v>
      </c>
      <c r="D624" t="s">
        <v>103</v>
      </c>
      <c r="E624" s="2">
        <v>42420</v>
      </c>
      <c r="F624" s="8">
        <v>0.45555555555555555</v>
      </c>
      <c r="G624" t="s">
        <v>55</v>
      </c>
      <c r="H624" s="7">
        <f t="shared" si="112"/>
        <v>5.5555555555555358E-3</v>
      </c>
      <c r="I624" s="13">
        <f t="shared" si="113"/>
        <v>0.13333333333333333</v>
      </c>
      <c r="J624" t="s">
        <v>88</v>
      </c>
      <c r="K624" t="s">
        <v>88</v>
      </c>
      <c r="L624">
        <v>3</v>
      </c>
      <c r="M624" s="5">
        <f t="shared" si="114"/>
        <v>22.5</v>
      </c>
      <c r="O624" t="str">
        <f t="shared" si="115"/>
        <v>No Purpose</v>
      </c>
    </row>
    <row r="625" spans="1:15" x14ac:dyDescent="0.3">
      <c r="B625" s="2">
        <v>42420</v>
      </c>
      <c r="C625" s="7">
        <v>0.48958333333333331</v>
      </c>
      <c r="D625" t="s">
        <v>104</v>
      </c>
      <c r="E625" s="2">
        <v>42420</v>
      </c>
      <c r="F625" s="8">
        <v>0.49513888888888885</v>
      </c>
      <c r="G625" t="s">
        <v>55</v>
      </c>
      <c r="H625" s="7">
        <f t="shared" si="112"/>
        <v>5.5555555555555358E-3</v>
      </c>
      <c r="I625" s="13">
        <f t="shared" si="113"/>
        <v>0.13333333333333333</v>
      </c>
      <c r="J625" t="s">
        <v>88</v>
      </c>
      <c r="K625" t="s">
        <v>88</v>
      </c>
      <c r="L625">
        <v>1.5</v>
      </c>
      <c r="M625" s="5">
        <f t="shared" si="114"/>
        <v>11.25</v>
      </c>
      <c r="O625" t="str">
        <f t="shared" si="115"/>
        <v>No Purpose</v>
      </c>
    </row>
    <row r="626" spans="1:15" x14ac:dyDescent="0.3">
      <c r="B626" s="2">
        <v>42420</v>
      </c>
      <c r="C626" s="7">
        <v>0.52847222222222223</v>
      </c>
      <c r="D626" t="s">
        <v>105</v>
      </c>
      <c r="E626" s="2">
        <v>42420</v>
      </c>
      <c r="F626" s="8">
        <v>0.55347222222222225</v>
      </c>
      <c r="G626" t="s">
        <v>7</v>
      </c>
      <c r="H626" s="7">
        <f t="shared" si="112"/>
        <v>2.5000000000000022E-2</v>
      </c>
      <c r="I626" s="13">
        <f t="shared" si="113"/>
        <v>0.6</v>
      </c>
      <c r="J626" t="s">
        <v>88</v>
      </c>
      <c r="K626" t="s">
        <v>106</v>
      </c>
      <c r="L626">
        <v>18.399999999999999</v>
      </c>
      <c r="M626" s="5">
        <f t="shared" si="114"/>
        <v>30.666666666666664</v>
      </c>
      <c r="O626" t="str">
        <f t="shared" si="115"/>
        <v>No Purpose</v>
      </c>
    </row>
    <row r="627" spans="1:15" x14ac:dyDescent="0.3">
      <c r="B627" s="2">
        <v>42420</v>
      </c>
      <c r="C627" s="7">
        <v>0.70763888888888893</v>
      </c>
      <c r="D627" t="s">
        <v>108</v>
      </c>
      <c r="E627" s="2">
        <v>42420</v>
      </c>
      <c r="F627" s="8">
        <v>0.74583333333333324</v>
      </c>
      <c r="G627" t="s">
        <v>55</v>
      </c>
      <c r="H627" s="7">
        <f t="shared" si="112"/>
        <v>3.8194444444444309E-2</v>
      </c>
      <c r="I627" s="13">
        <f t="shared" si="113"/>
        <v>0.91666666666666663</v>
      </c>
      <c r="J627" t="s">
        <v>106</v>
      </c>
      <c r="K627" t="s">
        <v>72</v>
      </c>
      <c r="L627">
        <v>16.5</v>
      </c>
      <c r="M627" s="5">
        <f t="shared" si="114"/>
        <v>18</v>
      </c>
      <c r="O627" t="str">
        <f t="shared" si="115"/>
        <v>No Purpose</v>
      </c>
    </row>
    <row r="628" spans="1:15" x14ac:dyDescent="0.3">
      <c r="B628" s="2">
        <v>42421</v>
      </c>
      <c r="C628" s="7">
        <v>0.37986111111111115</v>
      </c>
      <c r="D628" t="s">
        <v>111</v>
      </c>
      <c r="E628" s="2">
        <v>42421</v>
      </c>
      <c r="F628" s="8">
        <v>0.4069444444444445</v>
      </c>
      <c r="G628" t="s">
        <v>7</v>
      </c>
      <c r="H628" s="7">
        <f t="shared" si="112"/>
        <v>2.7083333333333348E-2</v>
      </c>
      <c r="I628" s="13">
        <f t="shared" si="113"/>
        <v>0.65</v>
      </c>
      <c r="J628" t="s">
        <v>72</v>
      </c>
      <c r="K628" t="s">
        <v>88</v>
      </c>
      <c r="L628">
        <v>14.5</v>
      </c>
      <c r="M628" s="5">
        <f t="shared" si="114"/>
        <v>22.307692307692307</v>
      </c>
      <c r="O628" t="str">
        <f t="shared" si="115"/>
        <v>No Purpose</v>
      </c>
    </row>
    <row r="629" spans="1:15" x14ac:dyDescent="0.3">
      <c r="B629" s="2">
        <v>42421</v>
      </c>
      <c r="C629" s="7">
        <v>0.6694444444444444</v>
      </c>
      <c r="D629" t="s">
        <v>121</v>
      </c>
      <c r="E629" s="2">
        <v>42421</v>
      </c>
      <c r="F629" s="8">
        <v>0.68888888888888899</v>
      </c>
      <c r="G629" t="s">
        <v>7</v>
      </c>
      <c r="H629" s="7">
        <f t="shared" si="112"/>
        <v>1.9444444444444597E-2</v>
      </c>
      <c r="I629" s="13">
        <f t="shared" si="113"/>
        <v>0.46666666666666667</v>
      </c>
      <c r="J629" t="s">
        <v>72</v>
      </c>
      <c r="K629" t="s">
        <v>72</v>
      </c>
      <c r="L629">
        <v>9.6999999999999993</v>
      </c>
      <c r="M629" s="5">
        <f t="shared" si="114"/>
        <v>20.785714285714285</v>
      </c>
      <c r="O629" t="str">
        <f t="shared" si="115"/>
        <v>No Purpose</v>
      </c>
    </row>
    <row r="630" spans="1:15" x14ac:dyDescent="0.3">
      <c r="B630" s="2">
        <v>42424</v>
      </c>
      <c r="C630" s="7">
        <v>0.60416666666666663</v>
      </c>
      <c r="D630" t="s">
        <v>124</v>
      </c>
      <c r="E630" s="2">
        <v>42424</v>
      </c>
      <c r="F630" s="8">
        <v>0.60763888888888895</v>
      </c>
      <c r="G630" t="s">
        <v>7</v>
      </c>
      <c r="H630" s="7">
        <f t="shared" si="112"/>
        <v>3.4722222222223209E-3</v>
      </c>
      <c r="I630" s="13">
        <f t="shared" si="113"/>
        <v>8.3333333333333329E-2</v>
      </c>
      <c r="J630" t="s">
        <v>38</v>
      </c>
      <c r="K630" t="s">
        <v>57</v>
      </c>
      <c r="L630">
        <v>1.5</v>
      </c>
      <c r="M630" s="5">
        <f t="shared" si="114"/>
        <v>18</v>
      </c>
      <c r="O630" t="str">
        <f t="shared" si="115"/>
        <v>No Purpose</v>
      </c>
    </row>
    <row r="631" spans="1:15" x14ac:dyDescent="0.3">
      <c r="B631" s="2">
        <v>42426</v>
      </c>
      <c r="C631" s="7">
        <v>0.37916666666666665</v>
      </c>
      <c r="D631" t="s">
        <v>131</v>
      </c>
      <c r="E631" s="2">
        <v>42426</v>
      </c>
      <c r="F631" s="8">
        <v>0.39513888888888887</v>
      </c>
      <c r="G631" t="s">
        <v>7</v>
      </c>
      <c r="H631" s="7">
        <f t="shared" si="112"/>
        <v>1.5972222222222221E-2</v>
      </c>
      <c r="I631" s="13">
        <f t="shared" si="113"/>
        <v>0.38333333333333336</v>
      </c>
      <c r="J631" t="s">
        <v>38</v>
      </c>
      <c r="K631" t="s">
        <v>44</v>
      </c>
      <c r="L631">
        <v>6.3</v>
      </c>
      <c r="M631" s="5">
        <f t="shared" si="114"/>
        <v>16.434782608695652</v>
      </c>
      <c r="O631" t="str">
        <f t="shared" si="115"/>
        <v>No Purpose</v>
      </c>
    </row>
    <row r="632" spans="1:15" x14ac:dyDescent="0.3">
      <c r="B632" s="2">
        <v>42426</v>
      </c>
      <c r="C632" s="7">
        <v>0.46180555555555558</v>
      </c>
      <c r="D632" t="s">
        <v>132</v>
      </c>
      <c r="E632" s="2">
        <v>42426</v>
      </c>
      <c r="F632" s="8">
        <v>0.46597222222222223</v>
      </c>
      <c r="G632" t="s">
        <v>55</v>
      </c>
      <c r="H632" s="7">
        <f t="shared" si="112"/>
        <v>4.1666666666666519E-3</v>
      </c>
      <c r="I632" s="13">
        <f t="shared" si="113"/>
        <v>0.1</v>
      </c>
      <c r="J632" t="s">
        <v>44</v>
      </c>
      <c r="K632" t="s">
        <v>38</v>
      </c>
      <c r="L632">
        <v>1.7</v>
      </c>
      <c r="M632" s="5">
        <f t="shared" si="114"/>
        <v>17</v>
      </c>
      <c r="O632" t="str">
        <f t="shared" si="115"/>
        <v>No Purpose</v>
      </c>
    </row>
    <row r="633" spans="1:15" x14ac:dyDescent="0.3">
      <c r="B633" s="2">
        <v>42426</v>
      </c>
      <c r="C633" s="7">
        <v>0.60972222222222217</v>
      </c>
      <c r="D633" t="s">
        <v>135</v>
      </c>
      <c r="E633" s="2">
        <v>42426</v>
      </c>
      <c r="F633" s="8">
        <v>0.61527777777777781</v>
      </c>
      <c r="G633" t="s">
        <v>55</v>
      </c>
      <c r="H633" s="7">
        <f t="shared" si="112"/>
        <v>5.5555555555556468E-3</v>
      </c>
      <c r="I633" s="13">
        <f t="shared" si="113"/>
        <v>0.13333333333333333</v>
      </c>
      <c r="J633" t="s">
        <v>38</v>
      </c>
      <c r="K633" t="s">
        <v>44</v>
      </c>
      <c r="L633">
        <v>1.9</v>
      </c>
      <c r="M633" s="5">
        <f t="shared" si="114"/>
        <v>14.25</v>
      </c>
      <c r="O633" t="str">
        <f t="shared" si="115"/>
        <v>No Purpose</v>
      </c>
    </row>
    <row r="634" spans="1:15" x14ac:dyDescent="0.3">
      <c r="B634" s="2">
        <v>42426</v>
      </c>
      <c r="C634" s="7">
        <v>0.625</v>
      </c>
      <c r="D634" t="s">
        <v>136</v>
      </c>
      <c r="E634" s="2">
        <v>42426</v>
      </c>
      <c r="F634" s="8">
        <v>0.63750000000000007</v>
      </c>
      <c r="G634" t="s">
        <v>55</v>
      </c>
      <c r="H634" s="7">
        <f t="shared" si="112"/>
        <v>1.2500000000000067E-2</v>
      </c>
      <c r="I634" s="13">
        <f t="shared" si="113"/>
        <v>0.3</v>
      </c>
      <c r="J634" t="s">
        <v>44</v>
      </c>
      <c r="K634" t="s">
        <v>43</v>
      </c>
      <c r="L634">
        <v>4.2</v>
      </c>
      <c r="M634" s="5">
        <f t="shared" si="114"/>
        <v>14.000000000000002</v>
      </c>
      <c r="O634" t="str">
        <f t="shared" si="115"/>
        <v>No Purpose</v>
      </c>
    </row>
    <row r="635" spans="1:15" x14ac:dyDescent="0.3">
      <c r="B635" s="2">
        <v>42426</v>
      </c>
      <c r="C635" s="7">
        <v>0.7090277777777777</v>
      </c>
      <c r="D635" t="s">
        <v>137</v>
      </c>
      <c r="E635" s="2">
        <v>42426</v>
      </c>
      <c r="F635" s="8">
        <v>0.71666666666666667</v>
      </c>
      <c r="G635" t="s">
        <v>55</v>
      </c>
      <c r="H635" s="7">
        <f t="shared" si="112"/>
        <v>7.6388888888889728E-3</v>
      </c>
      <c r="I635" s="13">
        <f t="shared" si="113"/>
        <v>0.18333333333333332</v>
      </c>
      <c r="J635" t="s">
        <v>43</v>
      </c>
      <c r="K635" t="s">
        <v>38</v>
      </c>
      <c r="L635">
        <v>2</v>
      </c>
      <c r="M635" s="5">
        <f t="shared" si="114"/>
        <v>10.90909090909091</v>
      </c>
      <c r="O635" t="str">
        <f t="shared" si="115"/>
        <v>No Purpose</v>
      </c>
    </row>
    <row r="636" spans="1:15" x14ac:dyDescent="0.3">
      <c r="B636" s="2">
        <v>42429</v>
      </c>
      <c r="C636" s="7">
        <v>0.46319444444444446</v>
      </c>
      <c r="D636" t="s">
        <v>141</v>
      </c>
      <c r="E636" s="2">
        <v>42429</v>
      </c>
      <c r="F636" s="8">
        <v>0.4680555555555555</v>
      </c>
      <c r="G636" t="s">
        <v>55</v>
      </c>
      <c r="H636" s="7">
        <f t="shared" si="112"/>
        <v>4.8611111111110383E-3</v>
      </c>
      <c r="I636" s="13">
        <f t="shared" si="113"/>
        <v>0.11666666666666667</v>
      </c>
      <c r="J636" t="s">
        <v>38</v>
      </c>
      <c r="K636" t="s">
        <v>44</v>
      </c>
      <c r="L636">
        <v>2.1</v>
      </c>
      <c r="M636" s="5">
        <f t="shared" si="114"/>
        <v>18</v>
      </c>
      <c r="O636" t="str">
        <f t="shared" si="115"/>
        <v>No Purpose</v>
      </c>
    </row>
    <row r="637" spans="1:15" x14ac:dyDescent="0.3">
      <c r="B637" s="2">
        <v>42429</v>
      </c>
      <c r="C637" s="7">
        <v>0.62152777777777779</v>
      </c>
      <c r="D637" t="s">
        <v>144</v>
      </c>
      <c r="E637" s="2">
        <v>42429</v>
      </c>
      <c r="F637" s="8">
        <v>0.62708333333333333</v>
      </c>
      <c r="G637" t="s">
        <v>7</v>
      </c>
      <c r="H637" s="7">
        <f t="shared" si="112"/>
        <v>5.5555555555555358E-3</v>
      </c>
      <c r="I637" s="13">
        <f t="shared" si="113"/>
        <v>0.13333333333333333</v>
      </c>
      <c r="J637" t="s">
        <v>38</v>
      </c>
      <c r="K637" t="s">
        <v>43</v>
      </c>
      <c r="L637">
        <v>2.6</v>
      </c>
      <c r="M637" s="5">
        <f t="shared" si="114"/>
        <v>19.5</v>
      </c>
      <c r="O637" t="str">
        <f t="shared" si="115"/>
        <v>No Purpose</v>
      </c>
    </row>
    <row r="638" spans="1:15" x14ac:dyDescent="0.3">
      <c r="A638" s="1">
        <v>42432.40625</v>
      </c>
      <c r="B638" s="6">
        <f t="shared" ref="B638:B649" si="116">INT(A638:A677)</f>
        <v>42432</v>
      </c>
      <c r="C638" s="7">
        <f t="shared" ref="C638:C649" si="117">(A638-B638)</f>
        <v>0.40625</v>
      </c>
      <c r="D638" s="1">
        <v>42432.411111111112</v>
      </c>
      <c r="E638" s="6">
        <f t="shared" ref="E638:E649" si="118">INT(D638)</f>
        <v>42432</v>
      </c>
      <c r="F638" s="8">
        <f t="shared" ref="F638:F649" si="119">D638-E638</f>
        <v>0.41111111111240461</v>
      </c>
      <c r="G638" t="s">
        <v>55</v>
      </c>
      <c r="H638" s="7">
        <f t="shared" si="112"/>
        <v>4.8611111124046147E-3</v>
      </c>
      <c r="I638" s="13">
        <f t="shared" si="113"/>
        <v>0.11666666666666667</v>
      </c>
      <c r="J638" t="s">
        <v>38</v>
      </c>
      <c r="K638" t="s">
        <v>44</v>
      </c>
      <c r="L638">
        <v>2.2000000000000002</v>
      </c>
      <c r="M638" s="5">
        <f t="shared" si="114"/>
        <v>18.857142857142858</v>
      </c>
      <c r="O638" t="str">
        <f t="shared" si="115"/>
        <v>No Purpose</v>
      </c>
    </row>
    <row r="639" spans="1:15" x14ac:dyDescent="0.3">
      <c r="A639" s="1">
        <v>42493.539583333331</v>
      </c>
      <c r="B639" s="6">
        <f t="shared" si="116"/>
        <v>42493</v>
      </c>
      <c r="C639" s="7">
        <f t="shared" si="117"/>
        <v>0.53958333333139308</v>
      </c>
      <c r="D639" s="1">
        <v>42493.55</v>
      </c>
      <c r="E639" s="6">
        <f t="shared" si="118"/>
        <v>42493</v>
      </c>
      <c r="F639" s="8">
        <f t="shared" si="119"/>
        <v>0.55000000000291038</v>
      </c>
      <c r="G639" t="s">
        <v>55</v>
      </c>
      <c r="H639" s="7">
        <f t="shared" si="112"/>
        <v>1.0416666671517305E-2</v>
      </c>
      <c r="I639" s="13">
        <f t="shared" si="113"/>
        <v>0.25</v>
      </c>
      <c r="J639" t="s">
        <v>148</v>
      </c>
      <c r="K639" t="s">
        <v>148</v>
      </c>
      <c r="L639">
        <v>4.2</v>
      </c>
      <c r="M639" s="5">
        <f t="shared" si="114"/>
        <v>16.8</v>
      </c>
      <c r="O639" t="str">
        <f t="shared" si="115"/>
        <v>No Purpose</v>
      </c>
    </row>
    <row r="640" spans="1:15" x14ac:dyDescent="0.3">
      <c r="A640" s="1">
        <v>42493.588888888888</v>
      </c>
      <c r="B640" s="6">
        <f t="shared" si="116"/>
        <v>42493</v>
      </c>
      <c r="C640" s="7">
        <f t="shared" si="117"/>
        <v>0.58888888888759539</v>
      </c>
      <c r="D640" s="1">
        <v>42493.595833333333</v>
      </c>
      <c r="E640" s="6">
        <f t="shared" si="118"/>
        <v>42493</v>
      </c>
      <c r="F640" s="8">
        <f t="shared" si="119"/>
        <v>0.59583333333284827</v>
      </c>
      <c r="G640" t="s">
        <v>55</v>
      </c>
      <c r="H640" s="7">
        <f t="shared" si="112"/>
        <v>6.9444444452528842E-3</v>
      </c>
      <c r="I640" s="13">
        <f t="shared" si="113"/>
        <v>0.16666666666666666</v>
      </c>
      <c r="J640" t="s">
        <v>16</v>
      </c>
      <c r="K640" t="s">
        <v>15</v>
      </c>
      <c r="L640">
        <v>3.5</v>
      </c>
      <c r="M640" s="5">
        <f t="shared" si="114"/>
        <v>21</v>
      </c>
      <c r="O640" t="str">
        <f t="shared" si="115"/>
        <v>No Purpose</v>
      </c>
    </row>
    <row r="641" spans="1:15" x14ac:dyDescent="0.3">
      <c r="A641" s="1">
        <v>42585.675694444442</v>
      </c>
      <c r="B641" s="6">
        <f t="shared" si="116"/>
        <v>42585</v>
      </c>
      <c r="C641" s="7">
        <f t="shared" si="117"/>
        <v>0.6756944444423425</v>
      </c>
      <c r="D641" s="1">
        <v>42585.684027777781</v>
      </c>
      <c r="E641" s="6">
        <f t="shared" si="118"/>
        <v>42585</v>
      </c>
      <c r="F641" s="8">
        <f t="shared" si="119"/>
        <v>0.68402777778101154</v>
      </c>
      <c r="G641" t="s">
        <v>55</v>
      </c>
      <c r="H641" s="7">
        <f t="shared" si="112"/>
        <v>8.3333333386690356E-3</v>
      </c>
      <c r="I641" s="13">
        <f t="shared" si="113"/>
        <v>0.2</v>
      </c>
      <c r="J641" t="s">
        <v>38</v>
      </c>
      <c r="K641" t="s">
        <v>38</v>
      </c>
      <c r="L641">
        <v>1.6</v>
      </c>
      <c r="M641" s="5">
        <f t="shared" si="114"/>
        <v>8</v>
      </c>
      <c r="O641" t="str">
        <f t="shared" si="115"/>
        <v>No Purpose</v>
      </c>
    </row>
    <row r="642" spans="1:15" x14ac:dyDescent="0.3">
      <c r="A642" s="1">
        <v>42646.61041666667</v>
      </c>
      <c r="B642" s="6">
        <f t="shared" si="116"/>
        <v>42646</v>
      </c>
      <c r="C642" s="7">
        <f t="shared" si="117"/>
        <v>0.61041666667006211</v>
      </c>
      <c r="D642" s="1">
        <v>42646.621527777781</v>
      </c>
      <c r="E642" s="6">
        <f t="shared" si="118"/>
        <v>42646</v>
      </c>
      <c r="F642" s="8">
        <f t="shared" si="119"/>
        <v>0.62152777778101154</v>
      </c>
      <c r="G642" t="s">
        <v>7</v>
      </c>
      <c r="H642" s="7">
        <f t="shared" ref="H642:H705" si="120">IF(F642&gt;C642,F642-C642,F642-C642+1)</f>
        <v>1.1111111110949423E-2</v>
      </c>
      <c r="I642" s="13">
        <f t="shared" ref="I642:I705" si="121">(HOUR(H642)*60+MINUTE(H642))/60</f>
        <v>0.26666666666666666</v>
      </c>
      <c r="J642" t="s">
        <v>150</v>
      </c>
      <c r="K642" t="s">
        <v>151</v>
      </c>
      <c r="L642">
        <v>2.2999999999999998</v>
      </c>
      <c r="M642" s="5">
        <f t="shared" ref="M642:M705" si="122">L642/I642</f>
        <v>8.625</v>
      </c>
      <c r="O642" t="str">
        <f t="shared" ref="O642:O705" si="123">IF(ISBLANK($N642),"No Purpose",$N642)</f>
        <v>No Purpose</v>
      </c>
    </row>
    <row r="643" spans="1:15" x14ac:dyDescent="0.3">
      <c r="A643" s="1">
        <v>42646.679166666669</v>
      </c>
      <c r="B643" s="6">
        <f t="shared" si="116"/>
        <v>42646</v>
      </c>
      <c r="C643" s="7">
        <f t="shared" si="117"/>
        <v>0.67916666666860692</v>
      </c>
      <c r="D643" s="1">
        <v>42646.686111111114</v>
      </c>
      <c r="E643" s="6">
        <f t="shared" si="118"/>
        <v>42646</v>
      </c>
      <c r="F643" s="8">
        <f t="shared" si="119"/>
        <v>0.68611111111385981</v>
      </c>
      <c r="G643" t="s">
        <v>7</v>
      </c>
      <c r="H643" s="7">
        <f t="shared" si="120"/>
        <v>6.9444444452528842E-3</v>
      </c>
      <c r="I643" s="13">
        <f t="shared" si="121"/>
        <v>0.16666666666666666</v>
      </c>
      <c r="J643" t="s">
        <v>151</v>
      </c>
      <c r="K643" t="s">
        <v>152</v>
      </c>
      <c r="L643">
        <v>1.6</v>
      </c>
      <c r="M643" s="5">
        <f t="shared" si="122"/>
        <v>9.6000000000000014</v>
      </c>
      <c r="O643" t="str">
        <f t="shared" si="123"/>
        <v>No Purpose</v>
      </c>
    </row>
    <row r="644" spans="1:15" x14ac:dyDescent="0.3">
      <c r="A644" s="1">
        <v>42677.436805555553</v>
      </c>
      <c r="B644" s="6">
        <f t="shared" si="116"/>
        <v>42677</v>
      </c>
      <c r="C644" s="7">
        <f t="shared" si="117"/>
        <v>0.43680555555329192</v>
      </c>
      <c r="D644" s="1">
        <v>42677.441666666666</v>
      </c>
      <c r="E644" s="6">
        <f t="shared" si="118"/>
        <v>42677</v>
      </c>
      <c r="F644" s="8">
        <f t="shared" si="119"/>
        <v>0.44166666666569654</v>
      </c>
      <c r="G644" t="s">
        <v>7</v>
      </c>
      <c r="H644" s="7">
        <f t="shared" si="120"/>
        <v>4.8611111124046147E-3</v>
      </c>
      <c r="I644" s="13">
        <f t="shared" si="121"/>
        <v>0.11666666666666667</v>
      </c>
      <c r="J644" t="s">
        <v>154</v>
      </c>
      <c r="K644" t="s">
        <v>31</v>
      </c>
      <c r="L644">
        <v>0.8</v>
      </c>
      <c r="M644" s="5">
        <f t="shared" si="122"/>
        <v>6.8571428571428577</v>
      </c>
      <c r="O644" t="str">
        <f t="shared" si="123"/>
        <v>No Purpose</v>
      </c>
    </row>
    <row r="645" spans="1:15" x14ac:dyDescent="0.3">
      <c r="A645" s="1">
        <v>42677.497916666667</v>
      </c>
      <c r="B645" s="6">
        <f t="shared" si="116"/>
        <v>42677</v>
      </c>
      <c r="C645" s="7">
        <f t="shared" si="117"/>
        <v>0.49791666666715173</v>
      </c>
      <c r="D645" s="1">
        <v>42677.50277777778</v>
      </c>
      <c r="E645" s="6">
        <f t="shared" si="118"/>
        <v>42677</v>
      </c>
      <c r="F645" s="8">
        <f t="shared" si="119"/>
        <v>0.50277777777955635</v>
      </c>
      <c r="G645" t="s">
        <v>7</v>
      </c>
      <c r="H645" s="7">
        <f t="shared" si="120"/>
        <v>4.8611111124046147E-3</v>
      </c>
      <c r="I645" s="13">
        <f t="shared" si="121"/>
        <v>0.11666666666666667</v>
      </c>
      <c r="J645" t="s">
        <v>31</v>
      </c>
      <c r="K645" t="s">
        <v>155</v>
      </c>
      <c r="L645">
        <v>1.2</v>
      </c>
      <c r="M645" s="5">
        <f t="shared" si="122"/>
        <v>10.285714285714285</v>
      </c>
      <c r="O645" t="str">
        <f t="shared" si="123"/>
        <v>No Purpose</v>
      </c>
    </row>
    <row r="646" spans="1:15" x14ac:dyDescent="0.3">
      <c r="A646" s="1">
        <v>42677.571527777778</v>
      </c>
      <c r="B646" s="6">
        <f t="shared" si="116"/>
        <v>42677</v>
      </c>
      <c r="C646" s="7">
        <f t="shared" si="117"/>
        <v>0.57152777777810115</v>
      </c>
      <c r="D646" s="1">
        <v>42677.57708333333</v>
      </c>
      <c r="E646" s="6">
        <f t="shared" si="118"/>
        <v>42677</v>
      </c>
      <c r="F646" s="8">
        <f t="shared" si="119"/>
        <v>0.57708333332993789</v>
      </c>
      <c r="G646" t="s">
        <v>7</v>
      </c>
      <c r="H646" s="7">
        <f t="shared" si="120"/>
        <v>5.5555555518367328E-3</v>
      </c>
      <c r="I646" s="13">
        <f t="shared" si="121"/>
        <v>0.13333333333333333</v>
      </c>
      <c r="J646" t="s">
        <v>155</v>
      </c>
      <c r="K646" t="s">
        <v>31</v>
      </c>
      <c r="L646">
        <v>1</v>
      </c>
      <c r="M646" s="5">
        <f t="shared" si="122"/>
        <v>7.5</v>
      </c>
      <c r="O646" t="str">
        <f t="shared" si="123"/>
        <v>No Purpose</v>
      </c>
    </row>
    <row r="647" spans="1:15" x14ac:dyDescent="0.3">
      <c r="A647" s="1">
        <v>42677.806250000001</v>
      </c>
      <c r="B647" s="6">
        <f t="shared" si="116"/>
        <v>42677</v>
      </c>
      <c r="C647" s="7">
        <f t="shared" si="117"/>
        <v>0.80625000000145519</v>
      </c>
      <c r="D647" s="1">
        <v>42677.815972222219</v>
      </c>
      <c r="E647" s="6">
        <f t="shared" si="118"/>
        <v>42677</v>
      </c>
      <c r="F647" s="8">
        <f t="shared" si="119"/>
        <v>0.81597222221898846</v>
      </c>
      <c r="G647" t="s">
        <v>7</v>
      </c>
      <c r="H647" s="7">
        <f t="shared" si="120"/>
        <v>9.7222222175332718E-3</v>
      </c>
      <c r="I647" s="13">
        <f t="shared" si="121"/>
        <v>0.23333333333333334</v>
      </c>
      <c r="J647" t="s">
        <v>151</v>
      </c>
      <c r="K647" t="s">
        <v>153</v>
      </c>
      <c r="L647">
        <v>2.1</v>
      </c>
      <c r="M647" s="5">
        <f t="shared" si="122"/>
        <v>9</v>
      </c>
      <c r="O647" t="str">
        <f t="shared" si="123"/>
        <v>No Purpose</v>
      </c>
    </row>
    <row r="648" spans="1:15" x14ac:dyDescent="0.3">
      <c r="A648" s="1">
        <v>42707.384027777778</v>
      </c>
      <c r="B648" s="6">
        <f t="shared" si="116"/>
        <v>42707</v>
      </c>
      <c r="C648" s="7">
        <f t="shared" si="117"/>
        <v>0.38402777777810115</v>
      </c>
      <c r="D648" s="1">
        <v>42707.390277777777</v>
      </c>
      <c r="E648" s="6">
        <f t="shared" si="118"/>
        <v>42707</v>
      </c>
      <c r="F648" s="8">
        <f t="shared" si="119"/>
        <v>0.39027777777664596</v>
      </c>
      <c r="G648" t="s">
        <v>7</v>
      </c>
      <c r="H648" s="7">
        <f t="shared" si="120"/>
        <v>6.2499999985448085E-3</v>
      </c>
      <c r="I648" s="13">
        <f t="shared" si="121"/>
        <v>0.15</v>
      </c>
      <c r="J648" t="s">
        <v>153</v>
      </c>
      <c r="K648" t="s">
        <v>151</v>
      </c>
      <c r="L648">
        <v>2.2000000000000002</v>
      </c>
      <c r="M648" s="5">
        <f t="shared" si="122"/>
        <v>14.666666666666668</v>
      </c>
      <c r="O648" t="str">
        <f t="shared" si="123"/>
        <v>No Purpose</v>
      </c>
    </row>
    <row r="649" spans="1:15" x14ac:dyDescent="0.3">
      <c r="A649" s="1">
        <v>42707.768750000003</v>
      </c>
      <c r="B649" s="6">
        <f t="shared" si="116"/>
        <v>42707</v>
      </c>
      <c r="C649" s="7">
        <f t="shared" si="117"/>
        <v>0.76875000000291038</v>
      </c>
      <c r="D649" s="1">
        <v>42707.775694444441</v>
      </c>
      <c r="E649" s="6">
        <f t="shared" si="118"/>
        <v>42707</v>
      </c>
      <c r="F649" s="8">
        <f t="shared" si="119"/>
        <v>0.77569444444088731</v>
      </c>
      <c r="G649" t="s">
        <v>55</v>
      </c>
      <c r="H649" s="7">
        <f t="shared" si="120"/>
        <v>6.9444444379769266E-3</v>
      </c>
      <c r="I649" s="13">
        <f t="shared" si="121"/>
        <v>0.16666666666666666</v>
      </c>
      <c r="J649" t="s">
        <v>151</v>
      </c>
      <c r="K649" t="s">
        <v>153</v>
      </c>
      <c r="L649">
        <v>1.9</v>
      </c>
      <c r="M649" s="5">
        <f t="shared" si="122"/>
        <v>11.4</v>
      </c>
      <c r="O649" t="str">
        <f t="shared" si="123"/>
        <v>No Purpose</v>
      </c>
    </row>
    <row r="650" spans="1:15" x14ac:dyDescent="0.3">
      <c r="A650" t="s">
        <v>170</v>
      </c>
      <c r="B650" s="2">
        <v>42442</v>
      </c>
      <c r="C650" s="7">
        <v>0.92986111111111114</v>
      </c>
      <c r="D650" t="s">
        <v>171</v>
      </c>
      <c r="E650" s="2">
        <v>42442</v>
      </c>
      <c r="F650" s="8">
        <v>0.94374999999999998</v>
      </c>
      <c r="G650" t="s">
        <v>7</v>
      </c>
      <c r="H650" s="7">
        <f t="shared" si="120"/>
        <v>1.388888888888884E-2</v>
      </c>
      <c r="I650" s="13">
        <f t="shared" si="121"/>
        <v>0.33333333333333331</v>
      </c>
      <c r="J650" t="s">
        <v>169</v>
      </c>
      <c r="K650" t="s">
        <v>153</v>
      </c>
      <c r="L650">
        <v>12.5</v>
      </c>
      <c r="M650" s="5">
        <f t="shared" si="122"/>
        <v>37.5</v>
      </c>
      <c r="O650" t="str">
        <f t="shared" si="123"/>
        <v>No Purpose</v>
      </c>
    </row>
    <row r="651" spans="1:15" x14ac:dyDescent="0.3">
      <c r="A651" t="s">
        <v>174</v>
      </c>
      <c r="B651" s="2">
        <v>42443</v>
      </c>
      <c r="C651" s="7">
        <v>0.77708333333333324</v>
      </c>
      <c r="D651" t="s">
        <v>175</v>
      </c>
      <c r="E651" s="2">
        <v>42443</v>
      </c>
      <c r="F651" s="8">
        <v>0.78819444444444453</v>
      </c>
      <c r="G651" t="s">
        <v>7</v>
      </c>
      <c r="H651" s="7">
        <f t="shared" si="120"/>
        <v>1.1111111111111294E-2</v>
      </c>
      <c r="I651" s="13">
        <f t="shared" si="121"/>
        <v>0.26666666666666666</v>
      </c>
      <c r="J651" t="s">
        <v>151</v>
      </c>
      <c r="K651" t="s">
        <v>153</v>
      </c>
      <c r="L651">
        <v>2.7</v>
      </c>
      <c r="M651" s="5">
        <f t="shared" si="122"/>
        <v>10.125</v>
      </c>
      <c r="O651" t="str">
        <f t="shared" si="123"/>
        <v>No Purpose</v>
      </c>
    </row>
    <row r="652" spans="1:15" x14ac:dyDescent="0.3">
      <c r="A652" t="s">
        <v>182</v>
      </c>
      <c r="B652" s="2">
        <v>42445</v>
      </c>
      <c r="C652" s="7">
        <v>0.61388888888888882</v>
      </c>
      <c r="D652" t="s">
        <v>183</v>
      </c>
      <c r="E652" s="2">
        <v>42445</v>
      </c>
      <c r="F652" s="8">
        <v>0.62152777777777779</v>
      </c>
      <c r="G652" t="s">
        <v>7</v>
      </c>
      <c r="H652" s="7">
        <f t="shared" si="120"/>
        <v>7.6388888888889728E-3</v>
      </c>
      <c r="I652" s="13">
        <f t="shared" si="121"/>
        <v>0.18333333333333332</v>
      </c>
      <c r="J652" t="s">
        <v>158</v>
      </c>
      <c r="K652" t="s">
        <v>150</v>
      </c>
      <c r="L652">
        <v>2</v>
      </c>
      <c r="M652" s="5">
        <f t="shared" si="122"/>
        <v>10.90909090909091</v>
      </c>
      <c r="O652" t="str">
        <f t="shared" si="123"/>
        <v>No Purpose</v>
      </c>
    </row>
    <row r="653" spans="1:15" x14ac:dyDescent="0.3">
      <c r="A653" t="s">
        <v>186</v>
      </c>
      <c r="B653" s="2">
        <v>42446</v>
      </c>
      <c r="C653" s="7">
        <v>2.2916666666666669E-2</v>
      </c>
      <c r="D653" t="s">
        <v>187</v>
      </c>
      <c r="E653" s="2">
        <v>42446</v>
      </c>
      <c r="F653" s="8">
        <v>3.0555555555555555E-2</v>
      </c>
      <c r="G653" t="s">
        <v>55</v>
      </c>
      <c r="H653" s="7">
        <f t="shared" si="120"/>
        <v>7.638888888888886E-3</v>
      </c>
      <c r="I653" s="13">
        <f t="shared" si="121"/>
        <v>0.18333333333333332</v>
      </c>
      <c r="J653" t="s">
        <v>31</v>
      </c>
      <c r="K653" t="s">
        <v>153</v>
      </c>
      <c r="L653">
        <v>1.7</v>
      </c>
      <c r="M653" s="5">
        <f t="shared" si="122"/>
        <v>9.2727272727272734</v>
      </c>
      <c r="O653" t="str">
        <f t="shared" si="123"/>
        <v>No Purpose</v>
      </c>
    </row>
    <row r="654" spans="1:15" x14ac:dyDescent="0.3">
      <c r="A654" t="s">
        <v>197</v>
      </c>
      <c r="B654" s="2">
        <v>42446</v>
      </c>
      <c r="C654" s="7">
        <v>0.78263888888888899</v>
      </c>
      <c r="D654" t="s">
        <v>198</v>
      </c>
      <c r="E654" s="2">
        <v>42446</v>
      </c>
      <c r="F654" s="8">
        <v>0.79791666666666661</v>
      </c>
      <c r="G654" t="s">
        <v>55</v>
      </c>
      <c r="H654" s="7">
        <f t="shared" si="120"/>
        <v>1.5277777777777612E-2</v>
      </c>
      <c r="I654" s="13">
        <f t="shared" si="121"/>
        <v>0.36666666666666664</v>
      </c>
      <c r="J654" t="s">
        <v>33</v>
      </c>
      <c r="K654" t="s">
        <v>33</v>
      </c>
      <c r="L654">
        <v>4.9000000000000004</v>
      </c>
      <c r="M654" s="5">
        <f t="shared" si="122"/>
        <v>13.363636363636365</v>
      </c>
      <c r="O654" t="str">
        <f t="shared" si="123"/>
        <v>No Purpose</v>
      </c>
    </row>
    <row r="655" spans="1:15" x14ac:dyDescent="0.3">
      <c r="A655" t="s">
        <v>199</v>
      </c>
      <c r="B655" s="2">
        <v>42446</v>
      </c>
      <c r="C655" s="7">
        <v>0.87291666666666667</v>
      </c>
      <c r="D655" t="s">
        <v>200</v>
      </c>
      <c r="E655" s="2">
        <v>42446</v>
      </c>
      <c r="F655" s="8">
        <v>0.89444444444444438</v>
      </c>
      <c r="G655" t="s">
        <v>55</v>
      </c>
      <c r="H655" s="7">
        <f t="shared" si="120"/>
        <v>2.1527777777777701E-2</v>
      </c>
      <c r="I655" s="13">
        <f t="shared" si="121"/>
        <v>0.51666666666666672</v>
      </c>
      <c r="J655" t="s">
        <v>33</v>
      </c>
      <c r="K655" t="s">
        <v>33</v>
      </c>
      <c r="L655">
        <v>12.6</v>
      </c>
      <c r="M655" s="5">
        <f t="shared" si="122"/>
        <v>24.387096774193544</v>
      </c>
      <c r="O655" t="str">
        <f t="shared" si="123"/>
        <v>No Purpose</v>
      </c>
    </row>
    <row r="656" spans="1:15" x14ac:dyDescent="0.3">
      <c r="A656" t="s">
        <v>201</v>
      </c>
      <c r="B656" s="2">
        <v>42446</v>
      </c>
      <c r="C656" s="7">
        <v>0.90833333333333333</v>
      </c>
      <c r="D656" t="s">
        <v>202</v>
      </c>
      <c r="E656" s="2">
        <v>42446</v>
      </c>
      <c r="F656" s="8">
        <v>0.9194444444444444</v>
      </c>
      <c r="G656" t="s">
        <v>55</v>
      </c>
      <c r="H656" s="7">
        <f t="shared" si="120"/>
        <v>1.1111111111111072E-2</v>
      </c>
      <c r="I656" s="13">
        <f t="shared" si="121"/>
        <v>0.26666666666666666</v>
      </c>
      <c r="J656" t="s">
        <v>203</v>
      </c>
      <c r="K656" t="s">
        <v>21</v>
      </c>
      <c r="L656">
        <v>10.4</v>
      </c>
      <c r="M656" s="5">
        <f t="shared" si="122"/>
        <v>39</v>
      </c>
      <c r="O656" t="str">
        <f t="shared" si="123"/>
        <v>No Purpose</v>
      </c>
    </row>
    <row r="657" spans="1:15" x14ac:dyDescent="0.3">
      <c r="A657" t="s">
        <v>229</v>
      </c>
      <c r="B657" s="2">
        <v>42448</v>
      </c>
      <c r="C657" s="7">
        <v>0.74444444444444446</v>
      </c>
      <c r="D657" t="s">
        <v>230</v>
      </c>
      <c r="E657" s="2">
        <v>42448</v>
      </c>
      <c r="F657" s="8">
        <v>0.75</v>
      </c>
      <c r="G657" t="s">
        <v>7</v>
      </c>
      <c r="H657" s="7">
        <f t="shared" si="120"/>
        <v>5.5555555555555358E-3</v>
      </c>
      <c r="I657" s="13">
        <f t="shared" si="121"/>
        <v>0.13333333333333333</v>
      </c>
      <c r="J657" t="s">
        <v>226</v>
      </c>
      <c r="K657" t="s">
        <v>226</v>
      </c>
      <c r="L657">
        <v>1.2</v>
      </c>
      <c r="M657" s="5">
        <f t="shared" si="122"/>
        <v>9</v>
      </c>
      <c r="O657" t="str">
        <f t="shared" si="123"/>
        <v>No Purpose</v>
      </c>
    </row>
    <row r="658" spans="1:15" x14ac:dyDescent="0.3">
      <c r="A658" t="s">
        <v>240</v>
      </c>
      <c r="B658" s="2">
        <v>42449</v>
      </c>
      <c r="C658" s="7">
        <v>0.71388888888888891</v>
      </c>
      <c r="D658" t="s">
        <v>241</v>
      </c>
      <c r="E658" s="2">
        <v>42449</v>
      </c>
      <c r="F658" s="8">
        <v>0.7319444444444444</v>
      </c>
      <c r="G658" t="s">
        <v>7</v>
      </c>
      <c r="H658" s="7">
        <f t="shared" si="120"/>
        <v>1.8055555555555491E-2</v>
      </c>
      <c r="I658" s="13">
        <f t="shared" si="121"/>
        <v>0.43333333333333335</v>
      </c>
      <c r="J658" t="s">
        <v>21</v>
      </c>
      <c r="K658" t="s">
        <v>203</v>
      </c>
      <c r="L658">
        <v>10.4</v>
      </c>
      <c r="M658" s="5">
        <f t="shared" si="122"/>
        <v>24</v>
      </c>
      <c r="O658" t="str">
        <f t="shared" si="123"/>
        <v>No Purpose</v>
      </c>
    </row>
    <row r="659" spans="1:15" x14ac:dyDescent="0.3">
      <c r="A659" t="s">
        <v>242</v>
      </c>
      <c r="B659" s="2">
        <v>42449</v>
      </c>
      <c r="C659" s="7">
        <v>0.77361111111111114</v>
      </c>
      <c r="D659" t="s">
        <v>243</v>
      </c>
      <c r="E659" s="2">
        <v>42449</v>
      </c>
      <c r="F659" s="8">
        <v>0.77777777777777779</v>
      </c>
      <c r="G659" t="s">
        <v>55</v>
      </c>
      <c r="H659" s="7">
        <f t="shared" si="120"/>
        <v>4.1666666666666519E-3</v>
      </c>
      <c r="I659" s="13">
        <f t="shared" si="121"/>
        <v>0.1</v>
      </c>
      <c r="J659" t="s">
        <v>203</v>
      </c>
      <c r="K659" t="s">
        <v>244</v>
      </c>
      <c r="L659">
        <v>1.2</v>
      </c>
      <c r="M659" s="5">
        <f t="shared" si="122"/>
        <v>11.999999999999998</v>
      </c>
      <c r="O659" t="str">
        <f t="shared" si="123"/>
        <v>No Purpose</v>
      </c>
    </row>
    <row r="660" spans="1:15" x14ac:dyDescent="0.3">
      <c r="A660" t="s">
        <v>247</v>
      </c>
      <c r="B660" s="2">
        <v>42450</v>
      </c>
      <c r="C660" s="7">
        <v>0.43124999999999997</v>
      </c>
      <c r="D660" t="s">
        <v>248</v>
      </c>
      <c r="E660" s="2">
        <v>42450</v>
      </c>
      <c r="F660" s="8">
        <v>0.43472222222222223</v>
      </c>
      <c r="G660" t="s">
        <v>55</v>
      </c>
      <c r="H660" s="7">
        <f t="shared" si="120"/>
        <v>3.4722222222222654E-3</v>
      </c>
      <c r="I660" s="13">
        <f t="shared" si="121"/>
        <v>8.3333333333333329E-2</v>
      </c>
      <c r="J660" t="s">
        <v>21</v>
      </c>
      <c r="K660" t="s">
        <v>31</v>
      </c>
      <c r="L660">
        <v>1</v>
      </c>
      <c r="M660" s="5">
        <f t="shared" si="122"/>
        <v>12</v>
      </c>
      <c r="O660" t="str">
        <f t="shared" si="123"/>
        <v>No Purpose</v>
      </c>
    </row>
    <row r="661" spans="1:15" x14ac:dyDescent="0.3">
      <c r="A661" t="s">
        <v>251</v>
      </c>
      <c r="B661" s="2">
        <v>42450</v>
      </c>
      <c r="C661" s="7">
        <v>0.7909722222222223</v>
      </c>
      <c r="D661" t="s">
        <v>252</v>
      </c>
      <c r="E661" s="2">
        <v>42450</v>
      </c>
      <c r="F661" s="8">
        <v>0.80208333333333337</v>
      </c>
      <c r="G661" t="s">
        <v>7</v>
      </c>
      <c r="H661" s="7">
        <f t="shared" si="120"/>
        <v>1.1111111111111072E-2</v>
      </c>
      <c r="I661" s="13">
        <f t="shared" si="121"/>
        <v>0.26666666666666666</v>
      </c>
      <c r="J661" t="s">
        <v>21</v>
      </c>
      <c r="K661" t="s">
        <v>203</v>
      </c>
      <c r="L661">
        <v>8.8000000000000007</v>
      </c>
      <c r="M661" s="5">
        <f t="shared" si="122"/>
        <v>33</v>
      </c>
      <c r="O661" t="str">
        <f t="shared" si="123"/>
        <v>No Purpose</v>
      </c>
    </row>
    <row r="662" spans="1:15" x14ac:dyDescent="0.3">
      <c r="A662" t="s">
        <v>258</v>
      </c>
      <c r="B662" s="2">
        <v>42451</v>
      </c>
      <c r="C662" s="7">
        <v>0.50416666666666665</v>
      </c>
      <c r="D662" t="s">
        <v>259</v>
      </c>
      <c r="E662" s="2">
        <v>42451</v>
      </c>
      <c r="F662" s="8">
        <v>0.51666666666666672</v>
      </c>
      <c r="G662" t="s">
        <v>55</v>
      </c>
      <c r="H662" s="7">
        <f t="shared" si="120"/>
        <v>1.2500000000000067E-2</v>
      </c>
      <c r="I662" s="13">
        <f t="shared" si="121"/>
        <v>0.3</v>
      </c>
      <c r="J662" t="s">
        <v>16</v>
      </c>
      <c r="K662" t="s">
        <v>15</v>
      </c>
      <c r="L662">
        <v>8.1</v>
      </c>
      <c r="M662" s="5">
        <f t="shared" si="122"/>
        <v>27</v>
      </c>
      <c r="O662" t="str">
        <f t="shared" si="123"/>
        <v>No Purpose</v>
      </c>
    </row>
    <row r="663" spans="1:15" x14ac:dyDescent="0.3">
      <c r="A663" t="s">
        <v>260</v>
      </c>
      <c r="B663" s="2">
        <v>42451</v>
      </c>
      <c r="C663" s="7">
        <v>0.79999999999999993</v>
      </c>
      <c r="D663" t="s">
        <v>261</v>
      </c>
      <c r="E663" s="2">
        <v>42451</v>
      </c>
      <c r="F663" s="8">
        <v>0.80902777777777779</v>
      </c>
      <c r="G663" t="s">
        <v>55</v>
      </c>
      <c r="H663" s="7">
        <f t="shared" si="120"/>
        <v>9.0277777777778567E-3</v>
      </c>
      <c r="I663" s="13">
        <f t="shared" si="121"/>
        <v>0.21666666666666667</v>
      </c>
      <c r="J663" t="s">
        <v>38</v>
      </c>
      <c r="K663" t="s">
        <v>38</v>
      </c>
      <c r="L663">
        <v>1.4</v>
      </c>
      <c r="M663" s="5">
        <f t="shared" si="122"/>
        <v>6.4615384615384608</v>
      </c>
      <c r="O663" t="str">
        <f t="shared" si="123"/>
        <v>No Purpose</v>
      </c>
    </row>
    <row r="664" spans="1:15" x14ac:dyDescent="0.3">
      <c r="A664" t="s">
        <v>262</v>
      </c>
      <c r="B664" s="2">
        <v>42452</v>
      </c>
      <c r="C664" s="7">
        <v>0.60902777777777783</v>
      </c>
      <c r="D664" t="s">
        <v>263</v>
      </c>
      <c r="E664" s="2">
        <v>42452</v>
      </c>
      <c r="F664" s="8">
        <v>0.61249999999999993</v>
      </c>
      <c r="G664" t="s">
        <v>55</v>
      </c>
      <c r="H664" s="7">
        <f t="shared" si="120"/>
        <v>3.4722222222220989E-3</v>
      </c>
      <c r="I664" s="13">
        <f t="shared" si="121"/>
        <v>8.3333333333333329E-2</v>
      </c>
      <c r="J664" t="s">
        <v>38</v>
      </c>
      <c r="K664" t="s">
        <v>57</v>
      </c>
      <c r="L664">
        <v>1.7</v>
      </c>
      <c r="M664" s="5">
        <f t="shared" si="122"/>
        <v>20.400000000000002</v>
      </c>
      <c r="O664" t="str">
        <f t="shared" si="123"/>
        <v>No Purpose</v>
      </c>
    </row>
    <row r="665" spans="1:15" x14ac:dyDescent="0.3">
      <c r="A665" t="s">
        <v>264</v>
      </c>
      <c r="B665" s="2">
        <v>42452</v>
      </c>
      <c r="C665" s="7">
        <v>0.62013888888888891</v>
      </c>
      <c r="D665" t="s">
        <v>265</v>
      </c>
      <c r="E665" s="2">
        <v>42452</v>
      </c>
      <c r="F665" s="8">
        <v>0.62430555555555556</v>
      </c>
      <c r="G665" t="s">
        <v>55</v>
      </c>
      <c r="H665" s="7">
        <f t="shared" si="120"/>
        <v>4.1666666666666519E-3</v>
      </c>
      <c r="I665" s="13">
        <f t="shared" si="121"/>
        <v>0.1</v>
      </c>
      <c r="J665" t="s">
        <v>57</v>
      </c>
      <c r="K665" t="s">
        <v>38</v>
      </c>
      <c r="L665">
        <v>1.6</v>
      </c>
      <c r="M665" s="5">
        <f t="shared" si="122"/>
        <v>16</v>
      </c>
      <c r="O665" t="str">
        <f t="shared" si="123"/>
        <v>No Purpose</v>
      </c>
    </row>
    <row r="666" spans="1:15" x14ac:dyDescent="0.3">
      <c r="A666" t="s">
        <v>266</v>
      </c>
      <c r="B666" s="2">
        <v>42453</v>
      </c>
      <c r="C666" s="7">
        <v>0.82430555555555562</v>
      </c>
      <c r="D666" t="s">
        <v>267</v>
      </c>
      <c r="E666" s="2">
        <v>42453</v>
      </c>
      <c r="F666" s="8">
        <v>0.82916666666666661</v>
      </c>
      <c r="G666" t="s">
        <v>55</v>
      </c>
      <c r="H666" s="7">
        <f t="shared" si="120"/>
        <v>4.8611111111109828E-3</v>
      </c>
      <c r="I666" s="13">
        <f t="shared" si="121"/>
        <v>0.11666666666666667</v>
      </c>
      <c r="J666" t="s">
        <v>38</v>
      </c>
      <c r="K666" t="s">
        <v>44</v>
      </c>
      <c r="L666">
        <v>2</v>
      </c>
      <c r="M666" s="5">
        <f t="shared" si="122"/>
        <v>17.142857142857142</v>
      </c>
      <c r="O666" t="str">
        <f t="shared" si="123"/>
        <v>No Purpose</v>
      </c>
    </row>
    <row r="667" spans="1:15" x14ac:dyDescent="0.3">
      <c r="A667" t="s">
        <v>268</v>
      </c>
      <c r="B667" s="2">
        <v>42453</v>
      </c>
      <c r="C667" s="7">
        <v>0.8569444444444444</v>
      </c>
      <c r="D667" t="s">
        <v>269</v>
      </c>
      <c r="E667" s="2">
        <v>42453</v>
      </c>
      <c r="F667" s="8">
        <v>0.86111111111111116</v>
      </c>
      <c r="G667" t="s">
        <v>7</v>
      </c>
      <c r="H667" s="7">
        <f t="shared" si="120"/>
        <v>4.1666666666667629E-3</v>
      </c>
      <c r="I667" s="13">
        <f t="shared" si="121"/>
        <v>0.1</v>
      </c>
      <c r="J667" t="s">
        <v>44</v>
      </c>
      <c r="K667" t="s">
        <v>38</v>
      </c>
      <c r="L667">
        <v>2.2000000000000002</v>
      </c>
      <c r="M667" s="5">
        <f t="shared" si="122"/>
        <v>22</v>
      </c>
      <c r="O667" t="str">
        <f t="shared" si="123"/>
        <v>No Purpose</v>
      </c>
    </row>
    <row r="668" spans="1:15" x14ac:dyDescent="0.3">
      <c r="A668" t="s">
        <v>279</v>
      </c>
      <c r="B668" s="2">
        <v>42455</v>
      </c>
      <c r="C668" s="7">
        <v>0.58680555555555558</v>
      </c>
      <c r="D668" t="s">
        <v>280</v>
      </c>
      <c r="E668" s="2">
        <v>42455</v>
      </c>
      <c r="F668" s="8">
        <v>0.60347222222222219</v>
      </c>
      <c r="G668" t="s">
        <v>55</v>
      </c>
      <c r="H668" s="7">
        <f t="shared" si="120"/>
        <v>1.6666666666666607E-2</v>
      </c>
      <c r="I668" s="13">
        <f t="shared" si="121"/>
        <v>0.4</v>
      </c>
      <c r="J668" t="s">
        <v>281</v>
      </c>
      <c r="K668" t="s">
        <v>282</v>
      </c>
      <c r="L668">
        <v>6.7</v>
      </c>
      <c r="M668" s="5">
        <f t="shared" si="122"/>
        <v>16.75</v>
      </c>
      <c r="O668" t="str">
        <f t="shared" si="123"/>
        <v>No Purpose</v>
      </c>
    </row>
    <row r="669" spans="1:15" x14ac:dyDescent="0.3">
      <c r="A669" t="s">
        <v>283</v>
      </c>
      <c r="B669" s="2">
        <v>42455</v>
      </c>
      <c r="C669" s="7">
        <v>0.6381944444444444</v>
      </c>
      <c r="D669" t="s">
        <v>284</v>
      </c>
      <c r="E669" s="2">
        <v>42455</v>
      </c>
      <c r="F669" s="8">
        <v>0.65902777777777777</v>
      </c>
      <c r="G669" t="s">
        <v>55</v>
      </c>
      <c r="H669" s="7">
        <f t="shared" si="120"/>
        <v>2.083333333333337E-2</v>
      </c>
      <c r="I669" s="13">
        <f t="shared" si="121"/>
        <v>0.5</v>
      </c>
      <c r="J669" t="s">
        <v>278</v>
      </c>
      <c r="K669" t="s">
        <v>285</v>
      </c>
      <c r="L669">
        <v>8.8000000000000007</v>
      </c>
      <c r="M669" s="5">
        <f t="shared" si="122"/>
        <v>17.600000000000001</v>
      </c>
      <c r="O669" t="str">
        <f t="shared" si="123"/>
        <v>No Purpose</v>
      </c>
    </row>
    <row r="670" spans="1:15" x14ac:dyDescent="0.3">
      <c r="A670" t="s">
        <v>286</v>
      </c>
      <c r="B670" s="2">
        <v>42455</v>
      </c>
      <c r="C670" s="7">
        <v>0.68472222222222223</v>
      </c>
      <c r="D670" t="s">
        <v>287</v>
      </c>
      <c r="E670" s="2">
        <v>42455</v>
      </c>
      <c r="F670" s="8">
        <v>0.6875</v>
      </c>
      <c r="G670" t="s">
        <v>55</v>
      </c>
      <c r="H670" s="7">
        <f t="shared" si="120"/>
        <v>2.7777777777777679E-3</v>
      </c>
      <c r="I670" s="13">
        <f t="shared" si="121"/>
        <v>6.6666666666666666E-2</v>
      </c>
      <c r="J670" t="s">
        <v>288</v>
      </c>
      <c r="K670" t="s">
        <v>288</v>
      </c>
      <c r="L670">
        <v>1.2</v>
      </c>
      <c r="M670" s="5">
        <f t="shared" si="122"/>
        <v>18</v>
      </c>
      <c r="O670" t="str">
        <f t="shared" si="123"/>
        <v>No Purpose</v>
      </c>
    </row>
    <row r="671" spans="1:15" x14ac:dyDescent="0.3">
      <c r="A671" t="s">
        <v>295</v>
      </c>
      <c r="B671" s="2">
        <v>42456</v>
      </c>
      <c r="C671" s="7">
        <v>0.8930555555555556</v>
      </c>
      <c r="D671" t="s">
        <v>296</v>
      </c>
      <c r="E671" s="2">
        <v>42456</v>
      </c>
      <c r="F671" s="8">
        <v>0.90347222222222223</v>
      </c>
      <c r="G671" t="s">
        <v>55</v>
      </c>
      <c r="H671" s="7">
        <f t="shared" si="120"/>
        <v>1.041666666666663E-2</v>
      </c>
      <c r="I671" s="13">
        <f t="shared" si="121"/>
        <v>0.25</v>
      </c>
      <c r="J671" t="s">
        <v>285</v>
      </c>
      <c r="K671" t="s">
        <v>285</v>
      </c>
      <c r="L671">
        <v>6.9</v>
      </c>
      <c r="M671" s="5">
        <f t="shared" si="122"/>
        <v>27.6</v>
      </c>
      <c r="O671" t="str">
        <f t="shared" si="123"/>
        <v>No Purpose</v>
      </c>
    </row>
    <row r="672" spans="1:15" x14ac:dyDescent="0.3">
      <c r="A672" t="s">
        <v>297</v>
      </c>
      <c r="B672" s="2">
        <v>42456</v>
      </c>
      <c r="C672" s="7">
        <v>0.96111111111111114</v>
      </c>
      <c r="D672" t="s">
        <v>298</v>
      </c>
      <c r="E672" s="2">
        <v>42456</v>
      </c>
      <c r="F672" s="8">
        <v>0.97083333333333333</v>
      </c>
      <c r="G672" t="s">
        <v>55</v>
      </c>
      <c r="H672" s="7">
        <f t="shared" si="120"/>
        <v>9.7222222222221877E-3</v>
      </c>
      <c r="I672" s="13">
        <f t="shared" si="121"/>
        <v>0.23333333333333334</v>
      </c>
      <c r="J672" t="s">
        <v>285</v>
      </c>
      <c r="K672" t="s">
        <v>278</v>
      </c>
      <c r="L672">
        <v>7.3</v>
      </c>
      <c r="M672" s="5">
        <f t="shared" si="122"/>
        <v>31.285714285714285</v>
      </c>
      <c r="O672" t="str">
        <f t="shared" si="123"/>
        <v>No Purpose</v>
      </c>
    </row>
    <row r="673" spans="1:15" x14ac:dyDescent="0.3">
      <c r="A673" t="s">
        <v>299</v>
      </c>
      <c r="B673" s="2">
        <v>42457</v>
      </c>
      <c r="C673" s="7">
        <v>0.52013888888888882</v>
      </c>
      <c r="D673" t="s">
        <v>300</v>
      </c>
      <c r="E673" s="2">
        <v>42457</v>
      </c>
      <c r="F673" s="8">
        <v>0.52916666666666667</v>
      </c>
      <c r="G673" t="s">
        <v>55</v>
      </c>
      <c r="H673" s="7">
        <f t="shared" si="120"/>
        <v>9.0277777777778567E-3</v>
      </c>
      <c r="I673" s="13">
        <f t="shared" si="121"/>
        <v>0.21666666666666667</v>
      </c>
      <c r="J673" t="s">
        <v>278</v>
      </c>
      <c r="K673" t="s">
        <v>285</v>
      </c>
      <c r="L673">
        <v>3.6</v>
      </c>
      <c r="M673" s="5">
        <f t="shared" si="122"/>
        <v>16.615384615384617</v>
      </c>
      <c r="O673" t="str">
        <f t="shared" si="123"/>
        <v>No Purpose</v>
      </c>
    </row>
    <row r="674" spans="1:15" x14ac:dyDescent="0.3">
      <c r="A674" t="s">
        <v>301</v>
      </c>
      <c r="B674" s="2">
        <v>42457</v>
      </c>
      <c r="C674" s="7">
        <v>0.8125</v>
      </c>
      <c r="D674" t="s">
        <v>302</v>
      </c>
      <c r="E674" s="2">
        <v>42457</v>
      </c>
      <c r="F674" s="8">
        <v>0.84930555555555554</v>
      </c>
      <c r="G674" t="s">
        <v>55</v>
      </c>
      <c r="H674" s="7">
        <f t="shared" si="120"/>
        <v>3.6805555555555536E-2</v>
      </c>
      <c r="I674" s="13">
        <f t="shared" si="121"/>
        <v>0.8833333333333333</v>
      </c>
      <c r="J674" t="s">
        <v>281</v>
      </c>
      <c r="K674" t="s">
        <v>303</v>
      </c>
      <c r="L674">
        <v>27.2</v>
      </c>
      <c r="M674" s="5">
        <f t="shared" si="122"/>
        <v>30.79245283018868</v>
      </c>
      <c r="O674" t="str">
        <f t="shared" si="123"/>
        <v>No Purpose</v>
      </c>
    </row>
    <row r="675" spans="1:15" x14ac:dyDescent="0.3">
      <c r="A675" t="s">
        <v>304</v>
      </c>
      <c r="B675" s="2">
        <v>42457</v>
      </c>
      <c r="C675" s="7">
        <v>0.95486111111111116</v>
      </c>
      <c r="D675" t="s">
        <v>305</v>
      </c>
      <c r="E675" s="2">
        <v>42457</v>
      </c>
      <c r="F675" s="8">
        <v>0.97638888888888886</v>
      </c>
      <c r="G675" t="s">
        <v>55</v>
      </c>
      <c r="H675" s="7">
        <f t="shared" si="120"/>
        <v>2.1527777777777701E-2</v>
      </c>
      <c r="I675" s="13">
        <f t="shared" si="121"/>
        <v>0.51666666666666672</v>
      </c>
      <c r="J675" t="s">
        <v>285</v>
      </c>
      <c r="K675" t="s">
        <v>278</v>
      </c>
      <c r="L675">
        <v>25.7</v>
      </c>
      <c r="M675" s="5">
        <f t="shared" si="122"/>
        <v>49.741935483870961</v>
      </c>
      <c r="O675" t="str">
        <f t="shared" si="123"/>
        <v>No Purpose</v>
      </c>
    </row>
    <row r="676" spans="1:15" x14ac:dyDescent="0.3">
      <c r="A676" t="s">
        <v>306</v>
      </c>
      <c r="B676" s="2">
        <v>42458</v>
      </c>
      <c r="C676" s="7">
        <v>0.64374999999999993</v>
      </c>
      <c r="D676" t="s">
        <v>307</v>
      </c>
      <c r="E676" s="2">
        <v>42458</v>
      </c>
      <c r="F676" s="8">
        <v>0.6743055555555556</v>
      </c>
      <c r="G676" t="s">
        <v>55</v>
      </c>
      <c r="H676" s="7">
        <f t="shared" si="120"/>
        <v>3.0555555555555669E-2</v>
      </c>
      <c r="I676" s="13">
        <f t="shared" si="121"/>
        <v>0.73333333333333328</v>
      </c>
      <c r="J676" t="s">
        <v>278</v>
      </c>
      <c r="K676" t="s">
        <v>285</v>
      </c>
      <c r="L676">
        <v>13.6</v>
      </c>
      <c r="M676" s="5">
        <f t="shared" si="122"/>
        <v>18.545454545454547</v>
      </c>
      <c r="O676" t="str">
        <f t="shared" si="123"/>
        <v>No Purpose</v>
      </c>
    </row>
    <row r="677" spans="1:15" x14ac:dyDescent="0.3">
      <c r="A677" t="s">
        <v>308</v>
      </c>
      <c r="B677" s="2">
        <v>42458</v>
      </c>
      <c r="C677" s="7">
        <v>0.76388888888888884</v>
      </c>
      <c r="D677" t="s">
        <v>309</v>
      </c>
      <c r="E677" s="2">
        <v>42458</v>
      </c>
      <c r="F677" s="8">
        <v>0.77708333333333324</v>
      </c>
      <c r="G677" t="s">
        <v>55</v>
      </c>
      <c r="H677" s="7">
        <f t="shared" si="120"/>
        <v>1.3194444444444398E-2</v>
      </c>
      <c r="I677" s="13">
        <f t="shared" si="121"/>
        <v>0.31666666666666665</v>
      </c>
      <c r="J677" t="s">
        <v>310</v>
      </c>
      <c r="K677" t="s">
        <v>311</v>
      </c>
      <c r="L677">
        <v>6.2</v>
      </c>
      <c r="M677" s="5">
        <f t="shared" si="122"/>
        <v>19.578947368421055</v>
      </c>
      <c r="O677" t="str">
        <f t="shared" si="123"/>
        <v>No Purpose</v>
      </c>
    </row>
    <row r="678" spans="1:15" x14ac:dyDescent="0.3">
      <c r="A678" t="s">
        <v>312</v>
      </c>
      <c r="B678" s="2">
        <v>42458</v>
      </c>
      <c r="C678" s="7">
        <v>0.8534722222222223</v>
      </c>
      <c r="D678" t="s">
        <v>313</v>
      </c>
      <c r="E678" s="2">
        <v>42458</v>
      </c>
      <c r="F678" s="8">
        <v>0.86388888888888893</v>
      </c>
      <c r="G678" t="s">
        <v>55</v>
      </c>
      <c r="H678" s="7">
        <f t="shared" si="120"/>
        <v>1.041666666666663E-2</v>
      </c>
      <c r="I678" s="13">
        <f t="shared" si="121"/>
        <v>0.25</v>
      </c>
      <c r="J678" t="s">
        <v>311</v>
      </c>
      <c r="K678" t="s">
        <v>310</v>
      </c>
      <c r="L678">
        <v>6</v>
      </c>
      <c r="M678" s="5">
        <f t="shared" si="122"/>
        <v>24</v>
      </c>
      <c r="O678" t="str">
        <f t="shared" si="123"/>
        <v>No Purpose</v>
      </c>
    </row>
    <row r="679" spans="1:15" x14ac:dyDescent="0.3">
      <c r="A679" t="s">
        <v>314</v>
      </c>
      <c r="B679" s="2">
        <v>42458</v>
      </c>
      <c r="C679" s="7">
        <v>0.96111111111111114</v>
      </c>
      <c r="D679" t="s">
        <v>315</v>
      </c>
      <c r="E679" s="2">
        <v>42458</v>
      </c>
      <c r="F679" s="8">
        <v>0.97291666666666676</v>
      </c>
      <c r="G679" t="s">
        <v>55</v>
      </c>
      <c r="H679" s="7">
        <f t="shared" si="120"/>
        <v>1.1805555555555625E-2</v>
      </c>
      <c r="I679" s="13">
        <f t="shared" si="121"/>
        <v>0.28333333333333333</v>
      </c>
      <c r="J679" t="s">
        <v>285</v>
      </c>
      <c r="K679" t="s">
        <v>278</v>
      </c>
      <c r="L679">
        <v>13.8</v>
      </c>
      <c r="M679" s="5">
        <f t="shared" si="122"/>
        <v>48.705882352941181</v>
      </c>
      <c r="O679" t="str">
        <f t="shared" si="123"/>
        <v>No Purpose</v>
      </c>
    </row>
    <row r="680" spans="1:15" x14ac:dyDescent="0.3">
      <c r="A680" s="1">
        <v>42373.702777777777</v>
      </c>
      <c r="B680" s="6">
        <f>INT(A680:A719)</f>
        <v>42373</v>
      </c>
      <c r="C680" s="7">
        <f>(A680-B680)</f>
        <v>0.70277777777664596</v>
      </c>
      <c r="D680" s="1">
        <v>42373.706250000003</v>
      </c>
      <c r="E680" s="6">
        <f>INT(D680)</f>
        <v>42373</v>
      </c>
      <c r="F680" s="8">
        <f>D680-E680</f>
        <v>0.70625000000291038</v>
      </c>
      <c r="G680" t="s">
        <v>55</v>
      </c>
      <c r="H680" s="7">
        <f t="shared" si="120"/>
        <v>3.4722222262644209E-3</v>
      </c>
      <c r="I680" s="13">
        <f t="shared" si="121"/>
        <v>8.3333333333333329E-2</v>
      </c>
      <c r="J680" t="s">
        <v>278</v>
      </c>
      <c r="K680" t="s">
        <v>278</v>
      </c>
      <c r="L680">
        <v>0.7</v>
      </c>
      <c r="M680" s="5">
        <f t="shared" si="122"/>
        <v>8.4</v>
      </c>
      <c r="O680" t="str">
        <f t="shared" si="123"/>
        <v>No Purpose</v>
      </c>
    </row>
    <row r="681" spans="1:15" x14ac:dyDescent="0.3">
      <c r="A681" s="1">
        <v>42404.366666666669</v>
      </c>
      <c r="B681" s="6">
        <f>INT(A681:A720)</f>
        <v>42404</v>
      </c>
      <c r="C681" s="7">
        <f>(A681-B681)</f>
        <v>0.36666666666860692</v>
      </c>
      <c r="D681" s="1">
        <v>42404.37777777778</v>
      </c>
      <c r="E681" s="6">
        <f>INT(D681)</f>
        <v>42404</v>
      </c>
      <c r="F681" s="8">
        <f>D681-E681</f>
        <v>0.37777777777955635</v>
      </c>
      <c r="G681" t="s">
        <v>55</v>
      </c>
      <c r="H681" s="7">
        <f t="shared" si="120"/>
        <v>1.1111111110949423E-2</v>
      </c>
      <c r="I681" s="13">
        <f t="shared" si="121"/>
        <v>0.26666666666666666</v>
      </c>
      <c r="J681" t="s">
        <v>278</v>
      </c>
      <c r="K681" t="s">
        <v>278</v>
      </c>
      <c r="L681">
        <v>5.5</v>
      </c>
      <c r="M681" s="5">
        <f t="shared" si="122"/>
        <v>20.625</v>
      </c>
      <c r="O681" t="str">
        <f t="shared" si="123"/>
        <v>No Purpose</v>
      </c>
    </row>
    <row r="682" spans="1:15" x14ac:dyDescent="0.3">
      <c r="A682" s="1">
        <v>42404.459027777775</v>
      </c>
      <c r="B682" s="6">
        <f>INT(A682:A721)</f>
        <v>42404</v>
      </c>
      <c r="C682" s="7">
        <f>(A682-B682)</f>
        <v>0.45902777777519077</v>
      </c>
      <c r="D682" s="1">
        <v>42404.469444444447</v>
      </c>
      <c r="E682" s="6">
        <f>INT(D682)</f>
        <v>42404</v>
      </c>
      <c r="F682" s="8">
        <f>D682-E682</f>
        <v>0.46944444444670808</v>
      </c>
      <c r="G682" t="s">
        <v>55</v>
      </c>
      <c r="H682" s="7">
        <f t="shared" si="120"/>
        <v>1.0416666671517305E-2</v>
      </c>
      <c r="I682" s="13">
        <f t="shared" si="121"/>
        <v>0.25</v>
      </c>
      <c r="J682" t="s">
        <v>278</v>
      </c>
      <c r="K682" t="s">
        <v>278</v>
      </c>
      <c r="L682">
        <v>5.0999999999999996</v>
      </c>
      <c r="M682" s="5">
        <f t="shared" si="122"/>
        <v>20.399999999999999</v>
      </c>
      <c r="O682" t="str">
        <f t="shared" si="123"/>
        <v>No Purpose</v>
      </c>
    </row>
    <row r="683" spans="1:15" x14ac:dyDescent="0.3">
      <c r="A683" t="s">
        <v>387</v>
      </c>
      <c r="B683" s="2">
        <v>42490</v>
      </c>
      <c r="C683" s="7">
        <v>0.9277777777777777</v>
      </c>
      <c r="D683" t="s">
        <v>388</v>
      </c>
      <c r="E683" s="2">
        <v>42490</v>
      </c>
      <c r="F683" s="8">
        <v>0.94027777777777777</v>
      </c>
      <c r="G683" t="s">
        <v>7</v>
      </c>
      <c r="H683" s="7">
        <f t="shared" si="120"/>
        <v>1.2500000000000067E-2</v>
      </c>
      <c r="I683" s="13">
        <f t="shared" si="121"/>
        <v>0.3</v>
      </c>
      <c r="J683" t="s">
        <v>139</v>
      </c>
      <c r="K683" t="s">
        <v>38</v>
      </c>
      <c r="L683">
        <v>6.8</v>
      </c>
      <c r="M683" s="5">
        <f t="shared" si="122"/>
        <v>22.666666666666668</v>
      </c>
      <c r="O683" t="str">
        <f t="shared" si="123"/>
        <v>No Purpose</v>
      </c>
    </row>
    <row r="684" spans="1:15" x14ac:dyDescent="0.3">
      <c r="A684" s="1">
        <v>42374.601388888892</v>
      </c>
      <c r="B684" s="6">
        <f>INT(A684:A723)</f>
        <v>42374</v>
      </c>
      <c r="C684" s="7">
        <f>(A684-B684)</f>
        <v>0.60138888889196096</v>
      </c>
      <c r="D684" s="1">
        <v>42374.604861111111</v>
      </c>
      <c r="E684" s="6">
        <f>INT(D684)</f>
        <v>42374</v>
      </c>
      <c r="F684" s="8">
        <f>D684-E684</f>
        <v>0.60486111111094942</v>
      </c>
      <c r="G684" t="s">
        <v>7</v>
      </c>
      <c r="H684" s="7">
        <f t="shared" si="120"/>
        <v>3.4722222189884633E-3</v>
      </c>
      <c r="I684" s="13">
        <f t="shared" si="121"/>
        <v>8.3333333333333329E-2</v>
      </c>
      <c r="J684" t="s">
        <v>44</v>
      </c>
      <c r="K684" t="s">
        <v>38</v>
      </c>
      <c r="L684">
        <v>2.2999999999999998</v>
      </c>
      <c r="M684" s="5">
        <f t="shared" si="122"/>
        <v>27.599999999999998</v>
      </c>
      <c r="O684" t="str">
        <f t="shared" si="123"/>
        <v>No Purpose</v>
      </c>
    </row>
    <row r="685" spans="1:15" x14ac:dyDescent="0.3">
      <c r="A685" t="s">
        <v>436</v>
      </c>
      <c r="B685" s="2">
        <v>42517</v>
      </c>
      <c r="C685" s="7">
        <v>0.86597222222222225</v>
      </c>
      <c r="D685" t="s">
        <v>437</v>
      </c>
      <c r="E685" s="2">
        <v>42517</v>
      </c>
      <c r="F685" s="8">
        <v>0.87013888888888891</v>
      </c>
      <c r="G685" t="s">
        <v>7</v>
      </c>
      <c r="H685" s="7">
        <f t="shared" si="120"/>
        <v>4.1666666666666519E-3</v>
      </c>
      <c r="I685" s="13">
        <f t="shared" si="121"/>
        <v>0.1</v>
      </c>
      <c r="J685" t="s">
        <v>430</v>
      </c>
      <c r="K685" t="s">
        <v>438</v>
      </c>
      <c r="L685">
        <v>1.2</v>
      </c>
      <c r="M685" s="5">
        <f t="shared" si="122"/>
        <v>11.999999999999998</v>
      </c>
      <c r="O685" t="str">
        <f t="shared" si="123"/>
        <v>No Purpose</v>
      </c>
    </row>
    <row r="686" spans="1:15" x14ac:dyDescent="0.3">
      <c r="A686" t="s">
        <v>451</v>
      </c>
      <c r="B686" s="2">
        <v>42521</v>
      </c>
      <c r="C686" s="7">
        <v>0.74305555555555547</v>
      </c>
      <c r="D686" t="s">
        <v>452</v>
      </c>
      <c r="E686" s="2">
        <v>42521</v>
      </c>
      <c r="F686" s="8">
        <v>0.74930555555555556</v>
      </c>
      <c r="G686" t="s">
        <v>7</v>
      </c>
      <c r="H686" s="7">
        <f t="shared" si="120"/>
        <v>6.2500000000000888E-3</v>
      </c>
      <c r="I686" s="13">
        <f t="shared" si="121"/>
        <v>0.15</v>
      </c>
      <c r="J686" t="s">
        <v>44</v>
      </c>
      <c r="K686" t="s">
        <v>38</v>
      </c>
      <c r="L686">
        <v>1.8</v>
      </c>
      <c r="M686" s="5">
        <f t="shared" si="122"/>
        <v>12</v>
      </c>
      <c r="O686" t="str">
        <f t="shared" si="123"/>
        <v>No Purpose</v>
      </c>
    </row>
    <row r="687" spans="1:15" x14ac:dyDescent="0.3">
      <c r="A687" s="1">
        <v>42680.743055555555</v>
      </c>
      <c r="B687" s="6">
        <f>INT(A687:A726)</f>
        <v>42680</v>
      </c>
      <c r="C687" s="7">
        <f>(A687-B687)</f>
        <v>0.74305555555474712</v>
      </c>
      <c r="D687" s="1">
        <v>42680.74722222222</v>
      </c>
      <c r="E687" s="6">
        <f>INT(D687)</f>
        <v>42680</v>
      </c>
      <c r="F687" s="8">
        <f>D687-E687</f>
        <v>0.74722222222044365</v>
      </c>
      <c r="G687" t="s">
        <v>7</v>
      </c>
      <c r="H687" s="7">
        <f t="shared" si="120"/>
        <v>4.166666665696539E-3</v>
      </c>
      <c r="I687" s="13">
        <f t="shared" si="121"/>
        <v>0.1</v>
      </c>
      <c r="J687" t="s">
        <v>44</v>
      </c>
      <c r="K687" t="s">
        <v>38</v>
      </c>
      <c r="L687">
        <v>1.7</v>
      </c>
      <c r="M687" s="5">
        <f t="shared" si="122"/>
        <v>17</v>
      </c>
      <c r="O687" t="str">
        <f t="shared" si="123"/>
        <v>No Purpose</v>
      </c>
    </row>
    <row r="688" spans="1:15" x14ac:dyDescent="0.3">
      <c r="A688" t="s">
        <v>477</v>
      </c>
      <c r="B688" s="2">
        <v>42535</v>
      </c>
      <c r="C688" s="7">
        <v>0.50208333333333333</v>
      </c>
      <c r="D688" t="s">
        <v>478</v>
      </c>
      <c r="E688" s="2">
        <v>42535</v>
      </c>
      <c r="F688" s="8">
        <v>0.51458333333333328</v>
      </c>
      <c r="G688" t="s">
        <v>7</v>
      </c>
      <c r="H688" s="7">
        <f t="shared" si="120"/>
        <v>1.2499999999999956E-2</v>
      </c>
      <c r="I688" s="13">
        <f t="shared" si="121"/>
        <v>0.3</v>
      </c>
      <c r="J688" t="s">
        <v>469</v>
      </c>
      <c r="K688" t="s">
        <v>396</v>
      </c>
      <c r="L688">
        <v>9.8000000000000007</v>
      </c>
      <c r="M688" s="5">
        <f t="shared" si="122"/>
        <v>32.666666666666671</v>
      </c>
      <c r="O688" t="str">
        <f t="shared" si="123"/>
        <v>No Purpose</v>
      </c>
    </row>
    <row r="689" spans="1:15" x14ac:dyDescent="0.3">
      <c r="A689" t="s">
        <v>497</v>
      </c>
      <c r="B689" s="2">
        <v>42536</v>
      </c>
      <c r="C689" s="7">
        <v>0.7284722222222223</v>
      </c>
      <c r="D689" t="s">
        <v>498</v>
      </c>
      <c r="E689" s="2">
        <v>42536</v>
      </c>
      <c r="F689" s="8">
        <v>0.74236111111111114</v>
      </c>
      <c r="G689" t="s">
        <v>55</v>
      </c>
      <c r="H689" s="7">
        <f t="shared" si="120"/>
        <v>1.388888888888884E-2</v>
      </c>
      <c r="I689" s="13">
        <f t="shared" si="121"/>
        <v>0.33333333333333331</v>
      </c>
      <c r="J689" t="s">
        <v>496</v>
      </c>
      <c r="K689" t="s">
        <v>499</v>
      </c>
      <c r="L689">
        <v>5.5</v>
      </c>
      <c r="M689" s="5">
        <f t="shared" si="122"/>
        <v>16.5</v>
      </c>
      <c r="O689" t="str">
        <f t="shared" si="123"/>
        <v>No Purpose</v>
      </c>
    </row>
    <row r="690" spans="1:15" x14ac:dyDescent="0.3">
      <c r="A690" t="s">
        <v>503</v>
      </c>
      <c r="B690" s="2">
        <v>42537</v>
      </c>
      <c r="C690" s="7">
        <v>0.56666666666666665</v>
      </c>
      <c r="D690" t="s">
        <v>504</v>
      </c>
      <c r="E690" s="2">
        <v>42537</v>
      </c>
      <c r="F690" s="8">
        <v>0.60416666666666663</v>
      </c>
      <c r="G690" t="s">
        <v>7</v>
      </c>
      <c r="H690" s="7">
        <f t="shared" si="120"/>
        <v>3.7499999999999978E-2</v>
      </c>
      <c r="I690" s="13">
        <f t="shared" si="121"/>
        <v>0.9</v>
      </c>
      <c r="J690" t="s">
        <v>489</v>
      </c>
      <c r="K690" t="s">
        <v>505</v>
      </c>
      <c r="L690">
        <v>14.5</v>
      </c>
      <c r="M690" s="5">
        <f t="shared" si="122"/>
        <v>16.111111111111111</v>
      </c>
      <c r="O690" t="str">
        <f t="shared" si="123"/>
        <v>No Purpose</v>
      </c>
    </row>
    <row r="691" spans="1:15" x14ac:dyDescent="0.3">
      <c r="A691" t="s">
        <v>506</v>
      </c>
      <c r="B691" s="2">
        <v>42537</v>
      </c>
      <c r="C691" s="7">
        <v>0.61249999999999993</v>
      </c>
      <c r="D691" t="s">
        <v>507</v>
      </c>
      <c r="E691" s="2">
        <v>42537</v>
      </c>
      <c r="F691" s="8">
        <v>0.61527777777777781</v>
      </c>
      <c r="G691" t="s">
        <v>7</v>
      </c>
      <c r="H691" s="7">
        <f t="shared" si="120"/>
        <v>2.7777777777778789E-3</v>
      </c>
      <c r="I691" s="13">
        <f t="shared" si="121"/>
        <v>6.6666666666666666E-2</v>
      </c>
      <c r="J691" t="s">
        <v>505</v>
      </c>
      <c r="K691" t="s">
        <v>488</v>
      </c>
      <c r="L691">
        <v>2.7</v>
      </c>
      <c r="M691" s="5">
        <f t="shared" si="122"/>
        <v>40.5</v>
      </c>
      <c r="O691" t="str">
        <f t="shared" si="123"/>
        <v>No Purpose</v>
      </c>
    </row>
    <row r="692" spans="1:15" x14ac:dyDescent="0.3">
      <c r="A692" t="s">
        <v>508</v>
      </c>
      <c r="B692" s="2">
        <v>42537</v>
      </c>
      <c r="C692" s="7">
        <v>0.63680555555555551</v>
      </c>
      <c r="D692" t="s">
        <v>509</v>
      </c>
      <c r="E692" s="2">
        <v>42537</v>
      </c>
      <c r="F692" s="8">
        <v>0.65347222222222223</v>
      </c>
      <c r="G692" t="s">
        <v>7</v>
      </c>
      <c r="H692" s="7">
        <f t="shared" si="120"/>
        <v>1.6666666666666718E-2</v>
      </c>
      <c r="I692" s="13">
        <f t="shared" si="121"/>
        <v>0.4</v>
      </c>
      <c r="J692" t="s">
        <v>488</v>
      </c>
      <c r="K692" t="s">
        <v>489</v>
      </c>
      <c r="L692">
        <v>15</v>
      </c>
      <c r="M692" s="5">
        <f t="shared" si="122"/>
        <v>37.5</v>
      </c>
      <c r="O692" t="str">
        <f t="shared" si="123"/>
        <v>No Purpose</v>
      </c>
    </row>
    <row r="693" spans="1:15" x14ac:dyDescent="0.3">
      <c r="A693" t="s">
        <v>510</v>
      </c>
      <c r="B693" s="2">
        <v>42537</v>
      </c>
      <c r="C693" s="7">
        <v>0.81874999999999998</v>
      </c>
      <c r="D693" t="s">
        <v>511</v>
      </c>
      <c r="E693" s="2">
        <v>42537</v>
      </c>
      <c r="F693" s="8">
        <v>0.8305555555555556</v>
      </c>
      <c r="G693" t="s">
        <v>7</v>
      </c>
      <c r="H693" s="7">
        <f t="shared" si="120"/>
        <v>1.1805555555555625E-2</v>
      </c>
      <c r="I693" s="13">
        <f t="shared" si="121"/>
        <v>0.28333333333333333</v>
      </c>
      <c r="J693" t="s">
        <v>489</v>
      </c>
      <c r="K693" t="s">
        <v>488</v>
      </c>
      <c r="L693">
        <v>12.9</v>
      </c>
      <c r="M693" s="5">
        <f t="shared" si="122"/>
        <v>45.529411764705884</v>
      </c>
      <c r="O693" t="str">
        <f t="shared" si="123"/>
        <v>No Purpose</v>
      </c>
    </row>
    <row r="694" spans="1:15" x14ac:dyDescent="0.3">
      <c r="A694" t="s">
        <v>512</v>
      </c>
      <c r="B694" s="2">
        <v>42537</v>
      </c>
      <c r="C694" s="7">
        <v>0.90486111111111101</v>
      </c>
      <c r="D694" t="s">
        <v>513</v>
      </c>
      <c r="E694" s="2">
        <v>42537</v>
      </c>
      <c r="F694" s="8">
        <v>0.91388888888888886</v>
      </c>
      <c r="G694" t="s">
        <v>7</v>
      </c>
      <c r="H694" s="7">
        <f t="shared" si="120"/>
        <v>9.0277777777778567E-3</v>
      </c>
      <c r="I694" s="13">
        <f t="shared" si="121"/>
        <v>0.21666666666666667</v>
      </c>
      <c r="J694" t="s">
        <v>488</v>
      </c>
      <c r="K694" t="s">
        <v>489</v>
      </c>
      <c r="L694">
        <v>13.6</v>
      </c>
      <c r="M694" s="5">
        <f t="shared" si="122"/>
        <v>62.769230769230766</v>
      </c>
      <c r="O694" t="str">
        <f t="shared" si="123"/>
        <v>No Purpose</v>
      </c>
    </row>
    <row r="695" spans="1:15" x14ac:dyDescent="0.3">
      <c r="A695" t="s">
        <v>514</v>
      </c>
      <c r="B695" s="2">
        <v>42538</v>
      </c>
      <c r="C695" s="7">
        <v>0.6743055555555556</v>
      </c>
      <c r="D695" t="s">
        <v>515</v>
      </c>
      <c r="E695" s="2">
        <v>42538</v>
      </c>
      <c r="F695" s="8">
        <v>0.6972222222222223</v>
      </c>
      <c r="G695" t="s">
        <v>7</v>
      </c>
      <c r="H695" s="7">
        <f t="shared" si="120"/>
        <v>2.2916666666666696E-2</v>
      </c>
      <c r="I695" s="13">
        <f t="shared" si="121"/>
        <v>0.55000000000000004</v>
      </c>
      <c r="J695" t="s">
        <v>489</v>
      </c>
      <c r="K695" t="s">
        <v>488</v>
      </c>
      <c r="L695">
        <v>12.2</v>
      </c>
      <c r="M695" s="5">
        <f t="shared" si="122"/>
        <v>22.18181818181818</v>
      </c>
      <c r="O695" t="str">
        <f t="shared" si="123"/>
        <v>No Purpose</v>
      </c>
    </row>
    <row r="696" spans="1:15" x14ac:dyDescent="0.3">
      <c r="A696" t="s">
        <v>516</v>
      </c>
      <c r="B696" s="2">
        <v>42539</v>
      </c>
      <c r="C696" s="7">
        <v>2.013888888888889E-2</v>
      </c>
      <c r="D696" t="s">
        <v>517</v>
      </c>
      <c r="E696" s="2">
        <v>42539</v>
      </c>
      <c r="F696" s="8">
        <v>3.5416666666666666E-2</v>
      </c>
      <c r="G696" t="s">
        <v>7</v>
      </c>
      <c r="H696" s="7">
        <f t="shared" si="120"/>
        <v>1.5277777777777776E-2</v>
      </c>
      <c r="I696" s="13">
        <f t="shared" si="121"/>
        <v>0.36666666666666664</v>
      </c>
      <c r="J696" t="s">
        <v>16</v>
      </c>
      <c r="K696" t="s">
        <v>15</v>
      </c>
      <c r="L696">
        <v>8.6999999999999993</v>
      </c>
      <c r="M696" s="5">
        <f t="shared" si="122"/>
        <v>23.727272727272727</v>
      </c>
      <c r="O696" t="str">
        <f t="shared" si="123"/>
        <v>No Purpose</v>
      </c>
    </row>
    <row r="697" spans="1:15" x14ac:dyDescent="0.3">
      <c r="A697" t="s">
        <v>518</v>
      </c>
      <c r="B697" s="2">
        <v>42540</v>
      </c>
      <c r="C697" s="7">
        <v>0.11041666666666666</v>
      </c>
      <c r="D697" t="s">
        <v>519</v>
      </c>
      <c r="E697" s="2">
        <v>42540</v>
      </c>
      <c r="F697" s="8">
        <v>0.11805555555555557</v>
      </c>
      <c r="G697" t="s">
        <v>7</v>
      </c>
      <c r="H697" s="7">
        <f t="shared" si="120"/>
        <v>7.6388888888889034E-3</v>
      </c>
      <c r="I697" s="13">
        <f t="shared" si="121"/>
        <v>0.18333333333333332</v>
      </c>
      <c r="J697" t="s">
        <v>15</v>
      </c>
      <c r="K697" t="s">
        <v>40</v>
      </c>
      <c r="L697">
        <v>6</v>
      </c>
      <c r="M697" s="5">
        <f t="shared" si="122"/>
        <v>32.727272727272727</v>
      </c>
      <c r="O697" t="str">
        <f t="shared" si="123"/>
        <v>No Purpose</v>
      </c>
    </row>
    <row r="698" spans="1:15" x14ac:dyDescent="0.3">
      <c r="A698" t="s">
        <v>520</v>
      </c>
      <c r="B698" s="2">
        <v>42540</v>
      </c>
      <c r="C698" s="7">
        <v>0.24374999999999999</v>
      </c>
      <c r="D698" t="s">
        <v>521</v>
      </c>
      <c r="E698" s="2">
        <v>42540</v>
      </c>
      <c r="F698" s="8">
        <v>0.25</v>
      </c>
      <c r="G698" t="s">
        <v>7</v>
      </c>
      <c r="H698" s="7">
        <f t="shared" si="120"/>
        <v>6.2500000000000056E-3</v>
      </c>
      <c r="I698" s="13">
        <f t="shared" si="121"/>
        <v>0.15</v>
      </c>
      <c r="J698" t="s">
        <v>40</v>
      </c>
      <c r="K698" t="s">
        <v>15</v>
      </c>
      <c r="L698">
        <v>5.9</v>
      </c>
      <c r="M698" s="5">
        <f t="shared" si="122"/>
        <v>39.333333333333336</v>
      </c>
      <c r="O698" t="str">
        <f t="shared" si="123"/>
        <v>No Purpose</v>
      </c>
    </row>
    <row r="699" spans="1:15" x14ac:dyDescent="0.3">
      <c r="A699" t="s">
        <v>522</v>
      </c>
      <c r="B699" s="2">
        <v>42542</v>
      </c>
      <c r="C699" s="7">
        <v>0.65208333333333335</v>
      </c>
      <c r="D699" t="s">
        <v>523</v>
      </c>
      <c r="E699" s="2">
        <v>42542</v>
      </c>
      <c r="F699" s="8">
        <v>0.67222222222222217</v>
      </c>
      <c r="G699" t="s">
        <v>7</v>
      </c>
      <c r="H699" s="7">
        <f t="shared" si="120"/>
        <v>2.0138888888888817E-2</v>
      </c>
      <c r="I699" s="13">
        <f t="shared" si="121"/>
        <v>0.48333333333333334</v>
      </c>
      <c r="J699" t="s">
        <v>15</v>
      </c>
      <c r="K699" t="s">
        <v>40</v>
      </c>
      <c r="L699">
        <v>19.3</v>
      </c>
      <c r="M699" s="5">
        <f t="shared" si="122"/>
        <v>39.931034482758619</v>
      </c>
      <c r="O699" t="str">
        <f t="shared" si="123"/>
        <v>No Purpose</v>
      </c>
    </row>
    <row r="700" spans="1:15" x14ac:dyDescent="0.3">
      <c r="A700" t="s">
        <v>538</v>
      </c>
      <c r="B700" s="2">
        <v>42545</v>
      </c>
      <c r="C700" s="7">
        <v>0.86388888888888893</v>
      </c>
      <c r="D700" t="s">
        <v>539</v>
      </c>
      <c r="E700" s="2">
        <v>42545</v>
      </c>
      <c r="F700" s="8">
        <v>0.87638888888888899</v>
      </c>
      <c r="G700" t="s">
        <v>7</v>
      </c>
      <c r="H700" s="7">
        <f t="shared" si="120"/>
        <v>1.2500000000000067E-2</v>
      </c>
      <c r="I700" s="13">
        <f t="shared" si="121"/>
        <v>0.3</v>
      </c>
      <c r="J700" t="s">
        <v>488</v>
      </c>
      <c r="K700" t="s">
        <v>489</v>
      </c>
      <c r="L700">
        <v>12.8</v>
      </c>
      <c r="M700" s="5">
        <f t="shared" si="122"/>
        <v>42.666666666666671</v>
      </c>
      <c r="O700" t="str">
        <f t="shared" si="123"/>
        <v>No Purpose</v>
      </c>
    </row>
    <row r="701" spans="1:15" x14ac:dyDescent="0.3">
      <c r="A701" t="s">
        <v>540</v>
      </c>
      <c r="B701" s="2">
        <v>42546</v>
      </c>
      <c r="C701" s="7">
        <v>0.37708333333333338</v>
      </c>
      <c r="D701" t="s">
        <v>541</v>
      </c>
      <c r="E701" s="2">
        <v>42546</v>
      </c>
      <c r="F701" s="8">
        <v>0.3833333333333333</v>
      </c>
      <c r="G701" t="s">
        <v>7</v>
      </c>
      <c r="H701" s="7">
        <f t="shared" si="120"/>
        <v>6.2499999999999223E-3</v>
      </c>
      <c r="I701" s="13">
        <f t="shared" si="121"/>
        <v>0.15</v>
      </c>
      <c r="J701" t="s">
        <v>492</v>
      </c>
      <c r="K701" t="s">
        <v>542</v>
      </c>
      <c r="L701">
        <v>4.5</v>
      </c>
      <c r="M701" s="5">
        <f t="shared" si="122"/>
        <v>30</v>
      </c>
      <c r="O701" t="str">
        <f t="shared" si="123"/>
        <v>No Purpose</v>
      </c>
    </row>
    <row r="702" spans="1:15" x14ac:dyDescent="0.3">
      <c r="A702" t="s">
        <v>556</v>
      </c>
      <c r="B702" s="2">
        <v>42546</v>
      </c>
      <c r="C702" s="7">
        <v>0.82430555555555562</v>
      </c>
      <c r="D702" t="s">
        <v>557</v>
      </c>
      <c r="E702" s="2">
        <v>42546</v>
      </c>
      <c r="F702" s="8">
        <v>0.83194444444444438</v>
      </c>
      <c r="G702" t="s">
        <v>7</v>
      </c>
      <c r="H702" s="7">
        <f t="shared" si="120"/>
        <v>7.6388888888887507E-3</v>
      </c>
      <c r="I702" s="13">
        <f t="shared" si="121"/>
        <v>0.18333333333333332</v>
      </c>
      <c r="J702" t="s">
        <v>499</v>
      </c>
      <c r="K702" t="s">
        <v>558</v>
      </c>
      <c r="L702">
        <v>1.6</v>
      </c>
      <c r="M702" s="5">
        <f t="shared" si="122"/>
        <v>8.7272727272727284</v>
      </c>
      <c r="O702" t="str">
        <f t="shared" si="123"/>
        <v>No Purpose</v>
      </c>
    </row>
    <row r="703" spans="1:15" x14ac:dyDescent="0.3">
      <c r="A703" t="s">
        <v>559</v>
      </c>
      <c r="B703" s="2">
        <v>42546</v>
      </c>
      <c r="C703" s="7">
        <v>0.97152777777777777</v>
      </c>
      <c r="D703" t="s">
        <v>560</v>
      </c>
      <c r="E703" s="2">
        <v>42546</v>
      </c>
      <c r="F703" s="8">
        <v>0.97638888888888886</v>
      </c>
      <c r="G703" t="s">
        <v>7</v>
      </c>
      <c r="H703" s="7">
        <f t="shared" si="120"/>
        <v>4.8611111111110938E-3</v>
      </c>
      <c r="I703" s="13">
        <f t="shared" si="121"/>
        <v>0.11666666666666667</v>
      </c>
      <c r="J703" t="s">
        <v>558</v>
      </c>
      <c r="K703" t="s">
        <v>499</v>
      </c>
      <c r="L703">
        <v>1.5</v>
      </c>
      <c r="M703" s="5">
        <f t="shared" si="122"/>
        <v>12.857142857142858</v>
      </c>
      <c r="O703" t="str">
        <f t="shared" si="123"/>
        <v>No Purpose</v>
      </c>
    </row>
    <row r="704" spans="1:15" x14ac:dyDescent="0.3">
      <c r="A704" t="s">
        <v>563</v>
      </c>
      <c r="B704" s="2">
        <v>42547</v>
      </c>
      <c r="C704" s="7">
        <v>0.78125</v>
      </c>
      <c r="D704" t="s">
        <v>564</v>
      </c>
      <c r="E704" s="2">
        <v>42547</v>
      </c>
      <c r="F704" s="8">
        <v>0.79999999999999993</v>
      </c>
      <c r="G704" t="s">
        <v>7</v>
      </c>
      <c r="H704" s="7">
        <f t="shared" si="120"/>
        <v>1.8749999999999933E-2</v>
      </c>
      <c r="I704" s="13">
        <f t="shared" si="121"/>
        <v>0.45</v>
      </c>
      <c r="J704" t="s">
        <v>553</v>
      </c>
      <c r="K704" t="s">
        <v>553</v>
      </c>
      <c r="L704">
        <v>4.8</v>
      </c>
      <c r="M704" s="5">
        <f t="shared" si="122"/>
        <v>10.666666666666666</v>
      </c>
      <c r="O704" t="str">
        <f t="shared" si="123"/>
        <v>No Purpose</v>
      </c>
    </row>
    <row r="705" spans="1:15" x14ac:dyDescent="0.3">
      <c r="A705" t="s">
        <v>565</v>
      </c>
      <c r="B705" s="2">
        <v>42547</v>
      </c>
      <c r="C705" s="7">
        <v>0.82013888888888886</v>
      </c>
      <c r="D705" t="s">
        <v>566</v>
      </c>
      <c r="E705" s="2">
        <v>42547</v>
      </c>
      <c r="F705" s="8">
        <v>0.82638888888888884</v>
      </c>
      <c r="G705" t="s">
        <v>7</v>
      </c>
      <c r="H705" s="7">
        <f t="shared" si="120"/>
        <v>6.2499999999999778E-3</v>
      </c>
      <c r="I705" s="13">
        <f t="shared" si="121"/>
        <v>0.15</v>
      </c>
      <c r="J705" t="s">
        <v>488</v>
      </c>
      <c r="K705" t="s">
        <v>488</v>
      </c>
      <c r="L705">
        <v>2.2000000000000002</v>
      </c>
      <c r="M705" s="5">
        <f t="shared" si="122"/>
        <v>14.666666666666668</v>
      </c>
      <c r="O705" t="str">
        <f t="shared" si="123"/>
        <v>No Purpose</v>
      </c>
    </row>
    <row r="706" spans="1:15" x14ac:dyDescent="0.3">
      <c r="A706" t="s">
        <v>567</v>
      </c>
      <c r="B706" s="2">
        <v>42547</v>
      </c>
      <c r="C706" s="7">
        <v>0.8847222222222223</v>
      </c>
      <c r="D706" t="s">
        <v>568</v>
      </c>
      <c r="E706" s="2">
        <v>42547</v>
      </c>
      <c r="F706" s="8">
        <v>0.90416666666666667</v>
      </c>
      <c r="G706" t="s">
        <v>7</v>
      </c>
      <c r="H706" s="7">
        <f t="shared" ref="H706:H769" si="124">IF(F706&gt;C706,F706-C706,F706-C706+1)</f>
        <v>1.9444444444444375E-2</v>
      </c>
      <c r="I706" s="13">
        <f t="shared" ref="I706:I769" si="125">(HOUR(H706)*60+MINUTE(H706))/60</f>
        <v>0.46666666666666667</v>
      </c>
      <c r="J706" t="s">
        <v>488</v>
      </c>
      <c r="K706" t="s">
        <v>489</v>
      </c>
      <c r="L706">
        <v>13</v>
      </c>
      <c r="M706" s="5">
        <f t="shared" ref="M706:M769" si="126">L706/I706</f>
        <v>27.857142857142858</v>
      </c>
      <c r="O706" t="str">
        <f t="shared" ref="O706:O769" si="127">IF(ISBLANK($N706),"No Purpose",$N706)</f>
        <v>No Purpose</v>
      </c>
    </row>
    <row r="707" spans="1:15" x14ac:dyDescent="0.3">
      <c r="A707" t="s">
        <v>569</v>
      </c>
      <c r="B707" s="2">
        <v>42548</v>
      </c>
      <c r="C707" s="7">
        <v>0.31736111111111115</v>
      </c>
      <c r="D707" t="s">
        <v>570</v>
      </c>
      <c r="E707" s="2">
        <v>42548</v>
      </c>
      <c r="F707" s="8">
        <v>0.3666666666666667</v>
      </c>
      <c r="G707" t="s">
        <v>7</v>
      </c>
      <c r="H707" s="7">
        <f t="shared" si="124"/>
        <v>4.9305555555555547E-2</v>
      </c>
      <c r="I707" s="13">
        <f t="shared" si="125"/>
        <v>1.1833333333333333</v>
      </c>
      <c r="J707" t="s">
        <v>489</v>
      </c>
      <c r="K707" t="s">
        <v>571</v>
      </c>
      <c r="L707">
        <v>46.9</v>
      </c>
      <c r="M707" s="5">
        <f t="shared" si="126"/>
        <v>39.633802816901408</v>
      </c>
      <c r="O707" t="str">
        <f t="shared" si="127"/>
        <v>No Purpose</v>
      </c>
    </row>
    <row r="708" spans="1:15" x14ac:dyDescent="0.3">
      <c r="A708" t="s">
        <v>572</v>
      </c>
      <c r="B708" s="2">
        <v>42548</v>
      </c>
      <c r="C708" s="7">
        <v>0.36874999999999997</v>
      </c>
      <c r="D708" t="s">
        <v>573</v>
      </c>
      <c r="E708" s="2">
        <v>42548</v>
      </c>
      <c r="F708" s="8">
        <v>0.375</v>
      </c>
      <c r="G708" t="s">
        <v>7</v>
      </c>
      <c r="H708" s="7">
        <f t="shared" si="124"/>
        <v>6.2500000000000333E-3</v>
      </c>
      <c r="I708" s="13">
        <f t="shared" si="125"/>
        <v>0.15</v>
      </c>
      <c r="J708" t="s">
        <v>571</v>
      </c>
      <c r="K708" t="s">
        <v>571</v>
      </c>
      <c r="L708">
        <v>2.5</v>
      </c>
      <c r="M708" s="5">
        <f t="shared" si="126"/>
        <v>16.666666666666668</v>
      </c>
      <c r="O708" t="str">
        <f t="shared" si="127"/>
        <v>No Purpose</v>
      </c>
    </row>
    <row r="709" spans="1:15" x14ac:dyDescent="0.3">
      <c r="A709" t="s">
        <v>574</v>
      </c>
      <c r="B709" s="2">
        <v>42548</v>
      </c>
      <c r="C709" s="7">
        <v>0.37847222222222227</v>
      </c>
      <c r="D709" t="s">
        <v>575</v>
      </c>
      <c r="E709" s="2">
        <v>42548</v>
      </c>
      <c r="F709" s="8">
        <v>0.3979166666666667</v>
      </c>
      <c r="G709" t="s">
        <v>7</v>
      </c>
      <c r="H709" s="7">
        <f t="shared" si="124"/>
        <v>1.9444444444444431E-2</v>
      </c>
      <c r="I709" s="13">
        <f t="shared" si="125"/>
        <v>0.46666666666666667</v>
      </c>
      <c r="J709" t="s">
        <v>571</v>
      </c>
      <c r="K709" t="s">
        <v>571</v>
      </c>
      <c r="L709">
        <v>8.6</v>
      </c>
      <c r="M709" s="5">
        <f t="shared" si="126"/>
        <v>18.428571428571427</v>
      </c>
      <c r="O709" t="str">
        <f t="shared" si="127"/>
        <v>No Purpose</v>
      </c>
    </row>
    <row r="710" spans="1:15" x14ac:dyDescent="0.3">
      <c r="A710" t="s">
        <v>576</v>
      </c>
      <c r="B710" s="2">
        <v>42548</v>
      </c>
      <c r="C710" s="7">
        <v>0.40486111111111112</v>
      </c>
      <c r="D710" t="s">
        <v>577</v>
      </c>
      <c r="E710" s="2">
        <v>42548</v>
      </c>
      <c r="F710" s="8">
        <v>0.42222222222222222</v>
      </c>
      <c r="G710" t="s">
        <v>7</v>
      </c>
      <c r="H710" s="7">
        <f t="shared" si="124"/>
        <v>1.7361111111111105E-2</v>
      </c>
      <c r="I710" s="13">
        <f t="shared" si="125"/>
        <v>0.41666666666666669</v>
      </c>
      <c r="J710" t="s">
        <v>571</v>
      </c>
      <c r="K710" t="s">
        <v>571</v>
      </c>
      <c r="L710">
        <v>5.2</v>
      </c>
      <c r="M710" s="5">
        <f t="shared" si="126"/>
        <v>12.48</v>
      </c>
      <c r="O710" t="str">
        <f t="shared" si="127"/>
        <v>No Purpose</v>
      </c>
    </row>
    <row r="711" spans="1:15" x14ac:dyDescent="0.3">
      <c r="A711" t="s">
        <v>578</v>
      </c>
      <c r="B711" s="2">
        <v>42548</v>
      </c>
      <c r="C711" s="7">
        <v>0.43194444444444446</v>
      </c>
      <c r="D711" t="s">
        <v>579</v>
      </c>
      <c r="E711" s="2">
        <v>42548</v>
      </c>
      <c r="F711" s="8">
        <v>0.44375000000000003</v>
      </c>
      <c r="G711" t="s">
        <v>7</v>
      </c>
      <c r="H711" s="7">
        <f t="shared" si="124"/>
        <v>1.1805555555555569E-2</v>
      </c>
      <c r="I711" s="13">
        <f t="shared" si="125"/>
        <v>0.28333333333333333</v>
      </c>
      <c r="J711" t="s">
        <v>571</v>
      </c>
      <c r="K711" t="s">
        <v>571</v>
      </c>
      <c r="L711">
        <v>7.6</v>
      </c>
      <c r="M711" s="5">
        <f t="shared" si="126"/>
        <v>26.823529411764707</v>
      </c>
      <c r="O711" t="str">
        <f t="shared" si="127"/>
        <v>No Purpose</v>
      </c>
    </row>
    <row r="712" spans="1:15" x14ac:dyDescent="0.3">
      <c r="A712" t="s">
        <v>580</v>
      </c>
      <c r="B712" s="2">
        <v>42548</v>
      </c>
      <c r="C712" s="7">
        <v>0.45208333333333334</v>
      </c>
      <c r="D712" t="s">
        <v>581</v>
      </c>
      <c r="E712" s="2">
        <v>42548</v>
      </c>
      <c r="F712" s="8">
        <v>0.45694444444444443</v>
      </c>
      <c r="G712" t="s">
        <v>7</v>
      </c>
      <c r="H712" s="7">
        <f t="shared" si="124"/>
        <v>4.8611111111110938E-3</v>
      </c>
      <c r="I712" s="13">
        <f t="shared" si="125"/>
        <v>0.11666666666666667</v>
      </c>
      <c r="J712" t="s">
        <v>571</v>
      </c>
      <c r="K712" t="s">
        <v>571</v>
      </c>
      <c r="L712">
        <v>1.8</v>
      </c>
      <c r="M712" s="5">
        <f t="shared" si="126"/>
        <v>15.428571428571429</v>
      </c>
      <c r="O712" t="str">
        <f t="shared" si="127"/>
        <v>No Purpose</v>
      </c>
    </row>
    <row r="713" spans="1:15" x14ac:dyDescent="0.3">
      <c r="A713" t="s">
        <v>582</v>
      </c>
      <c r="B713" s="2">
        <v>42548</v>
      </c>
      <c r="C713" s="7">
        <v>0.46249999999999997</v>
      </c>
      <c r="D713" t="s">
        <v>583</v>
      </c>
      <c r="E713" s="2">
        <v>42548</v>
      </c>
      <c r="F713" s="8">
        <v>0.47500000000000003</v>
      </c>
      <c r="G713" t="s">
        <v>7</v>
      </c>
      <c r="H713" s="7">
        <f t="shared" si="124"/>
        <v>1.2500000000000067E-2</v>
      </c>
      <c r="I713" s="13">
        <f t="shared" si="125"/>
        <v>0.3</v>
      </c>
      <c r="J713" t="s">
        <v>571</v>
      </c>
      <c r="K713" t="s">
        <v>584</v>
      </c>
      <c r="L713">
        <v>4.7</v>
      </c>
      <c r="M713" s="5">
        <f t="shared" si="126"/>
        <v>15.666666666666668</v>
      </c>
      <c r="O713" t="str">
        <f t="shared" si="127"/>
        <v>No Purpose</v>
      </c>
    </row>
    <row r="714" spans="1:15" x14ac:dyDescent="0.3">
      <c r="A714" t="s">
        <v>585</v>
      </c>
      <c r="B714" s="2">
        <v>42548</v>
      </c>
      <c r="C714" s="7">
        <v>0.47916666666666669</v>
      </c>
      <c r="D714" t="s">
        <v>586</v>
      </c>
      <c r="E714" s="2">
        <v>42548</v>
      </c>
      <c r="F714" s="8">
        <v>0.48749999999999999</v>
      </c>
      <c r="G714" t="s">
        <v>7</v>
      </c>
      <c r="H714" s="7">
        <f t="shared" si="124"/>
        <v>8.3333333333333037E-3</v>
      </c>
      <c r="I714" s="13">
        <f t="shared" si="125"/>
        <v>0.2</v>
      </c>
      <c r="J714" t="s">
        <v>584</v>
      </c>
      <c r="K714" t="s">
        <v>584</v>
      </c>
      <c r="L714">
        <v>2.8</v>
      </c>
      <c r="M714" s="5">
        <f t="shared" si="126"/>
        <v>13.999999999999998</v>
      </c>
      <c r="O714" t="str">
        <f t="shared" si="127"/>
        <v>No Purpose</v>
      </c>
    </row>
    <row r="715" spans="1:15" x14ac:dyDescent="0.3">
      <c r="A715" t="s">
        <v>587</v>
      </c>
      <c r="B715" s="2">
        <v>42548</v>
      </c>
      <c r="C715" s="7">
        <v>0.51527777777777783</v>
      </c>
      <c r="D715" t="s">
        <v>588</v>
      </c>
      <c r="E715" s="2">
        <v>42548</v>
      </c>
      <c r="F715" s="8">
        <v>0.54305555555555551</v>
      </c>
      <c r="G715" t="s">
        <v>7</v>
      </c>
      <c r="H715" s="7">
        <f t="shared" si="124"/>
        <v>2.7777777777777679E-2</v>
      </c>
      <c r="I715" s="13">
        <f t="shared" si="125"/>
        <v>0.66666666666666663</v>
      </c>
      <c r="J715" t="s">
        <v>584</v>
      </c>
      <c r="K715" t="s">
        <v>505</v>
      </c>
      <c r="L715">
        <v>30</v>
      </c>
      <c r="M715" s="5">
        <f t="shared" si="126"/>
        <v>45</v>
      </c>
      <c r="O715" t="str">
        <f t="shared" si="127"/>
        <v>No Purpose</v>
      </c>
    </row>
    <row r="716" spans="1:15" x14ac:dyDescent="0.3">
      <c r="A716" t="s">
        <v>589</v>
      </c>
      <c r="B716" s="2">
        <v>42548</v>
      </c>
      <c r="C716" s="7">
        <v>0.5805555555555556</v>
      </c>
      <c r="D716" t="s">
        <v>590</v>
      </c>
      <c r="E716" s="2">
        <v>42548</v>
      </c>
      <c r="F716" s="8">
        <v>0.58680555555555558</v>
      </c>
      <c r="G716" t="s">
        <v>7</v>
      </c>
      <c r="H716" s="7">
        <f t="shared" si="124"/>
        <v>6.2499999999999778E-3</v>
      </c>
      <c r="I716" s="13">
        <f t="shared" si="125"/>
        <v>0.15</v>
      </c>
      <c r="J716" t="s">
        <v>505</v>
      </c>
      <c r="K716" t="s">
        <v>488</v>
      </c>
      <c r="L716">
        <v>4.4000000000000004</v>
      </c>
      <c r="M716" s="5">
        <f t="shared" si="126"/>
        <v>29.333333333333336</v>
      </c>
      <c r="O716" t="str">
        <f t="shared" si="127"/>
        <v>No Purpose</v>
      </c>
    </row>
    <row r="717" spans="1:15" x14ac:dyDescent="0.3">
      <c r="A717" t="s">
        <v>591</v>
      </c>
      <c r="B717" s="2">
        <v>42548</v>
      </c>
      <c r="C717" s="7">
        <v>0.88124999999999998</v>
      </c>
      <c r="D717" t="s">
        <v>592</v>
      </c>
      <c r="E717" s="2">
        <v>42548</v>
      </c>
      <c r="F717" s="8">
        <v>0.8881944444444444</v>
      </c>
      <c r="G717" t="s">
        <v>7</v>
      </c>
      <c r="H717" s="7">
        <f t="shared" si="124"/>
        <v>6.9444444444444198E-3</v>
      </c>
      <c r="I717" s="13">
        <f t="shared" si="125"/>
        <v>0.16666666666666666</v>
      </c>
      <c r="J717" t="s">
        <v>35</v>
      </c>
      <c r="K717" t="s">
        <v>35</v>
      </c>
      <c r="L717">
        <v>1</v>
      </c>
      <c r="M717" s="5">
        <f t="shared" si="126"/>
        <v>6</v>
      </c>
      <c r="O717" t="str">
        <f t="shared" si="127"/>
        <v>No Purpose</v>
      </c>
    </row>
    <row r="718" spans="1:15" x14ac:dyDescent="0.3">
      <c r="A718" t="s">
        <v>599</v>
      </c>
      <c r="B718" s="2">
        <v>42550</v>
      </c>
      <c r="C718" s="7">
        <v>0.37222222222222223</v>
      </c>
      <c r="D718" t="s">
        <v>600</v>
      </c>
      <c r="E718" s="2">
        <v>42550</v>
      </c>
      <c r="F718" s="8">
        <v>0.39166666666666666</v>
      </c>
      <c r="G718" t="s">
        <v>7</v>
      </c>
      <c r="H718" s="7">
        <f t="shared" si="124"/>
        <v>1.9444444444444431E-2</v>
      </c>
      <c r="I718" s="13">
        <f t="shared" si="125"/>
        <v>0.46666666666666667</v>
      </c>
      <c r="J718" t="s">
        <v>15</v>
      </c>
      <c r="K718" t="s">
        <v>16</v>
      </c>
      <c r="L718">
        <v>7.3</v>
      </c>
      <c r="M718" s="5">
        <f t="shared" si="126"/>
        <v>15.642857142857142</v>
      </c>
      <c r="O718" t="str">
        <f t="shared" si="127"/>
        <v>No Purpose</v>
      </c>
    </row>
    <row r="719" spans="1:15" x14ac:dyDescent="0.3">
      <c r="A719" t="s">
        <v>601</v>
      </c>
      <c r="B719" s="2">
        <v>42550</v>
      </c>
      <c r="C719" s="7">
        <v>0.43194444444444446</v>
      </c>
      <c r="D719" t="s">
        <v>602</v>
      </c>
      <c r="E719" s="2">
        <v>42550</v>
      </c>
      <c r="F719" s="8">
        <v>0.44305555555555554</v>
      </c>
      <c r="G719" t="s">
        <v>7</v>
      </c>
      <c r="H719" s="7">
        <f t="shared" si="124"/>
        <v>1.1111111111111072E-2</v>
      </c>
      <c r="I719" s="13">
        <f t="shared" si="125"/>
        <v>0.26666666666666666</v>
      </c>
      <c r="J719" t="s">
        <v>16</v>
      </c>
      <c r="K719" t="s">
        <v>15</v>
      </c>
      <c r="L719">
        <v>7.4</v>
      </c>
      <c r="M719" s="5">
        <f t="shared" si="126"/>
        <v>27.75</v>
      </c>
      <c r="O719" t="str">
        <f t="shared" si="127"/>
        <v>No Purpose</v>
      </c>
    </row>
    <row r="720" spans="1:15" x14ac:dyDescent="0.3">
      <c r="A720" t="s">
        <v>603</v>
      </c>
      <c r="B720" s="2">
        <v>42550</v>
      </c>
      <c r="C720" s="7">
        <v>0.49236111111111108</v>
      </c>
      <c r="D720" t="s">
        <v>604</v>
      </c>
      <c r="E720" s="2">
        <v>42550</v>
      </c>
      <c r="F720" s="8">
        <v>0.49374999999999997</v>
      </c>
      <c r="G720" t="s">
        <v>7</v>
      </c>
      <c r="H720" s="7">
        <f t="shared" si="124"/>
        <v>1.388888888888884E-3</v>
      </c>
      <c r="I720" s="13">
        <f t="shared" si="125"/>
        <v>3.3333333333333333E-2</v>
      </c>
      <c r="J720" t="s">
        <v>38</v>
      </c>
      <c r="K720" t="s">
        <v>44</v>
      </c>
      <c r="L720">
        <v>1.6</v>
      </c>
      <c r="M720" s="5">
        <f t="shared" si="126"/>
        <v>48</v>
      </c>
      <c r="O720" t="str">
        <f t="shared" si="127"/>
        <v>No Purpose</v>
      </c>
    </row>
    <row r="721" spans="1:15" x14ac:dyDescent="0.3">
      <c r="A721" t="s">
        <v>605</v>
      </c>
      <c r="B721" s="2">
        <v>42550</v>
      </c>
      <c r="C721" s="7">
        <v>0.50763888888888886</v>
      </c>
      <c r="D721" t="s">
        <v>606</v>
      </c>
      <c r="E721" s="2">
        <v>42550</v>
      </c>
      <c r="F721" s="8">
        <v>0.51111111111111118</v>
      </c>
      <c r="G721" t="s">
        <v>7</v>
      </c>
      <c r="H721" s="7">
        <f t="shared" si="124"/>
        <v>3.4722222222223209E-3</v>
      </c>
      <c r="I721" s="13">
        <f t="shared" si="125"/>
        <v>8.3333333333333329E-2</v>
      </c>
      <c r="J721" t="s">
        <v>44</v>
      </c>
      <c r="K721" t="s">
        <v>38</v>
      </c>
      <c r="L721">
        <v>1.8</v>
      </c>
      <c r="M721" s="5">
        <f t="shared" si="126"/>
        <v>21.6</v>
      </c>
      <c r="O721" t="str">
        <f t="shared" si="127"/>
        <v>No Purpose</v>
      </c>
    </row>
    <row r="722" spans="1:15" x14ac:dyDescent="0.3">
      <c r="A722" s="1">
        <v>42497.837500000001</v>
      </c>
      <c r="B722" s="6">
        <f t="shared" ref="B722:B740" si="128">INT(A722:A761)</f>
        <v>42497</v>
      </c>
      <c r="C722" s="7">
        <f t="shared" ref="C722:C740" si="129">(A722-B722)</f>
        <v>0.83750000000145519</v>
      </c>
      <c r="D722" s="1">
        <v>42497.851388888892</v>
      </c>
      <c r="E722" s="6">
        <f t="shared" ref="E722:E739" si="130">INT(D722)</f>
        <v>42497</v>
      </c>
      <c r="F722" s="8">
        <f t="shared" ref="F722:F739" si="131">D722-E722</f>
        <v>0.85138888889196096</v>
      </c>
      <c r="G722" t="s">
        <v>7</v>
      </c>
      <c r="H722" s="7">
        <f t="shared" si="124"/>
        <v>1.3888888890505768E-2</v>
      </c>
      <c r="I722" s="13">
        <f t="shared" si="125"/>
        <v>0.33333333333333331</v>
      </c>
      <c r="J722" t="s">
        <v>15</v>
      </c>
      <c r="K722" t="s">
        <v>36</v>
      </c>
      <c r="L722">
        <v>9.9</v>
      </c>
      <c r="M722" s="5">
        <f t="shared" si="126"/>
        <v>29.700000000000003</v>
      </c>
      <c r="O722" t="str">
        <f t="shared" si="127"/>
        <v>No Purpose</v>
      </c>
    </row>
    <row r="723" spans="1:15" x14ac:dyDescent="0.3">
      <c r="A723" s="1">
        <v>42497.945138888892</v>
      </c>
      <c r="B723" s="6">
        <f t="shared" si="128"/>
        <v>42497</v>
      </c>
      <c r="C723" s="7">
        <f t="shared" si="129"/>
        <v>0.94513888889196096</v>
      </c>
      <c r="D723" s="1">
        <v>42497.959722222222</v>
      </c>
      <c r="E723" s="6">
        <f t="shared" si="130"/>
        <v>42497</v>
      </c>
      <c r="F723" s="8">
        <f t="shared" si="131"/>
        <v>0.95972222222189885</v>
      </c>
      <c r="G723" t="s">
        <v>7</v>
      </c>
      <c r="H723" s="7">
        <f t="shared" si="124"/>
        <v>1.4583333329937886E-2</v>
      </c>
      <c r="I723" s="13">
        <f t="shared" si="125"/>
        <v>0.35</v>
      </c>
      <c r="J723" t="s">
        <v>36</v>
      </c>
      <c r="K723" t="s">
        <v>16</v>
      </c>
      <c r="L723">
        <v>8.6</v>
      </c>
      <c r="M723" s="5">
        <f t="shared" si="126"/>
        <v>24.571428571428573</v>
      </c>
      <c r="O723" t="str">
        <f t="shared" si="127"/>
        <v>No Purpose</v>
      </c>
    </row>
    <row r="724" spans="1:15" x14ac:dyDescent="0.3">
      <c r="A724" s="1">
        <v>42528.533333333333</v>
      </c>
      <c r="B724" s="6">
        <f t="shared" si="128"/>
        <v>42528</v>
      </c>
      <c r="C724" s="7">
        <f t="shared" si="129"/>
        <v>0.53333333333284827</v>
      </c>
      <c r="D724" s="1">
        <v>42528.547222222223</v>
      </c>
      <c r="E724" s="6">
        <f t="shared" si="130"/>
        <v>42528</v>
      </c>
      <c r="F724" s="8">
        <f t="shared" si="131"/>
        <v>0.54722222222335404</v>
      </c>
      <c r="G724" t="s">
        <v>7</v>
      </c>
      <c r="H724" s="7">
        <f t="shared" si="124"/>
        <v>1.3888888890505768E-2</v>
      </c>
      <c r="I724" s="13">
        <f t="shared" si="125"/>
        <v>0.33333333333333331</v>
      </c>
      <c r="J724" t="s">
        <v>36</v>
      </c>
      <c r="K724" t="s">
        <v>15</v>
      </c>
      <c r="L724">
        <v>9.9</v>
      </c>
      <c r="M724" s="5">
        <f t="shared" si="126"/>
        <v>29.700000000000003</v>
      </c>
      <c r="O724" t="str">
        <f t="shared" si="127"/>
        <v>No Purpose</v>
      </c>
    </row>
    <row r="725" spans="1:15" x14ac:dyDescent="0.3">
      <c r="A725" s="1">
        <v>42558.435416666667</v>
      </c>
      <c r="B725" s="6">
        <f t="shared" si="128"/>
        <v>42558</v>
      </c>
      <c r="C725" s="7">
        <f t="shared" si="129"/>
        <v>0.43541666666715173</v>
      </c>
      <c r="D725" s="1">
        <v>42558.439583333333</v>
      </c>
      <c r="E725" s="6">
        <f t="shared" si="130"/>
        <v>42558</v>
      </c>
      <c r="F725" s="8">
        <f t="shared" si="131"/>
        <v>0.43958333333284827</v>
      </c>
      <c r="G725" t="s">
        <v>7</v>
      </c>
      <c r="H725" s="7">
        <f t="shared" si="124"/>
        <v>4.166666665696539E-3</v>
      </c>
      <c r="I725" s="13">
        <f t="shared" si="125"/>
        <v>0.1</v>
      </c>
      <c r="J725" t="s">
        <v>16</v>
      </c>
      <c r="K725" t="s">
        <v>15</v>
      </c>
      <c r="L725">
        <v>8.9</v>
      </c>
      <c r="M725" s="5">
        <f t="shared" si="126"/>
        <v>89</v>
      </c>
      <c r="O725" t="str">
        <f t="shared" si="127"/>
        <v>No Purpose</v>
      </c>
    </row>
    <row r="726" spans="1:15" x14ac:dyDescent="0.3">
      <c r="A726" s="1">
        <v>42558.540972222225</v>
      </c>
      <c r="B726" s="6">
        <f t="shared" si="128"/>
        <v>42558</v>
      </c>
      <c r="C726" s="7">
        <f t="shared" si="129"/>
        <v>0.54097222222480923</v>
      </c>
      <c r="D726" s="1">
        <v>42558.565972222219</v>
      </c>
      <c r="E726" s="6">
        <f t="shared" si="130"/>
        <v>42558</v>
      </c>
      <c r="F726" s="8">
        <f t="shared" si="131"/>
        <v>0.56597222221898846</v>
      </c>
      <c r="G726" t="s">
        <v>7</v>
      </c>
      <c r="H726" s="7">
        <f t="shared" si="124"/>
        <v>2.4999999994179234E-2</v>
      </c>
      <c r="I726" s="13">
        <f t="shared" si="125"/>
        <v>0.6</v>
      </c>
      <c r="J726" t="s">
        <v>488</v>
      </c>
      <c r="K726" t="s">
        <v>489</v>
      </c>
      <c r="L726">
        <v>12.8</v>
      </c>
      <c r="M726" s="5">
        <f t="shared" si="126"/>
        <v>21.333333333333336</v>
      </c>
      <c r="O726" t="str">
        <f t="shared" si="127"/>
        <v>No Purpose</v>
      </c>
    </row>
    <row r="727" spans="1:15" x14ac:dyDescent="0.3">
      <c r="A727" s="1">
        <v>42589.409722222219</v>
      </c>
      <c r="B727" s="6">
        <f t="shared" si="128"/>
        <v>42589</v>
      </c>
      <c r="C727" s="7">
        <f t="shared" si="129"/>
        <v>0.40972222221898846</v>
      </c>
      <c r="D727" s="1">
        <v>42589.425694444442</v>
      </c>
      <c r="E727" s="6">
        <f t="shared" si="130"/>
        <v>42589</v>
      </c>
      <c r="F727" s="8">
        <f t="shared" si="131"/>
        <v>0.4256944444423425</v>
      </c>
      <c r="G727" t="s">
        <v>7</v>
      </c>
      <c r="H727" s="7">
        <f t="shared" si="124"/>
        <v>1.5972222223354038E-2</v>
      </c>
      <c r="I727" s="13">
        <f t="shared" si="125"/>
        <v>0.38333333333333336</v>
      </c>
      <c r="J727" t="s">
        <v>492</v>
      </c>
      <c r="K727" t="s">
        <v>615</v>
      </c>
      <c r="L727">
        <v>7.7</v>
      </c>
      <c r="M727" s="5">
        <f t="shared" si="126"/>
        <v>20.086956521739129</v>
      </c>
      <c r="O727" t="str">
        <f t="shared" si="127"/>
        <v>No Purpose</v>
      </c>
    </row>
    <row r="728" spans="1:15" x14ac:dyDescent="0.3">
      <c r="A728" s="1">
        <v>42589.45208333333</v>
      </c>
      <c r="B728" s="6">
        <f t="shared" si="128"/>
        <v>42589</v>
      </c>
      <c r="C728" s="7">
        <f t="shared" si="129"/>
        <v>0.45208333332993789</v>
      </c>
      <c r="D728" s="1">
        <v>42589.466666666667</v>
      </c>
      <c r="E728" s="6">
        <f t="shared" si="130"/>
        <v>42589</v>
      </c>
      <c r="F728" s="8">
        <f t="shared" si="131"/>
        <v>0.46666666666715173</v>
      </c>
      <c r="G728" t="s">
        <v>7</v>
      </c>
      <c r="H728" s="7">
        <f t="shared" si="124"/>
        <v>1.4583333337213844E-2</v>
      </c>
      <c r="I728" s="13">
        <f t="shared" si="125"/>
        <v>0.35</v>
      </c>
      <c r="J728" t="s">
        <v>615</v>
      </c>
      <c r="K728" t="s">
        <v>492</v>
      </c>
      <c r="L728">
        <v>7</v>
      </c>
      <c r="M728" s="5">
        <f t="shared" si="126"/>
        <v>20</v>
      </c>
      <c r="O728" t="str">
        <f t="shared" si="127"/>
        <v>No Purpose</v>
      </c>
    </row>
    <row r="729" spans="1:15" x14ac:dyDescent="0.3">
      <c r="A729" s="1">
        <v>42589.574999999997</v>
      </c>
      <c r="B729" s="6">
        <f t="shared" si="128"/>
        <v>42589</v>
      </c>
      <c r="C729" s="7">
        <f t="shared" si="129"/>
        <v>0.57499999999708962</v>
      </c>
      <c r="D729" s="1">
        <v>42589.59097222222</v>
      </c>
      <c r="E729" s="6">
        <f t="shared" si="130"/>
        <v>42589</v>
      </c>
      <c r="F729" s="8">
        <f t="shared" si="131"/>
        <v>0.59097222222044365</v>
      </c>
      <c r="G729" t="s">
        <v>7</v>
      </c>
      <c r="H729" s="7">
        <f t="shared" si="124"/>
        <v>1.5972222223354038E-2</v>
      </c>
      <c r="I729" s="13">
        <f t="shared" si="125"/>
        <v>0.38333333333333336</v>
      </c>
      <c r="J729" t="s">
        <v>489</v>
      </c>
      <c r="K729" t="s">
        <v>505</v>
      </c>
      <c r="L729">
        <v>12.5</v>
      </c>
      <c r="M729" s="5">
        <f t="shared" si="126"/>
        <v>32.608695652173914</v>
      </c>
      <c r="O729" t="str">
        <f t="shared" si="127"/>
        <v>No Purpose</v>
      </c>
    </row>
    <row r="730" spans="1:15" x14ac:dyDescent="0.3">
      <c r="A730" s="1">
        <v>42589.71597222222</v>
      </c>
      <c r="B730" s="6">
        <f t="shared" si="128"/>
        <v>42589</v>
      </c>
      <c r="C730" s="7">
        <f t="shared" si="129"/>
        <v>0.71597222222044365</v>
      </c>
      <c r="D730" s="1">
        <v>42589.729166666664</v>
      </c>
      <c r="E730" s="6">
        <f t="shared" si="130"/>
        <v>42589</v>
      </c>
      <c r="F730" s="8">
        <f t="shared" si="131"/>
        <v>0.72916666666424135</v>
      </c>
      <c r="G730" t="s">
        <v>7</v>
      </c>
      <c r="H730" s="7">
        <f t="shared" si="124"/>
        <v>1.3194444443797693E-2</v>
      </c>
      <c r="I730" s="13">
        <f t="shared" si="125"/>
        <v>0.31666666666666665</v>
      </c>
      <c r="J730" t="s">
        <v>488</v>
      </c>
      <c r="K730" t="s">
        <v>489</v>
      </c>
      <c r="L730">
        <v>13.2</v>
      </c>
      <c r="M730" s="5">
        <f t="shared" si="126"/>
        <v>41.684210526315788</v>
      </c>
      <c r="O730" t="str">
        <f t="shared" si="127"/>
        <v>No Purpose</v>
      </c>
    </row>
    <row r="731" spans="1:15" x14ac:dyDescent="0.3">
      <c r="A731" s="1">
        <v>42620.377083333333</v>
      </c>
      <c r="B731" s="6">
        <f t="shared" si="128"/>
        <v>42620</v>
      </c>
      <c r="C731" s="7">
        <f t="shared" si="129"/>
        <v>0.37708333333284827</v>
      </c>
      <c r="D731" s="1">
        <v>42620.406944444447</v>
      </c>
      <c r="E731" s="6">
        <f t="shared" si="130"/>
        <v>42620</v>
      </c>
      <c r="F731" s="8">
        <f t="shared" si="131"/>
        <v>0.40694444444670808</v>
      </c>
      <c r="G731" t="s">
        <v>7</v>
      </c>
      <c r="H731" s="7">
        <f t="shared" si="124"/>
        <v>2.9861111113859806E-2</v>
      </c>
      <c r="I731" s="13">
        <f t="shared" si="125"/>
        <v>0.71666666666666667</v>
      </c>
      <c r="J731" t="s">
        <v>489</v>
      </c>
      <c r="K731" t="s">
        <v>488</v>
      </c>
      <c r="L731">
        <v>13</v>
      </c>
      <c r="M731" s="5">
        <f t="shared" si="126"/>
        <v>18.13953488372093</v>
      </c>
      <c r="O731" t="str">
        <f t="shared" si="127"/>
        <v>No Purpose</v>
      </c>
    </row>
    <row r="732" spans="1:15" x14ac:dyDescent="0.3">
      <c r="A732" s="1">
        <v>42620.411111111112</v>
      </c>
      <c r="B732" s="6">
        <f t="shared" si="128"/>
        <v>42620</v>
      </c>
      <c r="C732" s="7">
        <f t="shared" si="129"/>
        <v>0.41111111111240461</v>
      </c>
      <c r="D732" s="1">
        <v>42620.42083333333</v>
      </c>
      <c r="E732" s="6">
        <f t="shared" si="130"/>
        <v>42620</v>
      </c>
      <c r="F732" s="8">
        <f t="shared" si="131"/>
        <v>0.42083333332993789</v>
      </c>
      <c r="G732" t="s">
        <v>7</v>
      </c>
      <c r="H732" s="7">
        <f t="shared" si="124"/>
        <v>9.7222222175332718E-3</v>
      </c>
      <c r="I732" s="13">
        <f t="shared" si="125"/>
        <v>0.23333333333333334</v>
      </c>
      <c r="J732" t="s">
        <v>488</v>
      </c>
      <c r="K732" t="s">
        <v>505</v>
      </c>
      <c r="L732">
        <v>4.9000000000000004</v>
      </c>
      <c r="M732" s="5">
        <f t="shared" si="126"/>
        <v>21</v>
      </c>
      <c r="O732" t="str">
        <f t="shared" si="127"/>
        <v>No Purpose</v>
      </c>
    </row>
    <row r="733" spans="1:15" x14ac:dyDescent="0.3">
      <c r="A733" s="1">
        <v>42620.427083333336</v>
      </c>
      <c r="B733" s="6">
        <f t="shared" si="128"/>
        <v>42620</v>
      </c>
      <c r="C733" s="7">
        <f t="shared" si="129"/>
        <v>0.42708333333575865</v>
      </c>
      <c r="D733" s="1">
        <v>42620.439583333333</v>
      </c>
      <c r="E733" s="6">
        <f t="shared" si="130"/>
        <v>42620</v>
      </c>
      <c r="F733" s="8">
        <f t="shared" si="131"/>
        <v>0.43958333333284827</v>
      </c>
      <c r="G733" t="s">
        <v>7</v>
      </c>
      <c r="H733" s="7">
        <f t="shared" si="124"/>
        <v>1.2499999997089617E-2</v>
      </c>
      <c r="I733" s="13">
        <f t="shared" si="125"/>
        <v>0.3</v>
      </c>
      <c r="J733" t="s">
        <v>505</v>
      </c>
      <c r="K733" t="s">
        <v>489</v>
      </c>
      <c r="L733">
        <v>8.5</v>
      </c>
      <c r="M733" s="5">
        <f t="shared" si="126"/>
        <v>28.333333333333336</v>
      </c>
      <c r="O733" t="str">
        <f t="shared" si="127"/>
        <v>No Purpose</v>
      </c>
    </row>
    <row r="734" spans="1:15" x14ac:dyDescent="0.3">
      <c r="A734" s="1">
        <v>42650.590277777781</v>
      </c>
      <c r="B734" s="6">
        <f t="shared" si="128"/>
        <v>42650</v>
      </c>
      <c r="C734" s="7">
        <f t="shared" si="129"/>
        <v>0.59027777778101154</v>
      </c>
      <c r="D734" s="1">
        <v>42650.595138888886</v>
      </c>
      <c r="E734" s="6">
        <f t="shared" si="130"/>
        <v>42650</v>
      </c>
      <c r="F734" s="8">
        <f t="shared" si="131"/>
        <v>0.59513888888614019</v>
      </c>
      <c r="G734" t="s">
        <v>7</v>
      </c>
      <c r="H734" s="7">
        <f t="shared" si="124"/>
        <v>4.8611111051286571E-3</v>
      </c>
      <c r="I734" s="13">
        <f t="shared" si="125"/>
        <v>0.11666666666666667</v>
      </c>
      <c r="J734" t="s">
        <v>492</v>
      </c>
      <c r="K734" t="s">
        <v>616</v>
      </c>
      <c r="L734">
        <v>1.3</v>
      </c>
      <c r="M734" s="5">
        <f t="shared" si="126"/>
        <v>11.142857142857142</v>
      </c>
      <c r="O734" t="str">
        <f t="shared" si="127"/>
        <v>No Purpose</v>
      </c>
    </row>
    <row r="735" spans="1:15" x14ac:dyDescent="0.3">
      <c r="A735" s="1">
        <v>42650.669444444444</v>
      </c>
      <c r="B735" s="6">
        <f t="shared" si="128"/>
        <v>42650</v>
      </c>
      <c r="C735" s="7">
        <f t="shared" si="129"/>
        <v>0.66944444444379769</v>
      </c>
      <c r="D735" s="1">
        <v>42650.677083333336</v>
      </c>
      <c r="E735" s="6">
        <f t="shared" si="130"/>
        <v>42650</v>
      </c>
      <c r="F735" s="8">
        <f t="shared" si="131"/>
        <v>0.67708333333575865</v>
      </c>
      <c r="G735" t="s">
        <v>7</v>
      </c>
      <c r="H735" s="7">
        <f t="shared" si="124"/>
        <v>7.6388888919609599E-3</v>
      </c>
      <c r="I735" s="13">
        <f t="shared" si="125"/>
        <v>0.18333333333333332</v>
      </c>
      <c r="J735" t="s">
        <v>616</v>
      </c>
      <c r="K735" t="s">
        <v>492</v>
      </c>
      <c r="L735">
        <v>1.8</v>
      </c>
      <c r="M735" s="5">
        <f t="shared" si="126"/>
        <v>9.8181818181818183</v>
      </c>
      <c r="O735" t="str">
        <f t="shared" si="127"/>
        <v>No Purpose</v>
      </c>
    </row>
    <row r="736" spans="1:15" x14ac:dyDescent="0.3">
      <c r="A736" s="1">
        <v>42650.753472222219</v>
      </c>
      <c r="B736" s="6">
        <f t="shared" si="128"/>
        <v>42650</v>
      </c>
      <c r="C736" s="7">
        <f t="shared" si="129"/>
        <v>0.75347222221898846</v>
      </c>
      <c r="D736" s="1">
        <v>42650.76458333333</v>
      </c>
      <c r="E736" s="6">
        <f t="shared" si="130"/>
        <v>42650</v>
      </c>
      <c r="F736" s="8">
        <f t="shared" si="131"/>
        <v>0.76458333332993789</v>
      </c>
      <c r="G736" t="s">
        <v>7</v>
      </c>
      <c r="H736" s="7">
        <f t="shared" si="124"/>
        <v>1.1111111110949423E-2</v>
      </c>
      <c r="I736" s="13">
        <f t="shared" si="125"/>
        <v>0.26666666666666666</v>
      </c>
      <c r="J736" t="s">
        <v>489</v>
      </c>
      <c r="K736" t="s">
        <v>488</v>
      </c>
      <c r="L736">
        <v>13.6</v>
      </c>
      <c r="M736" s="5">
        <f t="shared" si="126"/>
        <v>51</v>
      </c>
      <c r="O736" t="str">
        <f t="shared" si="127"/>
        <v>No Purpose</v>
      </c>
    </row>
    <row r="737" spans="1:15" x14ac:dyDescent="0.3">
      <c r="A737" s="1">
        <v>42650.82708333333</v>
      </c>
      <c r="B737" s="6">
        <f t="shared" si="128"/>
        <v>42650</v>
      </c>
      <c r="C737" s="7">
        <f t="shared" si="129"/>
        <v>0.82708333332993789</v>
      </c>
      <c r="D737" s="1">
        <v>42650.838888888888</v>
      </c>
      <c r="E737" s="6">
        <f t="shared" si="130"/>
        <v>42650</v>
      </c>
      <c r="F737" s="8">
        <f t="shared" si="131"/>
        <v>0.83888888888759539</v>
      </c>
      <c r="G737" t="s">
        <v>7</v>
      </c>
      <c r="H737" s="7">
        <f t="shared" si="124"/>
        <v>1.1805555557657499E-2</v>
      </c>
      <c r="I737" s="13">
        <f t="shared" si="125"/>
        <v>0.28333333333333333</v>
      </c>
      <c r="J737" t="s">
        <v>488</v>
      </c>
      <c r="K737" t="s">
        <v>489</v>
      </c>
      <c r="L737">
        <v>13.4</v>
      </c>
      <c r="M737" s="5">
        <f t="shared" si="126"/>
        <v>47.294117647058826</v>
      </c>
      <c r="O737" t="str">
        <f t="shared" si="127"/>
        <v>No Purpose</v>
      </c>
    </row>
    <row r="738" spans="1:15" x14ac:dyDescent="0.3">
      <c r="A738" s="1">
        <v>42711.673611111109</v>
      </c>
      <c r="B738" s="6">
        <f t="shared" si="128"/>
        <v>42711</v>
      </c>
      <c r="C738" s="7">
        <f t="shared" si="129"/>
        <v>0.67361111110949423</v>
      </c>
      <c r="D738" s="1">
        <v>42711.697916666664</v>
      </c>
      <c r="E738" s="6">
        <f t="shared" si="130"/>
        <v>42711</v>
      </c>
      <c r="F738" s="8">
        <f t="shared" si="131"/>
        <v>0.69791666666424135</v>
      </c>
      <c r="G738" t="s">
        <v>7</v>
      </c>
      <c r="H738" s="7">
        <f t="shared" si="124"/>
        <v>2.4305555554747116E-2</v>
      </c>
      <c r="I738" s="13">
        <f t="shared" si="125"/>
        <v>0.58333333333333337</v>
      </c>
      <c r="J738" t="s">
        <v>489</v>
      </c>
      <c r="K738" t="s">
        <v>488</v>
      </c>
      <c r="L738">
        <v>12.3</v>
      </c>
      <c r="M738" s="5">
        <f t="shared" si="126"/>
        <v>21.085714285714285</v>
      </c>
      <c r="O738" t="str">
        <f t="shared" si="127"/>
        <v>No Purpose</v>
      </c>
    </row>
    <row r="739" spans="1:15" x14ac:dyDescent="0.3">
      <c r="A739" s="1">
        <v>42711.806250000001</v>
      </c>
      <c r="B739" s="6">
        <f t="shared" si="128"/>
        <v>42711</v>
      </c>
      <c r="C739" s="7">
        <f t="shared" si="129"/>
        <v>0.80625000000145519</v>
      </c>
      <c r="D739" s="1">
        <v>42711.80972222222</v>
      </c>
      <c r="E739" s="6">
        <f t="shared" si="130"/>
        <v>42711</v>
      </c>
      <c r="F739" s="8">
        <f t="shared" si="131"/>
        <v>0.80972222222044365</v>
      </c>
      <c r="G739" t="s">
        <v>55</v>
      </c>
      <c r="H739" s="7">
        <f t="shared" si="124"/>
        <v>3.4722222189884633E-3</v>
      </c>
      <c r="I739" s="13">
        <f t="shared" si="125"/>
        <v>8.3333333333333329E-2</v>
      </c>
      <c r="J739" t="s">
        <v>488</v>
      </c>
      <c r="K739" t="s">
        <v>488</v>
      </c>
      <c r="L739">
        <v>1.4</v>
      </c>
      <c r="M739" s="5">
        <f t="shared" si="126"/>
        <v>16.8</v>
      </c>
      <c r="O739" t="str">
        <f t="shared" si="127"/>
        <v>No Purpose</v>
      </c>
    </row>
    <row r="740" spans="1:15" x14ac:dyDescent="0.3">
      <c r="A740" s="1">
        <v>42711.990972222222</v>
      </c>
      <c r="B740" s="6">
        <f t="shared" si="128"/>
        <v>42711</v>
      </c>
      <c r="C740" s="7">
        <f t="shared" si="129"/>
        <v>0.99097222222189885</v>
      </c>
      <c r="D740" t="s">
        <v>617</v>
      </c>
      <c r="E740" s="2">
        <v>42564</v>
      </c>
      <c r="F740" s="8">
        <v>7.6388888888888886E-3</v>
      </c>
      <c r="G740" t="s">
        <v>55</v>
      </c>
      <c r="H740" s="7">
        <f t="shared" si="124"/>
        <v>1.6666666666990015E-2</v>
      </c>
      <c r="I740" s="13">
        <f t="shared" si="125"/>
        <v>0.4</v>
      </c>
      <c r="J740" t="s">
        <v>16</v>
      </c>
      <c r="K740" t="s">
        <v>15</v>
      </c>
      <c r="L740">
        <v>8.6999999999999993</v>
      </c>
      <c r="M740" s="5">
        <f t="shared" si="126"/>
        <v>21.749999999999996</v>
      </c>
      <c r="O740" t="str">
        <f t="shared" si="127"/>
        <v>No Purpose</v>
      </c>
    </row>
    <row r="741" spans="1:15" x14ac:dyDescent="0.3">
      <c r="A741" t="s">
        <v>618</v>
      </c>
      <c r="B741" s="2">
        <v>42564</v>
      </c>
      <c r="C741" s="7">
        <v>0.52708333333333335</v>
      </c>
      <c r="D741" t="s">
        <v>619</v>
      </c>
      <c r="E741" s="2">
        <v>42564</v>
      </c>
      <c r="F741" s="8">
        <v>0.55555555555555558</v>
      </c>
      <c r="G741" t="s">
        <v>55</v>
      </c>
      <c r="H741" s="7">
        <f t="shared" si="124"/>
        <v>2.8472222222222232E-2</v>
      </c>
      <c r="I741" s="13">
        <f t="shared" si="125"/>
        <v>0.68333333333333335</v>
      </c>
      <c r="J741" t="s">
        <v>15</v>
      </c>
      <c r="K741" t="s">
        <v>16</v>
      </c>
      <c r="L741">
        <v>23.5</v>
      </c>
      <c r="M741" s="5">
        <f t="shared" si="126"/>
        <v>34.390243902439025</v>
      </c>
      <c r="O741" t="str">
        <f t="shared" si="127"/>
        <v>No Purpose</v>
      </c>
    </row>
    <row r="742" spans="1:15" x14ac:dyDescent="0.3">
      <c r="A742" t="s">
        <v>620</v>
      </c>
      <c r="B742" s="2">
        <v>42564</v>
      </c>
      <c r="C742" s="7">
        <v>0.55902777777777779</v>
      </c>
      <c r="D742" t="s">
        <v>621</v>
      </c>
      <c r="E742" s="2">
        <v>42564</v>
      </c>
      <c r="F742" s="8">
        <v>0.56874999999999998</v>
      </c>
      <c r="G742" t="s">
        <v>55</v>
      </c>
      <c r="H742" s="7">
        <f t="shared" si="124"/>
        <v>9.7222222222221877E-3</v>
      </c>
      <c r="I742" s="13">
        <f t="shared" si="125"/>
        <v>0.23333333333333334</v>
      </c>
      <c r="J742" t="s">
        <v>16</v>
      </c>
      <c r="K742" t="s">
        <v>16</v>
      </c>
      <c r="L742">
        <v>2.2000000000000002</v>
      </c>
      <c r="M742" s="5">
        <f t="shared" si="126"/>
        <v>9.4285714285714288</v>
      </c>
      <c r="O742" t="str">
        <f t="shared" si="127"/>
        <v>No Purpose</v>
      </c>
    </row>
    <row r="743" spans="1:15" x14ac:dyDescent="0.3">
      <c r="A743" t="s">
        <v>622</v>
      </c>
      <c r="B743" s="2">
        <v>42564</v>
      </c>
      <c r="C743" s="7">
        <v>0.5708333333333333</v>
      </c>
      <c r="D743" t="s">
        <v>623</v>
      </c>
      <c r="E743" s="2">
        <v>42564</v>
      </c>
      <c r="F743" s="8">
        <v>0.57916666666666672</v>
      </c>
      <c r="G743" t="s">
        <v>55</v>
      </c>
      <c r="H743" s="7">
        <f t="shared" si="124"/>
        <v>8.3333333333334147E-3</v>
      </c>
      <c r="I743" s="13">
        <f t="shared" si="125"/>
        <v>0.2</v>
      </c>
      <c r="J743" t="s">
        <v>16</v>
      </c>
      <c r="K743" t="s">
        <v>15</v>
      </c>
      <c r="L743">
        <v>4.4000000000000004</v>
      </c>
      <c r="M743" s="5">
        <f t="shared" si="126"/>
        <v>22</v>
      </c>
      <c r="O743" t="str">
        <f t="shared" si="127"/>
        <v>No Purpose</v>
      </c>
    </row>
    <row r="744" spans="1:15" x14ac:dyDescent="0.3">
      <c r="A744" t="s">
        <v>624</v>
      </c>
      <c r="B744" s="2">
        <v>42565</v>
      </c>
      <c r="C744" s="7">
        <v>0.66041666666666665</v>
      </c>
      <c r="D744" t="s">
        <v>625</v>
      </c>
      <c r="E744" s="2">
        <v>42565</v>
      </c>
      <c r="F744" s="8">
        <v>0.66597222222222219</v>
      </c>
      <c r="G744" t="s">
        <v>55</v>
      </c>
      <c r="H744" s="7">
        <f t="shared" si="124"/>
        <v>5.5555555555555358E-3</v>
      </c>
      <c r="I744" s="13">
        <f t="shared" si="125"/>
        <v>0.13333333333333333</v>
      </c>
      <c r="J744" t="s">
        <v>15</v>
      </c>
      <c r="K744" t="s">
        <v>16</v>
      </c>
      <c r="L744">
        <v>3.3</v>
      </c>
      <c r="M744" s="5">
        <f t="shared" si="126"/>
        <v>24.75</v>
      </c>
      <c r="O744" t="str">
        <f t="shared" si="127"/>
        <v>No Purpose</v>
      </c>
    </row>
    <row r="745" spans="1:15" x14ac:dyDescent="0.3">
      <c r="A745" t="s">
        <v>628</v>
      </c>
      <c r="B745" s="2">
        <v>42565</v>
      </c>
      <c r="C745" s="7">
        <v>0.69374999999999998</v>
      </c>
      <c r="D745" t="s">
        <v>629</v>
      </c>
      <c r="E745" s="2">
        <v>42565</v>
      </c>
      <c r="F745" s="8">
        <v>0.83680555555555547</v>
      </c>
      <c r="G745" t="s">
        <v>7</v>
      </c>
      <c r="H745" s="7">
        <f t="shared" si="124"/>
        <v>0.14305555555555549</v>
      </c>
      <c r="I745" s="13">
        <f t="shared" si="125"/>
        <v>3.4333333333333331</v>
      </c>
      <c r="J745" t="s">
        <v>16</v>
      </c>
      <c r="K745" t="s">
        <v>630</v>
      </c>
      <c r="L745">
        <v>195.3</v>
      </c>
      <c r="M745" s="5">
        <f t="shared" si="126"/>
        <v>56.883495145631073</v>
      </c>
      <c r="O745" t="str">
        <f t="shared" si="127"/>
        <v>No Purpose</v>
      </c>
    </row>
    <row r="746" spans="1:15" x14ac:dyDescent="0.3">
      <c r="A746" t="s">
        <v>631</v>
      </c>
      <c r="B746" s="2">
        <v>42566</v>
      </c>
      <c r="C746" s="7">
        <v>0.48055555555555557</v>
      </c>
      <c r="D746" t="s">
        <v>632</v>
      </c>
      <c r="E746" s="2">
        <v>42566</v>
      </c>
      <c r="F746" s="8">
        <v>0.49513888888888885</v>
      </c>
      <c r="G746" t="s">
        <v>55</v>
      </c>
      <c r="H746" s="7">
        <f t="shared" si="124"/>
        <v>1.4583333333333282E-2</v>
      </c>
      <c r="I746" s="13">
        <f t="shared" si="125"/>
        <v>0.35</v>
      </c>
      <c r="J746" t="s">
        <v>630</v>
      </c>
      <c r="K746" t="s">
        <v>630</v>
      </c>
      <c r="L746">
        <v>8.3000000000000007</v>
      </c>
      <c r="M746" s="5">
        <f t="shared" si="126"/>
        <v>23.714285714285719</v>
      </c>
      <c r="O746" t="str">
        <f t="shared" si="127"/>
        <v>No Purpose</v>
      </c>
    </row>
    <row r="747" spans="1:15" x14ac:dyDescent="0.3">
      <c r="A747" t="s">
        <v>633</v>
      </c>
      <c r="B747" s="2">
        <v>42566</v>
      </c>
      <c r="C747" s="7">
        <v>0.50624999999999998</v>
      </c>
      <c r="D747" t="s">
        <v>634</v>
      </c>
      <c r="E747" s="2">
        <v>42566</v>
      </c>
      <c r="F747" s="8">
        <v>0.5131944444444444</v>
      </c>
      <c r="G747" t="s">
        <v>55</v>
      </c>
      <c r="H747" s="7">
        <f t="shared" si="124"/>
        <v>6.9444444444444198E-3</v>
      </c>
      <c r="I747" s="13">
        <f t="shared" si="125"/>
        <v>0.16666666666666666</v>
      </c>
      <c r="J747" t="s">
        <v>630</v>
      </c>
      <c r="K747" t="s">
        <v>630</v>
      </c>
      <c r="L747">
        <v>3.2</v>
      </c>
      <c r="M747" s="5">
        <f t="shared" si="126"/>
        <v>19.200000000000003</v>
      </c>
      <c r="O747" t="str">
        <f t="shared" si="127"/>
        <v>No Purpose</v>
      </c>
    </row>
    <row r="748" spans="1:15" x14ac:dyDescent="0.3">
      <c r="A748" t="s">
        <v>635</v>
      </c>
      <c r="B748" s="2">
        <v>42566</v>
      </c>
      <c r="C748" s="7">
        <v>0.52430555555555558</v>
      </c>
      <c r="D748" t="s">
        <v>636</v>
      </c>
      <c r="E748" s="2">
        <v>42566</v>
      </c>
      <c r="F748" s="8">
        <v>0.55208333333333337</v>
      </c>
      <c r="G748" t="s">
        <v>55</v>
      </c>
      <c r="H748" s="7">
        <f t="shared" si="124"/>
        <v>2.777777777777779E-2</v>
      </c>
      <c r="I748" s="13">
        <f t="shared" si="125"/>
        <v>0.66666666666666663</v>
      </c>
      <c r="J748" t="s">
        <v>630</v>
      </c>
      <c r="K748" t="s">
        <v>637</v>
      </c>
      <c r="L748">
        <v>22.4</v>
      </c>
      <c r="M748" s="5">
        <f t="shared" si="126"/>
        <v>33.6</v>
      </c>
      <c r="O748" t="str">
        <f t="shared" si="127"/>
        <v>No Purpose</v>
      </c>
    </row>
    <row r="749" spans="1:15" x14ac:dyDescent="0.3">
      <c r="A749" t="s">
        <v>638</v>
      </c>
      <c r="B749" s="2">
        <v>42566</v>
      </c>
      <c r="C749" s="7">
        <v>0.62708333333333333</v>
      </c>
      <c r="D749" t="s">
        <v>639</v>
      </c>
      <c r="E749" s="2">
        <v>42566</v>
      </c>
      <c r="F749" s="8">
        <v>0.6479166666666667</v>
      </c>
      <c r="G749" t="s">
        <v>55</v>
      </c>
      <c r="H749" s="7">
        <f t="shared" si="124"/>
        <v>2.083333333333337E-2</v>
      </c>
      <c r="I749" s="13">
        <f t="shared" si="125"/>
        <v>0.5</v>
      </c>
      <c r="J749" t="s">
        <v>637</v>
      </c>
      <c r="K749" t="s">
        <v>630</v>
      </c>
      <c r="L749">
        <v>12.2</v>
      </c>
      <c r="M749" s="5">
        <f t="shared" si="126"/>
        <v>24.4</v>
      </c>
      <c r="O749" t="str">
        <f t="shared" si="127"/>
        <v>No Purpose</v>
      </c>
    </row>
    <row r="750" spans="1:15" x14ac:dyDescent="0.3">
      <c r="A750" t="s">
        <v>640</v>
      </c>
      <c r="B750" s="2">
        <v>42566</v>
      </c>
      <c r="C750" s="7">
        <v>0.65277777777777779</v>
      </c>
      <c r="D750" t="s">
        <v>641</v>
      </c>
      <c r="E750" s="2">
        <v>42566</v>
      </c>
      <c r="F750" s="8">
        <v>0.66111111111111109</v>
      </c>
      <c r="G750" t="s">
        <v>55</v>
      </c>
      <c r="H750" s="7">
        <f t="shared" si="124"/>
        <v>8.3333333333333037E-3</v>
      </c>
      <c r="I750" s="13">
        <f t="shared" si="125"/>
        <v>0.2</v>
      </c>
      <c r="J750" t="s">
        <v>630</v>
      </c>
      <c r="K750" t="s">
        <v>630</v>
      </c>
      <c r="L750">
        <v>4.5</v>
      </c>
      <c r="M750" s="5">
        <f t="shared" si="126"/>
        <v>22.5</v>
      </c>
      <c r="O750" t="str">
        <f t="shared" si="127"/>
        <v>No Purpose</v>
      </c>
    </row>
    <row r="751" spans="1:15" x14ac:dyDescent="0.3">
      <c r="A751" t="s">
        <v>642</v>
      </c>
      <c r="B751" s="2">
        <v>42567</v>
      </c>
      <c r="C751" s="7">
        <v>0.55138888888888882</v>
      </c>
      <c r="D751" t="s">
        <v>643</v>
      </c>
      <c r="E751" s="2">
        <v>42567</v>
      </c>
      <c r="F751" s="8">
        <v>0.59027777777777779</v>
      </c>
      <c r="G751" t="s">
        <v>55</v>
      </c>
      <c r="H751" s="7">
        <f t="shared" si="124"/>
        <v>3.8888888888888973E-2</v>
      </c>
      <c r="I751" s="13">
        <f t="shared" si="125"/>
        <v>0.93333333333333335</v>
      </c>
      <c r="J751" t="s">
        <v>630</v>
      </c>
      <c r="K751" t="s">
        <v>644</v>
      </c>
      <c r="L751">
        <v>28.1</v>
      </c>
      <c r="M751" s="5">
        <f t="shared" si="126"/>
        <v>30.107142857142858</v>
      </c>
      <c r="O751" t="str">
        <f t="shared" si="127"/>
        <v>No Purpose</v>
      </c>
    </row>
    <row r="752" spans="1:15" x14ac:dyDescent="0.3">
      <c r="A752" t="s">
        <v>645</v>
      </c>
      <c r="B752" s="2">
        <v>42567</v>
      </c>
      <c r="C752" s="7">
        <v>0.59305555555555556</v>
      </c>
      <c r="D752" t="s">
        <v>646</v>
      </c>
      <c r="E752" s="2">
        <v>42567</v>
      </c>
      <c r="F752" s="8">
        <v>0.60416666666666663</v>
      </c>
      <c r="G752" t="s">
        <v>55</v>
      </c>
      <c r="H752" s="7">
        <f t="shared" si="124"/>
        <v>1.1111111111111072E-2</v>
      </c>
      <c r="I752" s="13">
        <f t="shared" si="125"/>
        <v>0.26666666666666666</v>
      </c>
      <c r="J752" t="s">
        <v>644</v>
      </c>
      <c r="K752" t="s">
        <v>644</v>
      </c>
      <c r="L752">
        <v>3.8</v>
      </c>
      <c r="M752" s="5">
        <f t="shared" si="126"/>
        <v>14.25</v>
      </c>
      <c r="O752" t="str">
        <f t="shared" si="127"/>
        <v>No Purpose</v>
      </c>
    </row>
    <row r="753" spans="1:15" x14ac:dyDescent="0.3">
      <c r="A753" t="s">
        <v>647</v>
      </c>
      <c r="B753" s="2">
        <v>42567</v>
      </c>
      <c r="C753" s="7">
        <v>0.64513888888888882</v>
      </c>
      <c r="D753" t="s">
        <v>648</v>
      </c>
      <c r="E753" s="2">
        <v>42567</v>
      </c>
      <c r="F753" s="8">
        <v>0.70624999999999993</v>
      </c>
      <c r="G753" t="s">
        <v>55</v>
      </c>
      <c r="H753" s="7">
        <f t="shared" si="124"/>
        <v>6.1111111111111116E-2</v>
      </c>
      <c r="I753" s="13">
        <f t="shared" si="125"/>
        <v>1.4666666666666666</v>
      </c>
      <c r="J753" t="s">
        <v>644</v>
      </c>
      <c r="K753" t="s">
        <v>649</v>
      </c>
      <c r="L753">
        <v>41.9</v>
      </c>
      <c r="M753" s="5">
        <f t="shared" si="126"/>
        <v>28.56818181818182</v>
      </c>
      <c r="O753" t="str">
        <f t="shared" si="127"/>
        <v>No Purpose</v>
      </c>
    </row>
    <row r="754" spans="1:15" x14ac:dyDescent="0.3">
      <c r="A754" t="s">
        <v>650</v>
      </c>
      <c r="B754" s="2">
        <v>42567</v>
      </c>
      <c r="C754" s="7">
        <v>0.8208333333333333</v>
      </c>
      <c r="D754" t="s">
        <v>651</v>
      </c>
      <c r="E754" s="2">
        <v>42567</v>
      </c>
      <c r="F754" s="8">
        <v>0.85763888888888884</v>
      </c>
      <c r="G754" t="s">
        <v>55</v>
      </c>
      <c r="H754" s="7">
        <f t="shared" si="124"/>
        <v>3.6805555555555536E-2</v>
      </c>
      <c r="I754" s="13">
        <f t="shared" si="125"/>
        <v>0.8833333333333333</v>
      </c>
      <c r="J754" t="s">
        <v>649</v>
      </c>
      <c r="K754" t="s">
        <v>630</v>
      </c>
      <c r="L754">
        <v>23.8</v>
      </c>
      <c r="M754" s="5">
        <f t="shared" si="126"/>
        <v>26.943396226415096</v>
      </c>
      <c r="O754" t="str">
        <f t="shared" si="127"/>
        <v>No Purpose</v>
      </c>
    </row>
    <row r="755" spans="1:15" x14ac:dyDescent="0.3">
      <c r="A755" t="s">
        <v>652</v>
      </c>
      <c r="B755" s="2">
        <v>42567</v>
      </c>
      <c r="C755" s="7">
        <v>0.90625</v>
      </c>
      <c r="D755" t="s">
        <v>653</v>
      </c>
      <c r="E755" s="2">
        <v>42567</v>
      </c>
      <c r="F755" s="8">
        <v>0.9291666666666667</v>
      </c>
      <c r="G755" t="s">
        <v>55</v>
      </c>
      <c r="H755" s="7">
        <f t="shared" si="124"/>
        <v>2.2916666666666696E-2</v>
      </c>
      <c r="I755" s="13">
        <f t="shared" si="125"/>
        <v>0.55000000000000004</v>
      </c>
      <c r="J755" t="s">
        <v>630</v>
      </c>
      <c r="K755" t="s">
        <v>630</v>
      </c>
      <c r="L755">
        <v>13</v>
      </c>
      <c r="M755" s="5">
        <f t="shared" si="126"/>
        <v>23.636363636363633</v>
      </c>
      <c r="O755" t="str">
        <f t="shared" si="127"/>
        <v>No Purpose</v>
      </c>
    </row>
    <row r="756" spans="1:15" x14ac:dyDescent="0.3">
      <c r="A756" t="s">
        <v>691</v>
      </c>
      <c r="B756" s="2">
        <v>42570</v>
      </c>
      <c r="C756" s="7">
        <v>0.74305555555555547</v>
      </c>
      <c r="D756" t="s">
        <v>692</v>
      </c>
      <c r="E756" s="2">
        <v>42570</v>
      </c>
      <c r="F756" s="8">
        <v>0.75555555555555554</v>
      </c>
      <c r="G756" t="s">
        <v>55</v>
      </c>
      <c r="H756" s="7">
        <f t="shared" si="124"/>
        <v>1.2500000000000067E-2</v>
      </c>
      <c r="I756" s="13">
        <f t="shared" si="125"/>
        <v>0.3</v>
      </c>
      <c r="J756" t="s">
        <v>363</v>
      </c>
      <c r="K756" t="s">
        <v>38</v>
      </c>
      <c r="L756">
        <v>4.8</v>
      </c>
      <c r="M756" s="5">
        <f t="shared" si="126"/>
        <v>16</v>
      </c>
      <c r="O756" t="str">
        <f t="shared" si="127"/>
        <v>No Purpose</v>
      </c>
    </row>
    <row r="757" spans="1:15" x14ac:dyDescent="0.3">
      <c r="A757" t="s">
        <v>693</v>
      </c>
      <c r="B757" s="2">
        <v>42571</v>
      </c>
      <c r="C757" s="7">
        <v>0.71666666666666667</v>
      </c>
      <c r="D757" t="s">
        <v>694</v>
      </c>
      <c r="E757" s="2">
        <v>42571</v>
      </c>
      <c r="F757" s="8">
        <v>0.72499999999999998</v>
      </c>
      <c r="G757" t="s">
        <v>55</v>
      </c>
      <c r="H757" s="7">
        <f t="shared" si="124"/>
        <v>8.3333333333333037E-3</v>
      </c>
      <c r="I757" s="13">
        <f t="shared" si="125"/>
        <v>0.2</v>
      </c>
      <c r="J757" t="s">
        <v>38</v>
      </c>
      <c r="K757" t="s">
        <v>54</v>
      </c>
      <c r="L757">
        <v>2.8</v>
      </c>
      <c r="M757" s="5">
        <f t="shared" si="126"/>
        <v>13.999999999999998</v>
      </c>
      <c r="O757" t="str">
        <f t="shared" si="127"/>
        <v>No Purpose</v>
      </c>
    </row>
    <row r="758" spans="1:15" x14ac:dyDescent="0.3">
      <c r="A758" t="s">
        <v>695</v>
      </c>
      <c r="B758" s="2">
        <v>42571</v>
      </c>
      <c r="C758" s="7">
        <v>0.74305555555555547</v>
      </c>
      <c r="D758" t="s">
        <v>696</v>
      </c>
      <c r="E758" s="2">
        <v>42571</v>
      </c>
      <c r="F758" s="8">
        <v>0.74791666666666667</v>
      </c>
      <c r="G758" t="s">
        <v>55</v>
      </c>
      <c r="H758" s="7">
        <f t="shared" si="124"/>
        <v>4.8611111111112049E-3</v>
      </c>
      <c r="I758" s="13">
        <f t="shared" si="125"/>
        <v>0.11666666666666667</v>
      </c>
      <c r="J758" t="s">
        <v>54</v>
      </c>
      <c r="K758" t="s">
        <v>57</v>
      </c>
      <c r="L758">
        <v>1.4</v>
      </c>
      <c r="M758" s="5">
        <f t="shared" si="126"/>
        <v>11.999999999999998</v>
      </c>
      <c r="O758" t="str">
        <f t="shared" si="127"/>
        <v>No Purpose</v>
      </c>
    </row>
    <row r="759" spans="1:15" x14ac:dyDescent="0.3">
      <c r="A759" t="s">
        <v>697</v>
      </c>
      <c r="B759" s="2">
        <v>42571</v>
      </c>
      <c r="C759" s="7">
        <v>0.76111111111111107</v>
      </c>
      <c r="D759" t="s">
        <v>698</v>
      </c>
      <c r="E759" s="2">
        <v>42571</v>
      </c>
      <c r="F759" s="8">
        <v>0.76388888888888884</v>
      </c>
      <c r="G759" t="s">
        <v>55</v>
      </c>
      <c r="H759" s="7">
        <f t="shared" si="124"/>
        <v>2.7777777777777679E-3</v>
      </c>
      <c r="I759" s="13">
        <f t="shared" si="125"/>
        <v>6.6666666666666666E-2</v>
      </c>
      <c r="J759" t="s">
        <v>57</v>
      </c>
      <c r="K759" t="s">
        <v>38</v>
      </c>
      <c r="L759">
        <v>1.4</v>
      </c>
      <c r="M759" s="5">
        <f t="shared" si="126"/>
        <v>21</v>
      </c>
      <c r="O759" t="str">
        <f t="shared" si="127"/>
        <v>No Purpose</v>
      </c>
    </row>
    <row r="760" spans="1:15" x14ac:dyDescent="0.3">
      <c r="A760" t="s">
        <v>699</v>
      </c>
      <c r="B760" s="2">
        <v>42572</v>
      </c>
      <c r="C760" s="7">
        <v>0.72013888888888899</v>
      </c>
      <c r="D760" t="s">
        <v>700</v>
      </c>
      <c r="E760" s="2">
        <v>42572</v>
      </c>
      <c r="F760" s="8">
        <v>0.72430555555555554</v>
      </c>
      <c r="G760" t="s">
        <v>7</v>
      </c>
      <c r="H760" s="7">
        <f t="shared" si="124"/>
        <v>4.1666666666665408E-3</v>
      </c>
      <c r="I760" s="13">
        <f t="shared" si="125"/>
        <v>0.1</v>
      </c>
      <c r="J760" t="s">
        <v>38</v>
      </c>
      <c r="K760" t="s">
        <v>54</v>
      </c>
      <c r="L760">
        <v>2.7</v>
      </c>
      <c r="M760" s="5">
        <f t="shared" si="126"/>
        <v>27</v>
      </c>
      <c r="O760" t="str">
        <f t="shared" si="127"/>
        <v>No Purpose</v>
      </c>
    </row>
    <row r="761" spans="1:15" x14ac:dyDescent="0.3">
      <c r="A761" t="s">
        <v>701</v>
      </c>
      <c r="B761" s="2">
        <v>42572</v>
      </c>
      <c r="C761" s="7">
        <v>0.73749999999999993</v>
      </c>
      <c r="D761" t="s">
        <v>702</v>
      </c>
      <c r="E761" s="2">
        <v>42572</v>
      </c>
      <c r="F761" s="8">
        <v>0.74375000000000002</v>
      </c>
      <c r="G761" t="s">
        <v>7</v>
      </c>
      <c r="H761" s="7">
        <f t="shared" si="124"/>
        <v>6.2500000000000888E-3</v>
      </c>
      <c r="I761" s="13">
        <f t="shared" si="125"/>
        <v>0.15</v>
      </c>
      <c r="J761" t="s">
        <v>54</v>
      </c>
      <c r="K761" t="s">
        <v>368</v>
      </c>
      <c r="L761">
        <v>2.2999999999999998</v>
      </c>
      <c r="M761" s="5">
        <f t="shared" si="126"/>
        <v>15.333333333333332</v>
      </c>
      <c r="O761" t="str">
        <f t="shared" si="127"/>
        <v>No Purpose</v>
      </c>
    </row>
    <row r="762" spans="1:15" x14ac:dyDescent="0.3">
      <c r="A762" t="s">
        <v>703</v>
      </c>
      <c r="B762" s="2">
        <v>42572</v>
      </c>
      <c r="C762" s="7">
        <v>0.76874999999999993</v>
      </c>
      <c r="D762" t="s">
        <v>704</v>
      </c>
      <c r="E762" s="2">
        <v>42572</v>
      </c>
      <c r="F762" s="8">
        <v>0.77916666666666667</v>
      </c>
      <c r="G762" t="s">
        <v>7</v>
      </c>
      <c r="H762" s="7">
        <f t="shared" si="124"/>
        <v>1.0416666666666741E-2</v>
      </c>
      <c r="I762" s="13">
        <f t="shared" si="125"/>
        <v>0.25</v>
      </c>
      <c r="J762" t="s">
        <v>15</v>
      </c>
      <c r="K762" t="s">
        <v>16</v>
      </c>
      <c r="L762">
        <v>3.7</v>
      </c>
      <c r="M762" s="5">
        <f t="shared" si="126"/>
        <v>14.8</v>
      </c>
      <c r="O762" t="str">
        <f t="shared" si="127"/>
        <v>No Purpose</v>
      </c>
    </row>
    <row r="763" spans="1:15" x14ac:dyDescent="0.3">
      <c r="A763" t="s">
        <v>705</v>
      </c>
      <c r="B763" s="2">
        <v>42572</v>
      </c>
      <c r="C763" s="7">
        <v>0.8125</v>
      </c>
      <c r="D763" t="s">
        <v>706</v>
      </c>
      <c r="E763" s="2">
        <v>42572</v>
      </c>
      <c r="F763" s="8">
        <v>0.81874999999999998</v>
      </c>
      <c r="G763" t="s">
        <v>7</v>
      </c>
      <c r="H763" s="7">
        <f t="shared" si="124"/>
        <v>6.2499999999999778E-3</v>
      </c>
      <c r="I763" s="13">
        <f t="shared" si="125"/>
        <v>0.15</v>
      </c>
      <c r="J763" t="s">
        <v>16</v>
      </c>
      <c r="K763" t="s">
        <v>15</v>
      </c>
      <c r="L763">
        <v>2.9</v>
      </c>
      <c r="M763" s="5">
        <f t="shared" si="126"/>
        <v>19.333333333333332</v>
      </c>
      <c r="O763" t="str">
        <f t="shared" si="127"/>
        <v>No Purpose</v>
      </c>
    </row>
    <row r="764" spans="1:15" x14ac:dyDescent="0.3">
      <c r="A764" t="s">
        <v>707</v>
      </c>
      <c r="B764" s="2">
        <v>42573</v>
      </c>
      <c r="C764" s="7">
        <v>0.4458333333333333</v>
      </c>
      <c r="D764" t="s">
        <v>708</v>
      </c>
      <c r="E764" s="2">
        <v>42573</v>
      </c>
      <c r="F764" s="8">
        <v>0.45347222222222222</v>
      </c>
      <c r="G764" t="s">
        <v>7</v>
      </c>
      <c r="H764" s="7">
        <f t="shared" si="124"/>
        <v>7.6388888888889173E-3</v>
      </c>
      <c r="I764" s="13">
        <f t="shared" si="125"/>
        <v>0.18333333333333332</v>
      </c>
      <c r="J764" t="s">
        <v>15</v>
      </c>
      <c r="K764" t="s">
        <v>16</v>
      </c>
      <c r="L764">
        <v>3.8</v>
      </c>
      <c r="M764" s="5">
        <f t="shared" si="126"/>
        <v>20.727272727272727</v>
      </c>
      <c r="O764" t="str">
        <f t="shared" si="127"/>
        <v>No Purpose</v>
      </c>
    </row>
    <row r="765" spans="1:15" x14ac:dyDescent="0.3">
      <c r="A765" t="s">
        <v>709</v>
      </c>
      <c r="B765" s="2">
        <v>42573</v>
      </c>
      <c r="C765" s="7">
        <v>0.46597222222222223</v>
      </c>
      <c r="D765" t="s">
        <v>710</v>
      </c>
      <c r="E765" s="2">
        <v>42573</v>
      </c>
      <c r="F765" s="8">
        <v>0.47569444444444442</v>
      </c>
      <c r="G765" t="s">
        <v>7</v>
      </c>
      <c r="H765" s="7">
        <f t="shared" si="124"/>
        <v>9.7222222222221877E-3</v>
      </c>
      <c r="I765" s="13">
        <f t="shared" si="125"/>
        <v>0.23333333333333334</v>
      </c>
      <c r="J765" t="s">
        <v>16</v>
      </c>
      <c r="K765" t="s">
        <v>15</v>
      </c>
      <c r="L765">
        <v>5.0999999999999996</v>
      </c>
      <c r="M765" s="5">
        <f t="shared" si="126"/>
        <v>21.857142857142854</v>
      </c>
      <c r="O765" t="str">
        <f t="shared" si="127"/>
        <v>No Purpose</v>
      </c>
    </row>
    <row r="766" spans="1:15" x14ac:dyDescent="0.3">
      <c r="A766" t="s">
        <v>711</v>
      </c>
      <c r="B766" s="2">
        <v>42573</v>
      </c>
      <c r="C766" s="7">
        <v>0.48402777777777778</v>
      </c>
      <c r="D766" t="s">
        <v>712</v>
      </c>
      <c r="E766" s="2">
        <v>42573</v>
      </c>
      <c r="F766" s="8">
        <v>0.5</v>
      </c>
      <c r="G766" t="s">
        <v>7</v>
      </c>
      <c r="H766" s="7">
        <f t="shared" si="124"/>
        <v>1.5972222222222221E-2</v>
      </c>
      <c r="I766" s="13">
        <f t="shared" si="125"/>
        <v>0.38333333333333336</v>
      </c>
      <c r="J766" t="s">
        <v>43</v>
      </c>
      <c r="K766" t="s">
        <v>686</v>
      </c>
      <c r="L766">
        <v>9.1</v>
      </c>
      <c r="M766" s="5">
        <f t="shared" si="126"/>
        <v>23.739130434782606</v>
      </c>
      <c r="O766" t="str">
        <f t="shared" si="127"/>
        <v>No Purpose</v>
      </c>
    </row>
    <row r="767" spans="1:15" x14ac:dyDescent="0.3">
      <c r="A767" t="s">
        <v>713</v>
      </c>
      <c r="B767" s="2">
        <v>42573</v>
      </c>
      <c r="C767" s="7">
        <v>0.50972222222222219</v>
      </c>
      <c r="D767" t="s">
        <v>714</v>
      </c>
      <c r="E767" s="2">
        <v>42573</v>
      </c>
      <c r="F767" s="8">
        <v>0.52152777777777781</v>
      </c>
      <c r="G767" t="s">
        <v>7</v>
      </c>
      <c r="H767" s="7">
        <f t="shared" si="124"/>
        <v>1.1805555555555625E-2</v>
      </c>
      <c r="I767" s="13">
        <f t="shared" si="125"/>
        <v>0.28333333333333333</v>
      </c>
      <c r="J767" t="s">
        <v>15</v>
      </c>
      <c r="K767" t="s">
        <v>36</v>
      </c>
      <c r="L767">
        <v>8</v>
      </c>
      <c r="M767" s="5">
        <f t="shared" si="126"/>
        <v>28.235294117647058</v>
      </c>
      <c r="O767" t="str">
        <f t="shared" si="127"/>
        <v>No Purpose</v>
      </c>
    </row>
    <row r="768" spans="1:15" x14ac:dyDescent="0.3">
      <c r="A768" t="s">
        <v>719</v>
      </c>
      <c r="B768" s="2">
        <v>42573</v>
      </c>
      <c r="C768" s="7">
        <v>0.65902777777777777</v>
      </c>
      <c r="D768" t="s">
        <v>720</v>
      </c>
      <c r="E768" s="2">
        <v>42573</v>
      </c>
      <c r="F768" s="8">
        <v>0.68194444444444446</v>
      </c>
      <c r="G768" t="s">
        <v>7</v>
      </c>
      <c r="H768" s="7">
        <f t="shared" si="124"/>
        <v>2.2916666666666696E-2</v>
      </c>
      <c r="I768" s="13">
        <f t="shared" si="125"/>
        <v>0.55000000000000004</v>
      </c>
      <c r="J768" t="s">
        <v>16</v>
      </c>
      <c r="K768" t="s">
        <v>15</v>
      </c>
      <c r="L768">
        <v>12.2</v>
      </c>
      <c r="M768" s="5">
        <f t="shared" si="126"/>
        <v>22.18181818181818</v>
      </c>
      <c r="O768" t="str">
        <f t="shared" si="127"/>
        <v>No Purpose</v>
      </c>
    </row>
    <row r="769" spans="1:15" x14ac:dyDescent="0.3">
      <c r="A769" t="s">
        <v>721</v>
      </c>
      <c r="B769" s="2">
        <v>42573</v>
      </c>
      <c r="C769" s="7">
        <v>0.7729166666666667</v>
      </c>
      <c r="D769" t="s">
        <v>722</v>
      </c>
      <c r="E769" s="2">
        <v>42573</v>
      </c>
      <c r="F769" s="8">
        <v>0.78541666666666676</v>
      </c>
      <c r="G769" t="s">
        <v>7</v>
      </c>
      <c r="H769" s="7">
        <f t="shared" si="124"/>
        <v>1.2500000000000067E-2</v>
      </c>
      <c r="I769" s="13">
        <f t="shared" si="125"/>
        <v>0.3</v>
      </c>
      <c r="J769" t="s">
        <v>146</v>
      </c>
      <c r="K769" t="s">
        <v>38</v>
      </c>
      <c r="L769">
        <v>8</v>
      </c>
      <c r="M769" s="5">
        <f t="shared" si="126"/>
        <v>26.666666666666668</v>
      </c>
      <c r="O769" t="str">
        <f t="shared" si="127"/>
        <v>No Purpose</v>
      </c>
    </row>
    <row r="770" spans="1:15" x14ac:dyDescent="0.3">
      <c r="A770" t="s">
        <v>723</v>
      </c>
      <c r="B770" s="2">
        <v>42574</v>
      </c>
      <c r="C770" s="7">
        <v>0.6020833333333333</v>
      </c>
      <c r="D770" t="s">
        <v>724</v>
      </c>
      <c r="E770" s="2">
        <v>42574</v>
      </c>
      <c r="F770" s="8">
        <v>0.61388888888888882</v>
      </c>
      <c r="G770" t="s">
        <v>7</v>
      </c>
      <c r="H770" s="7">
        <f t="shared" ref="H770:H833" si="132">IF(F770&gt;C770,F770-C770,F770-C770+1)</f>
        <v>1.1805555555555514E-2</v>
      </c>
      <c r="I770" s="13">
        <f t="shared" ref="I770:I833" si="133">(HOUR(H770)*60+MINUTE(H770))/60</f>
        <v>0.28333333333333333</v>
      </c>
      <c r="J770" t="s">
        <v>15</v>
      </c>
      <c r="K770" t="s">
        <v>16</v>
      </c>
      <c r="L770">
        <v>4</v>
      </c>
      <c r="M770" s="5">
        <f t="shared" ref="M770:M833" si="134">L770/I770</f>
        <v>14.117647058823529</v>
      </c>
      <c r="O770" t="str">
        <f t="shared" ref="O770:O833" si="135">IF(ISBLANK($N770),"No Purpose",$N770)</f>
        <v>No Purpose</v>
      </c>
    </row>
    <row r="771" spans="1:15" x14ac:dyDescent="0.3">
      <c r="A771" t="s">
        <v>725</v>
      </c>
      <c r="B771" s="2">
        <v>42574</v>
      </c>
      <c r="C771" s="7">
        <v>0.6166666666666667</v>
      </c>
      <c r="D771" t="s">
        <v>726</v>
      </c>
      <c r="E771" s="2">
        <v>42574</v>
      </c>
      <c r="F771" s="8">
        <v>0.6333333333333333</v>
      </c>
      <c r="G771" t="s">
        <v>7</v>
      </c>
      <c r="H771" s="7">
        <f t="shared" si="132"/>
        <v>1.6666666666666607E-2</v>
      </c>
      <c r="I771" s="13">
        <f t="shared" si="133"/>
        <v>0.4</v>
      </c>
      <c r="J771" t="s">
        <v>16</v>
      </c>
      <c r="K771" t="s">
        <v>15</v>
      </c>
      <c r="L771">
        <v>9.5</v>
      </c>
      <c r="M771" s="5">
        <f t="shared" si="134"/>
        <v>23.75</v>
      </c>
      <c r="O771" t="str">
        <f t="shared" si="135"/>
        <v>No Purpose</v>
      </c>
    </row>
    <row r="772" spans="1:15" x14ac:dyDescent="0.3">
      <c r="A772" t="s">
        <v>727</v>
      </c>
      <c r="B772" s="2">
        <v>42574</v>
      </c>
      <c r="C772" s="7">
        <v>0.63541666666666663</v>
      </c>
      <c r="D772" t="s">
        <v>728</v>
      </c>
      <c r="E772" s="2">
        <v>42574</v>
      </c>
      <c r="F772" s="8">
        <v>0.64374999999999993</v>
      </c>
      <c r="G772" t="s">
        <v>7</v>
      </c>
      <c r="H772" s="7">
        <f t="shared" si="132"/>
        <v>8.3333333333333037E-3</v>
      </c>
      <c r="I772" s="13">
        <f t="shared" si="133"/>
        <v>0.2</v>
      </c>
      <c r="J772" t="s">
        <v>15</v>
      </c>
      <c r="K772" t="s">
        <v>16</v>
      </c>
      <c r="L772">
        <v>3</v>
      </c>
      <c r="M772" s="5">
        <f t="shared" si="134"/>
        <v>15</v>
      </c>
      <c r="O772" t="str">
        <f t="shared" si="135"/>
        <v>No Purpose</v>
      </c>
    </row>
    <row r="773" spans="1:15" x14ac:dyDescent="0.3">
      <c r="A773" t="s">
        <v>729</v>
      </c>
      <c r="B773" s="2">
        <v>42574</v>
      </c>
      <c r="C773" s="7">
        <v>0.65972222222222221</v>
      </c>
      <c r="D773" t="s">
        <v>730</v>
      </c>
      <c r="E773" s="2">
        <v>42574</v>
      </c>
      <c r="F773" s="8">
        <v>0.67361111111111116</v>
      </c>
      <c r="G773" t="s">
        <v>7</v>
      </c>
      <c r="H773" s="7">
        <f t="shared" si="132"/>
        <v>1.3888888888888951E-2</v>
      </c>
      <c r="I773" s="13">
        <f t="shared" si="133"/>
        <v>0.33333333333333331</v>
      </c>
      <c r="J773" t="s">
        <v>16</v>
      </c>
      <c r="K773" t="s">
        <v>15</v>
      </c>
      <c r="L773">
        <v>6.3</v>
      </c>
      <c r="M773" s="5">
        <f t="shared" si="134"/>
        <v>18.900000000000002</v>
      </c>
      <c r="O773" t="str">
        <f t="shared" si="135"/>
        <v>No Purpose</v>
      </c>
    </row>
    <row r="774" spans="1:15" x14ac:dyDescent="0.3">
      <c r="A774" t="s">
        <v>735</v>
      </c>
      <c r="B774" s="2">
        <v>42576</v>
      </c>
      <c r="C774" s="7">
        <v>0.44097222222222227</v>
      </c>
      <c r="D774" t="s">
        <v>736</v>
      </c>
      <c r="E774" s="2">
        <v>42576</v>
      </c>
      <c r="F774" s="8">
        <v>0.44513888888888892</v>
      </c>
      <c r="G774" t="s">
        <v>7</v>
      </c>
      <c r="H774" s="7">
        <f t="shared" si="132"/>
        <v>4.1666666666666519E-3</v>
      </c>
      <c r="I774" s="13">
        <f t="shared" si="133"/>
        <v>0.1</v>
      </c>
      <c r="J774" t="s">
        <v>38</v>
      </c>
      <c r="K774" t="s">
        <v>389</v>
      </c>
      <c r="L774">
        <v>1.5</v>
      </c>
      <c r="M774" s="5">
        <f t="shared" si="134"/>
        <v>15</v>
      </c>
      <c r="O774" t="str">
        <f t="shared" si="135"/>
        <v>No Purpose</v>
      </c>
    </row>
    <row r="775" spans="1:15" x14ac:dyDescent="0.3">
      <c r="A775" t="s">
        <v>737</v>
      </c>
      <c r="B775" s="2">
        <v>42576</v>
      </c>
      <c r="C775" s="7">
        <v>0.44930555555555557</v>
      </c>
      <c r="D775" t="s">
        <v>738</v>
      </c>
      <c r="E775" s="2">
        <v>42576</v>
      </c>
      <c r="F775" s="8">
        <v>0.45694444444444443</v>
      </c>
      <c r="G775" t="s">
        <v>7</v>
      </c>
      <c r="H775" s="7">
        <f t="shared" si="132"/>
        <v>7.6388888888888618E-3</v>
      </c>
      <c r="I775" s="13">
        <f t="shared" si="133"/>
        <v>0.18333333333333332</v>
      </c>
      <c r="J775" t="s">
        <v>15</v>
      </c>
      <c r="K775" t="s">
        <v>16</v>
      </c>
      <c r="L775">
        <v>4.9000000000000004</v>
      </c>
      <c r="M775" s="5">
        <f t="shared" si="134"/>
        <v>26.72727272727273</v>
      </c>
      <c r="O775" t="str">
        <f t="shared" si="135"/>
        <v>No Purpose</v>
      </c>
    </row>
    <row r="776" spans="1:15" x14ac:dyDescent="0.3">
      <c r="A776" t="s">
        <v>739</v>
      </c>
      <c r="B776" s="2">
        <v>42576</v>
      </c>
      <c r="C776" s="7">
        <v>0.46111111111111108</v>
      </c>
      <c r="D776" t="s">
        <v>740</v>
      </c>
      <c r="E776" s="2">
        <v>42576</v>
      </c>
      <c r="F776" s="8">
        <v>0.48125000000000001</v>
      </c>
      <c r="G776" t="s">
        <v>7</v>
      </c>
      <c r="H776" s="7">
        <f t="shared" si="132"/>
        <v>2.0138888888888928E-2</v>
      </c>
      <c r="I776" s="13">
        <f t="shared" si="133"/>
        <v>0.48333333333333334</v>
      </c>
      <c r="J776" t="s">
        <v>16</v>
      </c>
      <c r="K776" t="s">
        <v>15</v>
      </c>
      <c r="L776">
        <v>7.9</v>
      </c>
      <c r="M776" s="5">
        <f t="shared" si="134"/>
        <v>16.344827586206897</v>
      </c>
      <c r="O776" t="str">
        <f t="shared" si="135"/>
        <v>No Purpose</v>
      </c>
    </row>
    <row r="777" spans="1:15" x14ac:dyDescent="0.3">
      <c r="A777" t="s">
        <v>741</v>
      </c>
      <c r="B777" s="2">
        <v>42576</v>
      </c>
      <c r="C777" s="7">
        <v>0.48402777777777778</v>
      </c>
      <c r="D777" t="s">
        <v>742</v>
      </c>
      <c r="E777" s="2">
        <v>42576</v>
      </c>
      <c r="F777" s="8">
        <v>0.48888888888888887</v>
      </c>
      <c r="G777" t="s">
        <v>7</v>
      </c>
      <c r="H777" s="7">
        <f t="shared" si="132"/>
        <v>4.8611111111110938E-3</v>
      </c>
      <c r="I777" s="13">
        <f t="shared" si="133"/>
        <v>0.11666666666666667</v>
      </c>
      <c r="J777" t="s">
        <v>389</v>
      </c>
      <c r="K777" t="s">
        <v>38</v>
      </c>
      <c r="L777">
        <v>1.7</v>
      </c>
      <c r="M777" s="5">
        <f t="shared" si="134"/>
        <v>14.571428571428571</v>
      </c>
      <c r="O777" t="str">
        <f t="shared" si="135"/>
        <v>No Purpose</v>
      </c>
    </row>
    <row r="778" spans="1:15" x14ac:dyDescent="0.3">
      <c r="A778" t="s">
        <v>743</v>
      </c>
      <c r="B778" s="2">
        <v>42577</v>
      </c>
      <c r="C778" s="7">
        <v>0.65486111111111112</v>
      </c>
      <c r="D778" t="s">
        <v>744</v>
      </c>
      <c r="E778" s="2">
        <v>42577</v>
      </c>
      <c r="F778" s="8">
        <v>0.65902777777777777</v>
      </c>
      <c r="G778" t="s">
        <v>7</v>
      </c>
      <c r="H778" s="7">
        <f t="shared" si="132"/>
        <v>4.1666666666666519E-3</v>
      </c>
      <c r="I778" s="13">
        <f t="shared" si="133"/>
        <v>0.1</v>
      </c>
      <c r="J778" t="s">
        <v>38</v>
      </c>
      <c r="K778" t="s">
        <v>44</v>
      </c>
      <c r="L778">
        <v>2.2000000000000002</v>
      </c>
      <c r="M778" s="5">
        <f t="shared" si="134"/>
        <v>22</v>
      </c>
      <c r="O778" t="str">
        <f t="shared" si="135"/>
        <v>No Purpose</v>
      </c>
    </row>
    <row r="779" spans="1:15" x14ac:dyDescent="0.3">
      <c r="A779" t="s">
        <v>745</v>
      </c>
      <c r="B779" s="2">
        <v>42577</v>
      </c>
      <c r="C779" s="7">
        <v>0.71805555555555556</v>
      </c>
      <c r="D779" t="s">
        <v>746</v>
      </c>
      <c r="E779" s="2">
        <v>42577</v>
      </c>
      <c r="F779" s="8">
        <v>0.72499999999999998</v>
      </c>
      <c r="G779" t="s">
        <v>7</v>
      </c>
      <c r="H779" s="7">
        <f t="shared" si="132"/>
        <v>6.9444444444444198E-3</v>
      </c>
      <c r="I779" s="13">
        <f t="shared" si="133"/>
        <v>0.16666666666666666</v>
      </c>
      <c r="J779" t="s">
        <v>44</v>
      </c>
      <c r="K779" t="s">
        <v>38</v>
      </c>
      <c r="L779">
        <v>2.1</v>
      </c>
      <c r="M779" s="5">
        <f t="shared" si="134"/>
        <v>12.600000000000001</v>
      </c>
      <c r="O779" t="str">
        <f t="shared" si="135"/>
        <v>No Purpose</v>
      </c>
    </row>
    <row r="780" spans="1:15" x14ac:dyDescent="0.3">
      <c r="A780" t="s">
        <v>751</v>
      </c>
      <c r="B780" s="2">
        <v>42578</v>
      </c>
      <c r="C780" s="7">
        <v>0.79722222222222217</v>
      </c>
      <c r="D780" t="s">
        <v>752</v>
      </c>
      <c r="E780" s="2">
        <v>42578</v>
      </c>
      <c r="F780" s="8">
        <v>0.80555555555555547</v>
      </c>
      <c r="G780" t="s">
        <v>7</v>
      </c>
      <c r="H780" s="7">
        <f t="shared" si="132"/>
        <v>8.3333333333333037E-3</v>
      </c>
      <c r="I780" s="13">
        <f t="shared" si="133"/>
        <v>0.2</v>
      </c>
      <c r="J780" t="s">
        <v>15</v>
      </c>
      <c r="K780" t="s">
        <v>16</v>
      </c>
      <c r="L780">
        <v>2.8</v>
      </c>
      <c r="M780" s="5">
        <f t="shared" si="134"/>
        <v>13.999999999999998</v>
      </c>
      <c r="O780" t="str">
        <f t="shared" si="135"/>
        <v>No Purpose</v>
      </c>
    </row>
    <row r="781" spans="1:15" x14ac:dyDescent="0.3">
      <c r="A781" t="s">
        <v>753</v>
      </c>
      <c r="B781" s="2">
        <v>42578</v>
      </c>
      <c r="C781" s="7">
        <v>0.89861111111111114</v>
      </c>
      <c r="D781" t="s">
        <v>754</v>
      </c>
      <c r="E781" s="2">
        <v>42578</v>
      </c>
      <c r="F781" s="8">
        <v>0.9145833333333333</v>
      </c>
      <c r="G781" t="s">
        <v>7</v>
      </c>
      <c r="H781" s="7">
        <f t="shared" si="132"/>
        <v>1.5972222222222165E-2</v>
      </c>
      <c r="I781" s="13">
        <f t="shared" si="133"/>
        <v>0.38333333333333336</v>
      </c>
      <c r="J781" t="s">
        <v>16</v>
      </c>
      <c r="K781" t="s">
        <v>40</v>
      </c>
      <c r="L781">
        <v>14.7</v>
      </c>
      <c r="M781" s="5">
        <f t="shared" si="134"/>
        <v>38.347826086956516</v>
      </c>
      <c r="O781" t="str">
        <f t="shared" si="135"/>
        <v>No Purpose</v>
      </c>
    </row>
    <row r="782" spans="1:15" x14ac:dyDescent="0.3">
      <c r="A782" t="s">
        <v>755</v>
      </c>
      <c r="B782" s="2">
        <v>42578</v>
      </c>
      <c r="C782" s="7">
        <v>0.91666666666666663</v>
      </c>
      <c r="D782" t="s">
        <v>756</v>
      </c>
      <c r="E782" s="2">
        <v>42578</v>
      </c>
      <c r="F782" s="8">
        <v>0.93472222222222223</v>
      </c>
      <c r="G782" t="s">
        <v>7</v>
      </c>
      <c r="H782" s="7">
        <f t="shared" si="132"/>
        <v>1.8055555555555602E-2</v>
      </c>
      <c r="I782" s="13">
        <f t="shared" si="133"/>
        <v>0.43333333333333335</v>
      </c>
      <c r="J782" t="s">
        <v>40</v>
      </c>
      <c r="K782" t="s">
        <v>16</v>
      </c>
      <c r="L782">
        <v>14.6</v>
      </c>
      <c r="M782" s="5">
        <f t="shared" si="134"/>
        <v>33.692307692307693</v>
      </c>
      <c r="O782" t="str">
        <f t="shared" si="135"/>
        <v>No Purpose</v>
      </c>
    </row>
    <row r="783" spans="1:15" x14ac:dyDescent="0.3">
      <c r="A783" t="s">
        <v>757</v>
      </c>
      <c r="B783" s="2">
        <v>42579</v>
      </c>
      <c r="C783" s="7">
        <v>2.7777777777777779E-3</v>
      </c>
      <c r="D783" t="s">
        <v>758</v>
      </c>
      <c r="E783" s="2">
        <v>42579</v>
      </c>
      <c r="F783" s="8">
        <v>6.2499999999999995E-3</v>
      </c>
      <c r="G783" t="s">
        <v>7</v>
      </c>
      <c r="H783" s="7">
        <f t="shared" si="132"/>
        <v>3.4722222222222216E-3</v>
      </c>
      <c r="I783" s="13">
        <f t="shared" si="133"/>
        <v>8.3333333333333329E-2</v>
      </c>
      <c r="J783" t="s">
        <v>16</v>
      </c>
      <c r="K783" t="s">
        <v>15</v>
      </c>
      <c r="L783">
        <v>2.2999999999999998</v>
      </c>
      <c r="M783" s="5">
        <f t="shared" si="134"/>
        <v>27.599999999999998</v>
      </c>
      <c r="O783" t="str">
        <f t="shared" si="135"/>
        <v>No Purpose</v>
      </c>
    </row>
    <row r="784" spans="1:15" x14ac:dyDescent="0.3">
      <c r="A784" t="s">
        <v>759</v>
      </c>
      <c r="B784" s="2">
        <v>42580</v>
      </c>
      <c r="C784" s="7">
        <v>0.65625</v>
      </c>
      <c r="D784" t="s">
        <v>760</v>
      </c>
      <c r="E784" s="2">
        <v>42580</v>
      </c>
      <c r="F784" s="8">
        <v>0.65763888888888888</v>
      </c>
      <c r="G784" t="s">
        <v>7</v>
      </c>
      <c r="H784" s="7">
        <f t="shared" si="132"/>
        <v>1.388888888888884E-3</v>
      </c>
      <c r="I784" s="13">
        <f t="shared" si="133"/>
        <v>3.3333333333333333E-2</v>
      </c>
      <c r="J784" t="s">
        <v>38</v>
      </c>
      <c r="K784" t="s">
        <v>44</v>
      </c>
      <c r="L784">
        <v>2.2000000000000002</v>
      </c>
      <c r="M784" s="5">
        <f t="shared" si="134"/>
        <v>66</v>
      </c>
      <c r="O784" t="str">
        <f t="shared" si="135"/>
        <v>No Purpose</v>
      </c>
    </row>
    <row r="785" spans="1:15" x14ac:dyDescent="0.3">
      <c r="A785" t="s">
        <v>763</v>
      </c>
      <c r="B785" s="2">
        <v>42581</v>
      </c>
      <c r="C785" s="7">
        <v>0.70972222222222225</v>
      </c>
      <c r="D785" t="s">
        <v>764</v>
      </c>
      <c r="E785" s="2">
        <v>42581</v>
      </c>
      <c r="F785" s="8">
        <v>0.7270833333333333</v>
      </c>
      <c r="G785" t="s">
        <v>7</v>
      </c>
      <c r="H785" s="7">
        <f t="shared" si="132"/>
        <v>1.7361111111111049E-2</v>
      </c>
      <c r="I785" s="13">
        <f t="shared" si="133"/>
        <v>0.41666666666666669</v>
      </c>
      <c r="J785" t="s">
        <v>15</v>
      </c>
      <c r="K785" t="s">
        <v>36</v>
      </c>
      <c r="L785">
        <v>14</v>
      </c>
      <c r="M785" s="5">
        <f t="shared" si="134"/>
        <v>33.6</v>
      </c>
      <c r="O785" t="str">
        <f t="shared" si="135"/>
        <v>No Purpose</v>
      </c>
    </row>
    <row r="786" spans="1:15" x14ac:dyDescent="0.3">
      <c r="A786" t="s">
        <v>765</v>
      </c>
      <c r="B786" s="2">
        <v>42581</v>
      </c>
      <c r="C786" s="7">
        <v>0.88611111111111107</v>
      </c>
      <c r="D786" t="s">
        <v>766</v>
      </c>
      <c r="E786" s="2">
        <v>42581</v>
      </c>
      <c r="F786" s="8">
        <v>0.90347222222222223</v>
      </c>
      <c r="G786" t="s">
        <v>7</v>
      </c>
      <c r="H786" s="7">
        <f t="shared" si="132"/>
        <v>1.736111111111116E-2</v>
      </c>
      <c r="I786" s="13">
        <f t="shared" si="133"/>
        <v>0.41666666666666669</v>
      </c>
      <c r="J786" t="s">
        <v>36</v>
      </c>
      <c r="K786" t="s">
        <v>15</v>
      </c>
      <c r="L786">
        <v>13.3</v>
      </c>
      <c r="M786" s="5">
        <f t="shared" si="134"/>
        <v>31.92</v>
      </c>
      <c r="O786" t="str">
        <f t="shared" si="135"/>
        <v>No Purpose</v>
      </c>
    </row>
    <row r="787" spans="1:15" x14ac:dyDescent="0.3">
      <c r="A787" t="s">
        <v>767</v>
      </c>
      <c r="B787" s="2">
        <v>42582</v>
      </c>
      <c r="C787" s="7">
        <v>0.72916666666666663</v>
      </c>
      <c r="D787" t="s">
        <v>768</v>
      </c>
      <c r="E787" s="2">
        <v>42582</v>
      </c>
      <c r="F787" s="8">
        <v>0.73402777777777783</v>
      </c>
      <c r="G787" t="s">
        <v>7</v>
      </c>
      <c r="H787" s="7">
        <f t="shared" si="132"/>
        <v>4.8611111111112049E-3</v>
      </c>
      <c r="I787" s="13">
        <f t="shared" si="133"/>
        <v>0.11666666666666667</v>
      </c>
      <c r="J787" t="s">
        <v>44</v>
      </c>
      <c r="K787" t="s">
        <v>38</v>
      </c>
      <c r="L787">
        <v>1.8</v>
      </c>
      <c r="M787" s="5">
        <f t="shared" si="134"/>
        <v>15.428571428571429</v>
      </c>
      <c r="O787" t="str">
        <f t="shared" si="135"/>
        <v>No Purpose</v>
      </c>
    </row>
    <row r="788" spans="1:15" x14ac:dyDescent="0.3">
      <c r="A788" s="1">
        <v>42377.532638888886</v>
      </c>
      <c r="B788" s="6">
        <f t="shared" ref="B788:B825" si="136">INT(A788:A827)</f>
        <v>42377</v>
      </c>
      <c r="C788" s="7">
        <f t="shared" ref="C788:C825" si="137">(A788-B788)</f>
        <v>0.53263888888614019</v>
      </c>
      <c r="D788" s="1">
        <v>42377.544444444444</v>
      </c>
      <c r="E788" s="6">
        <f t="shared" ref="E788:E825" si="138">INT(D788)</f>
        <v>42377</v>
      </c>
      <c r="F788" s="8">
        <f t="shared" ref="F788:F825" si="139">D788-E788</f>
        <v>0.54444444444379769</v>
      </c>
      <c r="G788" t="s">
        <v>7</v>
      </c>
      <c r="H788" s="7">
        <f t="shared" si="132"/>
        <v>1.1805555557657499E-2</v>
      </c>
      <c r="I788" s="13">
        <f t="shared" si="133"/>
        <v>0.28333333333333333</v>
      </c>
      <c r="J788" t="s">
        <v>38</v>
      </c>
      <c r="K788" t="s">
        <v>769</v>
      </c>
      <c r="L788">
        <v>6.2</v>
      </c>
      <c r="M788" s="5">
        <f t="shared" si="134"/>
        <v>21.882352941176471</v>
      </c>
      <c r="O788" t="str">
        <f t="shared" si="135"/>
        <v>No Purpose</v>
      </c>
    </row>
    <row r="789" spans="1:15" x14ac:dyDescent="0.3">
      <c r="A789" s="1">
        <v>42377.547222222223</v>
      </c>
      <c r="B789" s="6">
        <f t="shared" si="136"/>
        <v>42377</v>
      </c>
      <c r="C789" s="7">
        <f t="shared" si="137"/>
        <v>0.54722222222335404</v>
      </c>
      <c r="D789" s="1">
        <v>42377.554861111108</v>
      </c>
      <c r="E789" s="6">
        <f t="shared" si="138"/>
        <v>42377</v>
      </c>
      <c r="F789" s="8">
        <f t="shared" si="139"/>
        <v>0.55486111110803904</v>
      </c>
      <c r="G789" t="s">
        <v>7</v>
      </c>
      <c r="H789" s="7">
        <f t="shared" si="132"/>
        <v>7.6388888846850023E-3</v>
      </c>
      <c r="I789" s="13">
        <f t="shared" si="133"/>
        <v>0.18333333333333332</v>
      </c>
      <c r="J789" t="s">
        <v>769</v>
      </c>
      <c r="K789" t="s">
        <v>686</v>
      </c>
      <c r="L789">
        <v>1.3</v>
      </c>
      <c r="M789" s="5">
        <f t="shared" si="134"/>
        <v>7.0909090909090917</v>
      </c>
      <c r="O789" t="str">
        <f t="shared" si="135"/>
        <v>No Purpose</v>
      </c>
    </row>
    <row r="790" spans="1:15" x14ac:dyDescent="0.3">
      <c r="A790" s="1">
        <v>42377.561111111114</v>
      </c>
      <c r="B790" s="6">
        <f t="shared" si="136"/>
        <v>42377</v>
      </c>
      <c r="C790" s="7">
        <f t="shared" si="137"/>
        <v>0.56111111111385981</v>
      </c>
      <c r="D790" s="1">
        <v>42377.573611111111</v>
      </c>
      <c r="E790" s="6">
        <f t="shared" si="138"/>
        <v>42377</v>
      </c>
      <c r="F790" s="8">
        <f t="shared" si="139"/>
        <v>0.57361111111094942</v>
      </c>
      <c r="G790" t="s">
        <v>7</v>
      </c>
      <c r="H790" s="7">
        <f t="shared" si="132"/>
        <v>1.2499999997089617E-2</v>
      </c>
      <c r="I790" s="13">
        <f t="shared" si="133"/>
        <v>0.3</v>
      </c>
      <c r="J790" t="s">
        <v>686</v>
      </c>
      <c r="K790" t="s">
        <v>44</v>
      </c>
      <c r="L790">
        <v>1.9</v>
      </c>
      <c r="M790" s="5">
        <f t="shared" si="134"/>
        <v>6.333333333333333</v>
      </c>
      <c r="O790" t="str">
        <f t="shared" si="135"/>
        <v>No Purpose</v>
      </c>
    </row>
    <row r="791" spans="1:15" x14ac:dyDescent="0.3">
      <c r="A791" s="1">
        <v>42377.577777777777</v>
      </c>
      <c r="B791" s="6">
        <f t="shared" si="136"/>
        <v>42377</v>
      </c>
      <c r="C791" s="7">
        <f t="shared" si="137"/>
        <v>0.57777777777664596</v>
      </c>
      <c r="D791" s="1">
        <v>42377.593055555553</v>
      </c>
      <c r="E791" s="6">
        <f t="shared" si="138"/>
        <v>42377</v>
      </c>
      <c r="F791" s="8">
        <f t="shared" si="139"/>
        <v>0.59305555555329192</v>
      </c>
      <c r="G791" t="s">
        <v>7</v>
      </c>
      <c r="H791" s="7">
        <f t="shared" si="132"/>
        <v>1.5277777776645962E-2</v>
      </c>
      <c r="I791" s="13">
        <f t="shared" si="133"/>
        <v>0.36666666666666664</v>
      </c>
      <c r="J791" t="s">
        <v>15</v>
      </c>
      <c r="K791" t="s">
        <v>48</v>
      </c>
      <c r="L791">
        <v>6.9</v>
      </c>
      <c r="M791" s="5">
        <f t="shared" si="134"/>
        <v>18.81818181818182</v>
      </c>
      <c r="O791" t="str">
        <f t="shared" si="135"/>
        <v>No Purpose</v>
      </c>
    </row>
    <row r="792" spans="1:15" x14ac:dyDescent="0.3">
      <c r="A792" s="1">
        <v>42377.652777777781</v>
      </c>
      <c r="B792" s="6">
        <f t="shared" si="136"/>
        <v>42377</v>
      </c>
      <c r="C792" s="7">
        <f t="shared" si="137"/>
        <v>0.65277777778101154</v>
      </c>
      <c r="D792" s="1">
        <v>42377.657638888886</v>
      </c>
      <c r="E792" s="6">
        <f t="shared" si="138"/>
        <v>42377</v>
      </c>
      <c r="F792" s="8">
        <f t="shared" si="139"/>
        <v>0.65763888888614019</v>
      </c>
      <c r="G792" t="s">
        <v>7</v>
      </c>
      <c r="H792" s="7">
        <f t="shared" si="132"/>
        <v>4.8611111051286571E-3</v>
      </c>
      <c r="I792" s="13">
        <f t="shared" si="133"/>
        <v>0.11666666666666667</v>
      </c>
      <c r="J792" t="s">
        <v>48</v>
      </c>
      <c r="K792" t="s">
        <v>15</v>
      </c>
      <c r="L792">
        <v>4.5999999999999996</v>
      </c>
      <c r="M792" s="5">
        <f t="shared" si="134"/>
        <v>39.428571428571423</v>
      </c>
      <c r="O792" t="str">
        <f t="shared" si="135"/>
        <v>No Purpose</v>
      </c>
    </row>
    <row r="793" spans="1:15" x14ac:dyDescent="0.3">
      <c r="A793" s="1">
        <v>42377.679166666669</v>
      </c>
      <c r="B793" s="6">
        <f t="shared" si="136"/>
        <v>42377</v>
      </c>
      <c r="C793" s="7">
        <f t="shared" si="137"/>
        <v>0.67916666666860692</v>
      </c>
      <c r="D793" s="1">
        <v>42377.684027777781</v>
      </c>
      <c r="E793" s="6">
        <f t="shared" si="138"/>
        <v>42377</v>
      </c>
      <c r="F793" s="8">
        <f t="shared" si="139"/>
        <v>0.68402777778101154</v>
      </c>
      <c r="G793" t="s">
        <v>7</v>
      </c>
      <c r="H793" s="7">
        <f t="shared" si="132"/>
        <v>4.8611111124046147E-3</v>
      </c>
      <c r="I793" s="13">
        <f t="shared" si="133"/>
        <v>0.11666666666666667</v>
      </c>
      <c r="J793" t="s">
        <v>38</v>
      </c>
      <c r="K793" t="s">
        <v>54</v>
      </c>
      <c r="L793">
        <v>2.8</v>
      </c>
      <c r="M793" s="5">
        <f t="shared" si="134"/>
        <v>23.999999999999996</v>
      </c>
      <c r="O793" t="str">
        <f t="shared" si="135"/>
        <v>No Purpose</v>
      </c>
    </row>
    <row r="794" spans="1:15" x14ac:dyDescent="0.3">
      <c r="A794" s="1">
        <v>42377.686805555553</v>
      </c>
      <c r="B794" s="6">
        <f t="shared" si="136"/>
        <v>42377</v>
      </c>
      <c r="C794" s="7">
        <f t="shared" si="137"/>
        <v>0.68680555555329192</v>
      </c>
      <c r="D794" s="1">
        <v>42377.707638888889</v>
      </c>
      <c r="E794" s="6">
        <f t="shared" si="138"/>
        <v>42377</v>
      </c>
      <c r="F794" s="8">
        <f t="shared" si="139"/>
        <v>0.70763888888905058</v>
      </c>
      <c r="G794" t="s">
        <v>7</v>
      </c>
      <c r="H794" s="7">
        <f t="shared" si="132"/>
        <v>2.0833333335758653E-2</v>
      </c>
      <c r="I794" s="13">
        <f t="shared" si="133"/>
        <v>0.5</v>
      </c>
      <c r="J794" t="s">
        <v>15</v>
      </c>
      <c r="K794" t="s">
        <v>16</v>
      </c>
      <c r="L794">
        <v>9.1</v>
      </c>
      <c r="M794" s="5">
        <f t="shared" si="134"/>
        <v>18.2</v>
      </c>
      <c r="O794" t="str">
        <f t="shared" si="135"/>
        <v>No Purpose</v>
      </c>
    </row>
    <row r="795" spans="1:15" x14ac:dyDescent="0.3">
      <c r="A795" s="1">
        <v>42377.724305555559</v>
      </c>
      <c r="B795" s="6">
        <f t="shared" si="136"/>
        <v>42377</v>
      </c>
      <c r="C795" s="7">
        <f t="shared" si="137"/>
        <v>0.72430555555911269</v>
      </c>
      <c r="D795" s="1">
        <v>42377.746527777781</v>
      </c>
      <c r="E795" s="6">
        <f t="shared" si="138"/>
        <v>42377</v>
      </c>
      <c r="F795" s="8">
        <f t="shared" si="139"/>
        <v>0.74652777778101154</v>
      </c>
      <c r="G795" t="s">
        <v>7</v>
      </c>
      <c r="H795" s="7">
        <f t="shared" si="132"/>
        <v>2.2222222221898846E-2</v>
      </c>
      <c r="I795" s="13">
        <f t="shared" si="133"/>
        <v>0.53333333333333333</v>
      </c>
      <c r="J795" t="s">
        <v>16</v>
      </c>
      <c r="K795" t="s">
        <v>15</v>
      </c>
      <c r="L795">
        <v>8.1</v>
      </c>
      <c r="M795" s="5">
        <f t="shared" si="134"/>
        <v>15.1875</v>
      </c>
      <c r="O795" t="str">
        <f t="shared" si="135"/>
        <v>No Purpose</v>
      </c>
    </row>
    <row r="796" spans="1:15" x14ac:dyDescent="0.3">
      <c r="A796" s="1">
        <v>42408.493750000001</v>
      </c>
      <c r="B796" s="6">
        <f t="shared" si="136"/>
        <v>42408</v>
      </c>
      <c r="C796" s="7">
        <f t="shared" si="137"/>
        <v>0.49375000000145519</v>
      </c>
      <c r="D796" s="1">
        <v>42408.510416666664</v>
      </c>
      <c r="E796" s="6">
        <f t="shared" si="138"/>
        <v>42408</v>
      </c>
      <c r="F796" s="8">
        <f t="shared" si="139"/>
        <v>0.51041666666424135</v>
      </c>
      <c r="G796" t="s">
        <v>7</v>
      </c>
      <c r="H796" s="7">
        <f t="shared" si="132"/>
        <v>1.6666666662786156E-2</v>
      </c>
      <c r="I796" s="13">
        <f t="shared" si="133"/>
        <v>0.4</v>
      </c>
      <c r="J796" t="s">
        <v>770</v>
      </c>
      <c r="K796" t="s">
        <v>771</v>
      </c>
      <c r="L796">
        <v>4.9000000000000004</v>
      </c>
      <c r="M796" s="5">
        <f t="shared" si="134"/>
        <v>12.25</v>
      </c>
      <c r="O796" t="str">
        <f t="shared" si="135"/>
        <v>No Purpose</v>
      </c>
    </row>
    <row r="797" spans="1:15" x14ac:dyDescent="0.3">
      <c r="A797" s="1">
        <v>42408.802083333336</v>
      </c>
      <c r="B797" s="6">
        <f t="shared" si="136"/>
        <v>42408</v>
      </c>
      <c r="C797" s="7">
        <f t="shared" si="137"/>
        <v>0.80208333333575865</v>
      </c>
      <c r="D797" s="1">
        <v>42408.807638888888</v>
      </c>
      <c r="E797" s="6">
        <f t="shared" si="138"/>
        <v>42408</v>
      </c>
      <c r="F797" s="8">
        <f t="shared" si="139"/>
        <v>0.80763888888759539</v>
      </c>
      <c r="G797" t="s">
        <v>7</v>
      </c>
      <c r="H797" s="7">
        <f t="shared" si="132"/>
        <v>5.5555555518367328E-3</v>
      </c>
      <c r="I797" s="13">
        <f t="shared" si="133"/>
        <v>0.13333333333333333</v>
      </c>
      <c r="J797" t="s">
        <v>772</v>
      </c>
      <c r="K797" t="s">
        <v>773</v>
      </c>
      <c r="L797">
        <v>1</v>
      </c>
      <c r="M797" s="5">
        <f t="shared" si="134"/>
        <v>7.5</v>
      </c>
      <c r="O797" t="str">
        <f t="shared" si="135"/>
        <v>No Purpose</v>
      </c>
    </row>
    <row r="798" spans="1:15" x14ac:dyDescent="0.3">
      <c r="A798" s="1">
        <v>42408.890972222223</v>
      </c>
      <c r="B798" s="6">
        <f t="shared" si="136"/>
        <v>42408</v>
      </c>
      <c r="C798" s="7">
        <f t="shared" si="137"/>
        <v>0.89097222222335404</v>
      </c>
      <c r="D798" s="1">
        <v>42408.895138888889</v>
      </c>
      <c r="E798" s="6">
        <f t="shared" si="138"/>
        <v>42408</v>
      </c>
      <c r="F798" s="8">
        <f t="shared" si="139"/>
        <v>0.89513888888905058</v>
      </c>
      <c r="G798" t="s">
        <v>7</v>
      </c>
      <c r="H798" s="7">
        <f t="shared" si="132"/>
        <v>4.166666665696539E-3</v>
      </c>
      <c r="I798" s="13">
        <f t="shared" si="133"/>
        <v>0.1</v>
      </c>
      <c r="J798" t="s">
        <v>773</v>
      </c>
      <c r="K798" t="s">
        <v>772</v>
      </c>
      <c r="L798">
        <v>1</v>
      </c>
      <c r="M798" s="5">
        <f t="shared" si="134"/>
        <v>10</v>
      </c>
      <c r="O798" t="str">
        <f t="shared" si="135"/>
        <v>No Purpose</v>
      </c>
    </row>
    <row r="799" spans="1:15" x14ac:dyDescent="0.3">
      <c r="A799" s="1">
        <v>42437.531944444447</v>
      </c>
      <c r="B799" s="6">
        <f t="shared" si="136"/>
        <v>42437</v>
      </c>
      <c r="C799" s="7">
        <f t="shared" si="137"/>
        <v>0.53194444444670808</v>
      </c>
      <c r="D799" s="1">
        <v>42437.541666666664</v>
      </c>
      <c r="E799" s="6">
        <f t="shared" si="138"/>
        <v>42437</v>
      </c>
      <c r="F799" s="8">
        <f t="shared" si="139"/>
        <v>0.54166666666424135</v>
      </c>
      <c r="G799" t="s">
        <v>7</v>
      </c>
      <c r="H799" s="7">
        <f t="shared" si="132"/>
        <v>9.7222222175332718E-3</v>
      </c>
      <c r="I799" s="13">
        <f t="shared" si="133"/>
        <v>0.23333333333333334</v>
      </c>
      <c r="J799" t="s">
        <v>774</v>
      </c>
      <c r="K799" t="s">
        <v>775</v>
      </c>
      <c r="L799">
        <v>2</v>
      </c>
      <c r="M799" s="5">
        <f t="shared" si="134"/>
        <v>8.5714285714285712</v>
      </c>
      <c r="O799" t="str">
        <f t="shared" si="135"/>
        <v>No Purpose</v>
      </c>
    </row>
    <row r="800" spans="1:15" x14ac:dyDescent="0.3">
      <c r="A800" s="1">
        <v>42437.624305555553</v>
      </c>
      <c r="B800" s="6">
        <f t="shared" si="136"/>
        <v>42437</v>
      </c>
      <c r="C800" s="7">
        <f t="shared" si="137"/>
        <v>0.62430555555329192</v>
      </c>
      <c r="D800" s="1">
        <v>42437.627083333333</v>
      </c>
      <c r="E800" s="6">
        <f t="shared" si="138"/>
        <v>42437</v>
      </c>
      <c r="F800" s="8">
        <f t="shared" si="139"/>
        <v>0.62708333333284827</v>
      </c>
      <c r="G800" t="s">
        <v>7</v>
      </c>
      <c r="H800" s="7">
        <f t="shared" si="132"/>
        <v>2.7777777795563452E-3</v>
      </c>
      <c r="I800" s="13">
        <f t="shared" si="133"/>
        <v>6.6666666666666666E-2</v>
      </c>
      <c r="J800" t="s">
        <v>773</v>
      </c>
      <c r="K800" t="s">
        <v>772</v>
      </c>
      <c r="L800">
        <v>1.1000000000000001</v>
      </c>
      <c r="M800" s="5">
        <f t="shared" si="134"/>
        <v>16.5</v>
      </c>
      <c r="O800" t="str">
        <f t="shared" si="135"/>
        <v>No Purpose</v>
      </c>
    </row>
    <row r="801" spans="1:15" x14ac:dyDescent="0.3">
      <c r="A801" s="1">
        <v>42437.666666666664</v>
      </c>
      <c r="B801" s="6">
        <f t="shared" si="136"/>
        <v>42437</v>
      </c>
      <c r="C801" s="7">
        <f t="shared" si="137"/>
        <v>0.66666666666424135</v>
      </c>
      <c r="D801" s="1">
        <v>42437.669444444444</v>
      </c>
      <c r="E801" s="6">
        <f t="shared" si="138"/>
        <v>42437</v>
      </c>
      <c r="F801" s="8">
        <f t="shared" si="139"/>
        <v>0.66944444444379769</v>
      </c>
      <c r="G801" t="s">
        <v>7</v>
      </c>
      <c r="H801" s="7">
        <f t="shared" si="132"/>
        <v>2.7777777795563452E-3</v>
      </c>
      <c r="I801" s="13">
        <f t="shared" si="133"/>
        <v>6.6666666666666666E-2</v>
      </c>
      <c r="J801" t="s">
        <v>772</v>
      </c>
      <c r="K801" t="s">
        <v>31</v>
      </c>
      <c r="L801">
        <v>1.5</v>
      </c>
      <c r="M801" s="5">
        <f t="shared" si="134"/>
        <v>22.5</v>
      </c>
      <c r="O801" t="str">
        <f t="shared" si="135"/>
        <v>No Purpose</v>
      </c>
    </row>
    <row r="802" spans="1:15" x14ac:dyDescent="0.3">
      <c r="A802" s="1">
        <v>42498.724305555559</v>
      </c>
      <c r="B802" s="6">
        <f t="shared" si="136"/>
        <v>42498</v>
      </c>
      <c r="C802" s="7">
        <f t="shared" si="137"/>
        <v>0.72430555555911269</v>
      </c>
      <c r="D802" s="1">
        <v>42498.729166666664</v>
      </c>
      <c r="E802" s="6">
        <f t="shared" si="138"/>
        <v>42498</v>
      </c>
      <c r="F802" s="8">
        <f t="shared" si="139"/>
        <v>0.72916666666424135</v>
      </c>
      <c r="G802" t="s">
        <v>7</v>
      </c>
      <c r="H802" s="7">
        <f t="shared" si="132"/>
        <v>4.8611111051286571E-3</v>
      </c>
      <c r="I802" s="13">
        <f t="shared" si="133"/>
        <v>0.11666666666666667</v>
      </c>
      <c r="J802" t="s">
        <v>776</v>
      </c>
      <c r="K802" t="s">
        <v>772</v>
      </c>
      <c r="L802">
        <v>1.3</v>
      </c>
      <c r="M802" s="5">
        <f t="shared" si="134"/>
        <v>11.142857142857142</v>
      </c>
      <c r="O802" t="str">
        <f t="shared" si="135"/>
        <v>No Purpose</v>
      </c>
    </row>
    <row r="803" spans="1:15" x14ac:dyDescent="0.3">
      <c r="A803" s="1">
        <v>42498.761805555558</v>
      </c>
      <c r="B803" s="6">
        <f t="shared" si="136"/>
        <v>42498</v>
      </c>
      <c r="C803" s="7">
        <f t="shared" si="137"/>
        <v>0.7618055555576575</v>
      </c>
      <c r="D803" s="1">
        <v>42498.76458333333</v>
      </c>
      <c r="E803" s="6">
        <f t="shared" si="138"/>
        <v>42498</v>
      </c>
      <c r="F803" s="8">
        <f t="shared" si="139"/>
        <v>0.76458333332993789</v>
      </c>
      <c r="G803" t="s">
        <v>7</v>
      </c>
      <c r="H803" s="7">
        <f t="shared" si="132"/>
        <v>2.7777777722803876E-3</v>
      </c>
      <c r="I803" s="13">
        <f t="shared" si="133"/>
        <v>6.6666666666666666E-2</v>
      </c>
      <c r="J803" t="s">
        <v>772</v>
      </c>
      <c r="K803" t="s">
        <v>777</v>
      </c>
      <c r="L803">
        <v>1.8</v>
      </c>
      <c r="M803" s="5">
        <f t="shared" si="134"/>
        <v>27</v>
      </c>
      <c r="O803" t="str">
        <f t="shared" si="135"/>
        <v>No Purpose</v>
      </c>
    </row>
    <row r="804" spans="1:15" x14ac:dyDescent="0.3">
      <c r="A804" s="1">
        <v>42498.803472222222</v>
      </c>
      <c r="B804" s="6">
        <f t="shared" si="136"/>
        <v>42498</v>
      </c>
      <c r="C804" s="7">
        <f t="shared" si="137"/>
        <v>0.80347222222189885</v>
      </c>
      <c r="D804" s="1">
        <v>42498.810416666667</v>
      </c>
      <c r="E804" s="6">
        <f t="shared" si="138"/>
        <v>42498</v>
      </c>
      <c r="F804" s="8">
        <f t="shared" si="139"/>
        <v>0.81041666666715173</v>
      </c>
      <c r="G804" t="s">
        <v>7</v>
      </c>
      <c r="H804" s="7">
        <f t="shared" si="132"/>
        <v>6.9444444452528842E-3</v>
      </c>
      <c r="I804" s="13">
        <f t="shared" si="133"/>
        <v>0.16666666666666666</v>
      </c>
      <c r="J804" t="s">
        <v>777</v>
      </c>
      <c r="K804" t="s">
        <v>772</v>
      </c>
      <c r="L804">
        <v>1.5</v>
      </c>
      <c r="M804" s="5">
        <f t="shared" si="134"/>
        <v>9</v>
      </c>
      <c r="O804" t="str">
        <f t="shared" si="135"/>
        <v>No Purpose</v>
      </c>
    </row>
    <row r="805" spans="1:15" x14ac:dyDescent="0.3">
      <c r="A805" s="1">
        <v>42529.277777777781</v>
      </c>
      <c r="B805" s="6">
        <f t="shared" si="136"/>
        <v>42529</v>
      </c>
      <c r="C805" s="7">
        <f t="shared" si="137"/>
        <v>0.27777777778101154</v>
      </c>
      <c r="D805" s="1">
        <v>42529.290277777778</v>
      </c>
      <c r="E805" s="6">
        <f t="shared" si="138"/>
        <v>42529</v>
      </c>
      <c r="F805" s="8">
        <f t="shared" si="139"/>
        <v>0.29027777777810115</v>
      </c>
      <c r="G805" t="s">
        <v>7</v>
      </c>
      <c r="H805" s="7">
        <f t="shared" si="132"/>
        <v>1.2499999997089617E-2</v>
      </c>
      <c r="I805" s="13">
        <f t="shared" si="133"/>
        <v>0.3</v>
      </c>
      <c r="J805" t="s">
        <v>771</v>
      </c>
      <c r="K805" t="s">
        <v>770</v>
      </c>
      <c r="L805">
        <v>6.6</v>
      </c>
      <c r="M805" s="5">
        <f t="shared" si="134"/>
        <v>22</v>
      </c>
      <c r="O805" t="str">
        <f t="shared" si="135"/>
        <v>No Purpose</v>
      </c>
    </row>
    <row r="806" spans="1:15" x14ac:dyDescent="0.3">
      <c r="A806" s="1">
        <v>42529.396527777775</v>
      </c>
      <c r="B806" s="6">
        <f t="shared" si="136"/>
        <v>42529</v>
      </c>
      <c r="C806" s="7">
        <f t="shared" si="137"/>
        <v>0.39652777777519077</v>
      </c>
      <c r="D806" s="1">
        <v>42529.411805555559</v>
      </c>
      <c r="E806" s="6">
        <f t="shared" si="138"/>
        <v>42529</v>
      </c>
      <c r="F806" s="8">
        <f t="shared" si="139"/>
        <v>0.41180555555911269</v>
      </c>
      <c r="G806" t="s">
        <v>7</v>
      </c>
      <c r="H806" s="7">
        <f t="shared" si="132"/>
        <v>1.527777778392192E-2</v>
      </c>
      <c r="I806" s="13">
        <f t="shared" si="133"/>
        <v>0.36666666666666664</v>
      </c>
      <c r="J806" t="s">
        <v>16</v>
      </c>
      <c r="K806" t="s">
        <v>15</v>
      </c>
      <c r="L806">
        <v>8</v>
      </c>
      <c r="M806" s="5">
        <f t="shared" si="134"/>
        <v>21.81818181818182</v>
      </c>
      <c r="O806" t="str">
        <f t="shared" si="135"/>
        <v>No Purpose</v>
      </c>
    </row>
    <row r="807" spans="1:15" x14ac:dyDescent="0.3">
      <c r="A807" s="1">
        <v>42559.718055555553</v>
      </c>
      <c r="B807" s="6">
        <f t="shared" si="136"/>
        <v>42559</v>
      </c>
      <c r="C807" s="7">
        <f t="shared" si="137"/>
        <v>0.71805555555329192</v>
      </c>
      <c r="D807" s="1">
        <v>42559.724305555559</v>
      </c>
      <c r="E807" s="6">
        <f t="shared" si="138"/>
        <v>42559</v>
      </c>
      <c r="F807" s="8">
        <f t="shared" si="139"/>
        <v>0.72430555555911269</v>
      </c>
      <c r="G807" t="s">
        <v>7</v>
      </c>
      <c r="H807" s="7">
        <f t="shared" si="132"/>
        <v>6.2500000058207661E-3</v>
      </c>
      <c r="I807" s="13">
        <f t="shared" si="133"/>
        <v>0.15</v>
      </c>
      <c r="J807" t="s">
        <v>38</v>
      </c>
      <c r="K807" t="s">
        <v>54</v>
      </c>
      <c r="L807">
        <v>2.7</v>
      </c>
      <c r="M807" s="5">
        <f t="shared" si="134"/>
        <v>18.000000000000004</v>
      </c>
      <c r="O807" t="str">
        <f t="shared" si="135"/>
        <v>No Purpose</v>
      </c>
    </row>
    <row r="808" spans="1:15" x14ac:dyDescent="0.3">
      <c r="A808" s="1">
        <v>42559.761805555558</v>
      </c>
      <c r="B808" s="6">
        <f t="shared" si="136"/>
        <v>42559</v>
      </c>
      <c r="C808" s="7">
        <f t="shared" si="137"/>
        <v>0.7618055555576575</v>
      </c>
      <c r="D808" s="1">
        <v>42559.765972222223</v>
      </c>
      <c r="E808" s="6">
        <f t="shared" si="138"/>
        <v>42559</v>
      </c>
      <c r="F808" s="8">
        <f t="shared" si="139"/>
        <v>0.76597222222335404</v>
      </c>
      <c r="G808" t="s">
        <v>7</v>
      </c>
      <c r="H808" s="7">
        <f t="shared" si="132"/>
        <v>4.166666665696539E-3</v>
      </c>
      <c r="I808" s="13">
        <f t="shared" si="133"/>
        <v>0.1</v>
      </c>
      <c r="J808" t="s">
        <v>15</v>
      </c>
      <c r="K808" t="s">
        <v>16</v>
      </c>
      <c r="L808">
        <v>2.5</v>
      </c>
      <c r="M808" s="5">
        <f t="shared" si="134"/>
        <v>25</v>
      </c>
      <c r="O808" t="str">
        <f t="shared" si="135"/>
        <v>No Purpose</v>
      </c>
    </row>
    <row r="809" spans="1:15" x14ac:dyDescent="0.3">
      <c r="A809" s="1">
        <v>42590.678472222222</v>
      </c>
      <c r="B809" s="6">
        <f t="shared" si="136"/>
        <v>42590</v>
      </c>
      <c r="C809" s="7">
        <f t="shared" si="137"/>
        <v>0.67847222222189885</v>
      </c>
      <c r="D809" s="1">
        <v>42590.688194444447</v>
      </c>
      <c r="E809" s="6">
        <f t="shared" si="138"/>
        <v>42590</v>
      </c>
      <c r="F809" s="8">
        <f t="shared" si="139"/>
        <v>0.68819444444670808</v>
      </c>
      <c r="G809" t="s">
        <v>7</v>
      </c>
      <c r="H809" s="7">
        <f t="shared" si="132"/>
        <v>9.7222222248092294E-3</v>
      </c>
      <c r="I809" s="13">
        <f t="shared" si="133"/>
        <v>0.23333333333333334</v>
      </c>
      <c r="J809" t="s">
        <v>38</v>
      </c>
      <c r="K809" t="s">
        <v>37</v>
      </c>
      <c r="L809">
        <v>5.2</v>
      </c>
      <c r="M809" s="5">
        <f t="shared" si="134"/>
        <v>22.285714285714285</v>
      </c>
      <c r="O809" t="str">
        <f t="shared" si="135"/>
        <v>No Purpose</v>
      </c>
    </row>
    <row r="810" spans="1:15" x14ac:dyDescent="0.3">
      <c r="A810" s="1">
        <v>42590.692361111112</v>
      </c>
      <c r="B810" s="6">
        <f t="shared" si="136"/>
        <v>42590</v>
      </c>
      <c r="C810" s="7">
        <f t="shared" si="137"/>
        <v>0.69236111111240461</v>
      </c>
      <c r="D810" s="1">
        <v>42590.701388888891</v>
      </c>
      <c r="E810" s="6">
        <f t="shared" si="138"/>
        <v>42590</v>
      </c>
      <c r="F810" s="8">
        <f t="shared" si="139"/>
        <v>0.70138888889050577</v>
      </c>
      <c r="G810" t="s">
        <v>7</v>
      </c>
      <c r="H810" s="7">
        <f t="shared" si="132"/>
        <v>9.0277777781011537E-3</v>
      </c>
      <c r="I810" s="13">
        <f t="shared" si="133"/>
        <v>0.21666666666666667</v>
      </c>
      <c r="J810" t="s">
        <v>37</v>
      </c>
      <c r="K810" t="s">
        <v>54</v>
      </c>
      <c r="L810">
        <v>4</v>
      </c>
      <c r="M810" s="5">
        <f t="shared" si="134"/>
        <v>18.46153846153846</v>
      </c>
      <c r="O810" t="str">
        <f t="shared" si="135"/>
        <v>No Purpose</v>
      </c>
    </row>
    <row r="811" spans="1:15" x14ac:dyDescent="0.3">
      <c r="A811" s="1">
        <v>42590.909722222219</v>
      </c>
      <c r="B811" s="6">
        <f t="shared" si="136"/>
        <v>42590</v>
      </c>
      <c r="C811" s="7">
        <f t="shared" si="137"/>
        <v>0.90972222221898846</v>
      </c>
      <c r="D811" s="1">
        <v>42590.927083333336</v>
      </c>
      <c r="E811" s="6">
        <f t="shared" si="138"/>
        <v>42590</v>
      </c>
      <c r="F811" s="8">
        <f t="shared" si="139"/>
        <v>0.92708333333575865</v>
      </c>
      <c r="G811" t="s">
        <v>7</v>
      </c>
      <c r="H811" s="7">
        <f t="shared" si="132"/>
        <v>1.7361111116770189E-2</v>
      </c>
      <c r="I811" s="13">
        <f t="shared" si="133"/>
        <v>0.41666666666666669</v>
      </c>
      <c r="J811" t="s">
        <v>15</v>
      </c>
      <c r="K811" t="s">
        <v>16</v>
      </c>
      <c r="L811">
        <v>4.8</v>
      </c>
      <c r="M811" s="5">
        <f t="shared" si="134"/>
        <v>11.52</v>
      </c>
      <c r="O811" t="str">
        <f t="shared" si="135"/>
        <v>No Purpose</v>
      </c>
    </row>
    <row r="812" spans="1:15" x14ac:dyDescent="0.3">
      <c r="A812" s="1">
        <v>42621.597222222219</v>
      </c>
      <c r="B812" s="6">
        <f t="shared" si="136"/>
        <v>42621</v>
      </c>
      <c r="C812" s="7">
        <f t="shared" si="137"/>
        <v>0.59722222221898846</v>
      </c>
      <c r="D812" s="1">
        <v>42621.609722222223</v>
      </c>
      <c r="E812" s="6">
        <f t="shared" si="138"/>
        <v>42621</v>
      </c>
      <c r="F812" s="8">
        <f t="shared" si="139"/>
        <v>0.60972222222335404</v>
      </c>
      <c r="G812" t="s">
        <v>7</v>
      </c>
      <c r="H812" s="7">
        <f t="shared" si="132"/>
        <v>1.2500000004365575E-2</v>
      </c>
      <c r="I812" s="13">
        <f t="shared" si="133"/>
        <v>0.3</v>
      </c>
      <c r="J812" t="s">
        <v>38</v>
      </c>
      <c r="K812" t="s">
        <v>139</v>
      </c>
      <c r="L812">
        <v>6.9</v>
      </c>
      <c r="M812" s="5">
        <f t="shared" si="134"/>
        <v>23.000000000000004</v>
      </c>
      <c r="O812" t="str">
        <f t="shared" si="135"/>
        <v>No Purpose</v>
      </c>
    </row>
    <row r="813" spans="1:15" x14ac:dyDescent="0.3">
      <c r="A813" s="1">
        <v>42621.635416666664</v>
      </c>
      <c r="B813" s="6">
        <f t="shared" si="136"/>
        <v>42621</v>
      </c>
      <c r="C813" s="7">
        <f t="shared" si="137"/>
        <v>0.63541666666424135</v>
      </c>
      <c r="D813" s="1">
        <v>42621.65</v>
      </c>
      <c r="E813" s="6">
        <f t="shared" si="138"/>
        <v>42621</v>
      </c>
      <c r="F813" s="8">
        <f t="shared" si="139"/>
        <v>0.65000000000145519</v>
      </c>
      <c r="G813" t="s">
        <v>7</v>
      </c>
      <c r="H813" s="7">
        <f t="shared" si="132"/>
        <v>1.4583333337213844E-2</v>
      </c>
      <c r="I813" s="13">
        <f t="shared" si="133"/>
        <v>0.35</v>
      </c>
      <c r="J813" t="s">
        <v>15</v>
      </c>
      <c r="K813" t="s">
        <v>40</v>
      </c>
      <c r="L813">
        <v>14.9</v>
      </c>
      <c r="M813" s="5">
        <f t="shared" si="134"/>
        <v>42.571428571428577</v>
      </c>
      <c r="O813" t="str">
        <f t="shared" si="135"/>
        <v>No Purpose</v>
      </c>
    </row>
    <row r="814" spans="1:15" x14ac:dyDescent="0.3">
      <c r="A814" s="1">
        <v>42621.669444444444</v>
      </c>
      <c r="B814" s="6">
        <f t="shared" si="136"/>
        <v>42621</v>
      </c>
      <c r="C814" s="7">
        <f t="shared" si="137"/>
        <v>0.66944444444379769</v>
      </c>
      <c r="D814" s="1">
        <v>42621.692361111112</v>
      </c>
      <c r="E814" s="6">
        <f t="shared" si="138"/>
        <v>42621</v>
      </c>
      <c r="F814" s="8">
        <f t="shared" si="139"/>
        <v>0.69236111111240461</v>
      </c>
      <c r="G814" t="s">
        <v>7</v>
      </c>
      <c r="H814" s="7">
        <f t="shared" si="132"/>
        <v>2.2916666668606922E-2</v>
      </c>
      <c r="I814" s="13">
        <f t="shared" si="133"/>
        <v>0.55000000000000004</v>
      </c>
      <c r="J814" t="s">
        <v>40</v>
      </c>
      <c r="K814" t="s">
        <v>15</v>
      </c>
      <c r="L814">
        <v>17.399999999999999</v>
      </c>
      <c r="M814" s="5">
        <f t="shared" si="134"/>
        <v>31.63636363636363</v>
      </c>
      <c r="O814" t="str">
        <f t="shared" si="135"/>
        <v>No Purpose</v>
      </c>
    </row>
    <row r="815" spans="1:15" x14ac:dyDescent="0.3">
      <c r="A815" s="1">
        <v>42651.705555555556</v>
      </c>
      <c r="B815" s="6">
        <f t="shared" si="136"/>
        <v>42651</v>
      </c>
      <c r="C815" s="7">
        <f t="shared" si="137"/>
        <v>0.70555555555620231</v>
      </c>
      <c r="D815" s="1">
        <v>42651.724999999999</v>
      </c>
      <c r="E815" s="6">
        <f t="shared" si="138"/>
        <v>42651</v>
      </c>
      <c r="F815" s="8">
        <f t="shared" si="139"/>
        <v>0.72499999999854481</v>
      </c>
      <c r="G815" t="s">
        <v>7</v>
      </c>
      <c r="H815" s="7">
        <f t="shared" si="132"/>
        <v>1.9444444442342501E-2</v>
      </c>
      <c r="I815" s="13">
        <f t="shared" si="133"/>
        <v>0.46666666666666667</v>
      </c>
      <c r="J815" t="s">
        <v>15</v>
      </c>
      <c r="K815" t="s">
        <v>36</v>
      </c>
      <c r="L815">
        <v>12.9</v>
      </c>
      <c r="M815" s="5">
        <f t="shared" si="134"/>
        <v>27.642857142857142</v>
      </c>
      <c r="O815" t="str">
        <f t="shared" si="135"/>
        <v>No Purpose</v>
      </c>
    </row>
    <row r="816" spans="1:15" x14ac:dyDescent="0.3">
      <c r="A816" s="1">
        <v>42651.745138888888</v>
      </c>
      <c r="B816" s="6">
        <f t="shared" si="136"/>
        <v>42651</v>
      </c>
      <c r="C816" s="7">
        <f t="shared" si="137"/>
        <v>0.74513888888759539</v>
      </c>
      <c r="D816" s="1">
        <v>42651.769444444442</v>
      </c>
      <c r="E816" s="6">
        <f t="shared" si="138"/>
        <v>42651</v>
      </c>
      <c r="F816" s="8">
        <f t="shared" si="139"/>
        <v>0.7694444444423425</v>
      </c>
      <c r="G816" t="s">
        <v>7</v>
      </c>
      <c r="H816" s="7">
        <f t="shared" si="132"/>
        <v>2.4305555554747116E-2</v>
      </c>
      <c r="I816" s="13">
        <f t="shared" si="133"/>
        <v>0.58333333333333337</v>
      </c>
      <c r="J816" t="s">
        <v>36</v>
      </c>
      <c r="K816" t="s">
        <v>48</v>
      </c>
      <c r="L816">
        <v>15.3</v>
      </c>
      <c r="M816" s="5">
        <f t="shared" si="134"/>
        <v>26.228571428571428</v>
      </c>
      <c r="O816" t="str">
        <f t="shared" si="135"/>
        <v>No Purpose</v>
      </c>
    </row>
    <row r="817" spans="1:15" x14ac:dyDescent="0.3">
      <c r="A817" s="1">
        <v>42651.78402777778</v>
      </c>
      <c r="B817" s="6">
        <f t="shared" si="136"/>
        <v>42651</v>
      </c>
      <c r="C817" s="7">
        <f t="shared" si="137"/>
        <v>0.78402777777955635</v>
      </c>
      <c r="D817" s="1">
        <v>42651.784722222219</v>
      </c>
      <c r="E817" s="6">
        <f t="shared" si="138"/>
        <v>42651</v>
      </c>
      <c r="F817" s="8">
        <f t="shared" si="139"/>
        <v>0.78472222221898846</v>
      </c>
      <c r="G817" t="s">
        <v>7</v>
      </c>
      <c r="H817" s="7">
        <f t="shared" si="132"/>
        <v>6.9444443943211809E-4</v>
      </c>
      <c r="I817" s="13">
        <f t="shared" si="133"/>
        <v>1.6666666666666666E-2</v>
      </c>
      <c r="J817" t="s">
        <v>48</v>
      </c>
      <c r="K817" t="s">
        <v>48</v>
      </c>
      <c r="L817">
        <v>1</v>
      </c>
      <c r="M817" s="5">
        <f t="shared" si="134"/>
        <v>60</v>
      </c>
      <c r="O817" t="str">
        <f t="shared" si="135"/>
        <v>No Purpose</v>
      </c>
    </row>
    <row r="818" spans="1:15" x14ac:dyDescent="0.3">
      <c r="A818" s="1">
        <v>42651.824305555558</v>
      </c>
      <c r="B818" s="6">
        <f t="shared" si="136"/>
        <v>42651</v>
      </c>
      <c r="C818" s="7">
        <f t="shared" si="137"/>
        <v>0.8243055555576575</v>
      </c>
      <c r="D818" s="1">
        <v>42651.834722222222</v>
      </c>
      <c r="E818" s="6">
        <f t="shared" si="138"/>
        <v>42651</v>
      </c>
      <c r="F818" s="8">
        <f t="shared" si="139"/>
        <v>0.83472222222189885</v>
      </c>
      <c r="G818" t="s">
        <v>7</v>
      </c>
      <c r="H818" s="7">
        <f t="shared" si="132"/>
        <v>1.0416666664241347E-2</v>
      </c>
      <c r="I818" s="13">
        <f t="shared" si="133"/>
        <v>0.25</v>
      </c>
      <c r="J818" t="s">
        <v>48</v>
      </c>
      <c r="K818" t="s">
        <v>15</v>
      </c>
      <c r="L818">
        <v>6</v>
      </c>
      <c r="M818" s="5">
        <f t="shared" si="134"/>
        <v>24</v>
      </c>
      <c r="O818" t="str">
        <f t="shared" si="135"/>
        <v>No Purpose</v>
      </c>
    </row>
    <row r="819" spans="1:15" x14ac:dyDescent="0.3">
      <c r="A819" s="1">
        <v>42682.536805555559</v>
      </c>
      <c r="B819" s="6">
        <f t="shared" si="136"/>
        <v>42682</v>
      </c>
      <c r="C819" s="7">
        <f t="shared" si="137"/>
        <v>0.53680555555911269</v>
      </c>
      <c r="D819" s="1">
        <v>42682.541666666664</v>
      </c>
      <c r="E819" s="6">
        <f t="shared" si="138"/>
        <v>42682</v>
      </c>
      <c r="F819" s="8">
        <f t="shared" si="139"/>
        <v>0.54166666666424135</v>
      </c>
      <c r="G819" t="s">
        <v>7</v>
      </c>
      <c r="H819" s="7">
        <f t="shared" si="132"/>
        <v>4.8611111051286571E-3</v>
      </c>
      <c r="I819" s="13">
        <f t="shared" si="133"/>
        <v>0.11666666666666667</v>
      </c>
      <c r="J819" t="s">
        <v>38</v>
      </c>
      <c r="K819" t="s">
        <v>127</v>
      </c>
      <c r="L819">
        <v>2.2000000000000002</v>
      </c>
      <c r="M819" s="5">
        <f t="shared" si="134"/>
        <v>18.857142857142858</v>
      </c>
      <c r="O819" t="str">
        <f t="shared" si="135"/>
        <v>No Purpose</v>
      </c>
    </row>
    <row r="820" spans="1:15" x14ac:dyDescent="0.3">
      <c r="A820" s="1">
        <v>42682.551388888889</v>
      </c>
      <c r="B820" s="6">
        <f t="shared" si="136"/>
        <v>42682</v>
      </c>
      <c r="C820" s="7">
        <f t="shared" si="137"/>
        <v>0.55138888888905058</v>
      </c>
      <c r="D820" s="1">
        <v>42682.561111111114</v>
      </c>
      <c r="E820" s="6">
        <f t="shared" si="138"/>
        <v>42682</v>
      </c>
      <c r="F820" s="8">
        <f t="shared" si="139"/>
        <v>0.56111111111385981</v>
      </c>
      <c r="G820" t="s">
        <v>7</v>
      </c>
      <c r="H820" s="7">
        <f t="shared" si="132"/>
        <v>9.7222222248092294E-3</v>
      </c>
      <c r="I820" s="13">
        <f t="shared" si="133"/>
        <v>0.23333333333333334</v>
      </c>
      <c r="J820" t="s">
        <v>127</v>
      </c>
      <c r="K820" t="s">
        <v>54</v>
      </c>
      <c r="L820">
        <v>4.4000000000000004</v>
      </c>
      <c r="M820" s="5">
        <f t="shared" si="134"/>
        <v>18.857142857142858</v>
      </c>
      <c r="O820" t="str">
        <f t="shared" si="135"/>
        <v>No Purpose</v>
      </c>
    </row>
    <row r="821" spans="1:15" x14ac:dyDescent="0.3">
      <c r="A821" s="1">
        <v>42682.563888888886</v>
      </c>
      <c r="B821" s="6">
        <f t="shared" si="136"/>
        <v>42682</v>
      </c>
      <c r="C821" s="7">
        <f t="shared" si="137"/>
        <v>0.56388888888614019</v>
      </c>
      <c r="D821" s="1">
        <v>42682.570833333331</v>
      </c>
      <c r="E821" s="6">
        <f t="shared" si="138"/>
        <v>42682</v>
      </c>
      <c r="F821" s="8">
        <f t="shared" si="139"/>
        <v>0.57083333333139308</v>
      </c>
      <c r="G821" t="s">
        <v>7</v>
      </c>
      <c r="H821" s="7">
        <f t="shared" si="132"/>
        <v>6.9444444452528842E-3</v>
      </c>
      <c r="I821" s="13">
        <f t="shared" si="133"/>
        <v>0.16666666666666666</v>
      </c>
      <c r="J821" t="s">
        <v>54</v>
      </c>
      <c r="K821" t="s">
        <v>38</v>
      </c>
      <c r="L821">
        <v>2.8</v>
      </c>
      <c r="M821" s="5">
        <f t="shared" si="134"/>
        <v>16.8</v>
      </c>
      <c r="O821" t="str">
        <f t="shared" si="135"/>
        <v>No Purpose</v>
      </c>
    </row>
    <row r="822" spans="1:15" x14ac:dyDescent="0.3">
      <c r="A822" s="1">
        <v>42682.775694444441</v>
      </c>
      <c r="B822" s="6">
        <f t="shared" si="136"/>
        <v>42682</v>
      </c>
      <c r="C822" s="7">
        <f t="shared" si="137"/>
        <v>0.77569444444088731</v>
      </c>
      <c r="D822" s="1">
        <v>42682.811805555553</v>
      </c>
      <c r="E822" s="6">
        <f t="shared" si="138"/>
        <v>42682</v>
      </c>
      <c r="F822" s="8">
        <f t="shared" si="139"/>
        <v>0.81180555555329192</v>
      </c>
      <c r="G822" t="s">
        <v>7</v>
      </c>
      <c r="H822" s="7">
        <f t="shared" si="132"/>
        <v>3.6111111112404615E-2</v>
      </c>
      <c r="I822" s="13">
        <f t="shared" si="133"/>
        <v>0.8666666666666667</v>
      </c>
      <c r="J822" t="s">
        <v>15</v>
      </c>
      <c r="K822" t="s">
        <v>778</v>
      </c>
      <c r="L822">
        <v>31.7</v>
      </c>
      <c r="M822" s="5">
        <f t="shared" si="134"/>
        <v>36.576923076923073</v>
      </c>
      <c r="O822" t="str">
        <f t="shared" si="135"/>
        <v>No Purpose</v>
      </c>
    </row>
    <row r="823" spans="1:15" x14ac:dyDescent="0.3">
      <c r="A823" s="1">
        <v>42682.874305555553</v>
      </c>
      <c r="B823" s="6">
        <f t="shared" si="136"/>
        <v>42682</v>
      </c>
      <c r="C823" s="7">
        <f t="shared" si="137"/>
        <v>0.87430555555329192</v>
      </c>
      <c r="D823" s="1">
        <v>42682.905555555553</v>
      </c>
      <c r="E823" s="6">
        <f t="shared" si="138"/>
        <v>42682</v>
      </c>
      <c r="F823" s="8">
        <f t="shared" si="139"/>
        <v>0.90555555555329192</v>
      </c>
      <c r="G823" t="s">
        <v>7</v>
      </c>
      <c r="H823" s="7">
        <f t="shared" si="132"/>
        <v>3.125E-2</v>
      </c>
      <c r="I823" s="13">
        <f t="shared" si="133"/>
        <v>0.75</v>
      </c>
      <c r="J823" t="s">
        <v>778</v>
      </c>
      <c r="K823" t="s">
        <v>15</v>
      </c>
      <c r="L823">
        <v>31.9</v>
      </c>
      <c r="M823" s="5">
        <f t="shared" si="134"/>
        <v>42.533333333333331</v>
      </c>
      <c r="O823" t="str">
        <f t="shared" si="135"/>
        <v>No Purpose</v>
      </c>
    </row>
    <row r="824" spans="1:15" x14ac:dyDescent="0.3">
      <c r="A824" s="1">
        <v>42712.78402777778</v>
      </c>
      <c r="B824" s="6">
        <f t="shared" si="136"/>
        <v>42712</v>
      </c>
      <c r="C824" s="7">
        <f t="shared" si="137"/>
        <v>0.78402777777955635</v>
      </c>
      <c r="D824" s="1">
        <v>42712.786111111112</v>
      </c>
      <c r="E824" s="6">
        <f t="shared" si="138"/>
        <v>42712</v>
      </c>
      <c r="F824" s="8">
        <f t="shared" si="139"/>
        <v>0.78611111111240461</v>
      </c>
      <c r="G824" t="s">
        <v>7</v>
      </c>
      <c r="H824" s="7">
        <f t="shared" si="132"/>
        <v>2.0833333328482695E-3</v>
      </c>
      <c r="I824" s="13">
        <f t="shared" si="133"/>
        <v>0.05</v>
      </c>
      <c r="J824" t="s">
        <v>38</v>
      </c>
      <c r="K824" t="s">
        <v>44</v>
      </c>
      <c r="L824">
        <v>1.9</v>
      </c>
      <c r="M824" s="5">
        <f t="shared" si="134"/>
        <v>37.999999999999993</v>
      </c>
      <c r="O824" t="str">
        <f t="shared" si="135"/>
        <v>No Purpose</v>
      </c>
    </row>
    <row r="825" spans="1:15" x14ac:dyDescent="0.3">
      <c r="A825" s="1">
        <v>42712.788888888892</v>
      </c>
      <c r="B825" s="6">
        <f t="shared" si="136"/>
        <v>42712</v>
      </c>
      <c r="C825" s="7">
        <f t="shared" si="137"/>
        <v>0.78888888889196096</v>
      </c>
      <c r="D825" s="1">
        <v>42712.795138888891</v>
      </c>
      <c r="E825" s="6">
        <f t="shared" si="138"/>
        <v>42712</v>
      </c>
      <c r="F825" s="8">
        <f t="shared" si="139"/>
        <v>0.79513888889050577</v>
      </c>
      <c r="G825" t="s">
        <v>7</v>
      </c>
      <c r="H825" s="7">
        <f t="shared" si="132"/>
        <v>6.2499999985448085E-3</v>
      </c>
      <c r="I825" s="13">
        <f t="shared" si="133"/>
        <v>0.15</v>
      </c>
      <c r="J825" t="s">
        <v>44</v>
      </c>
      <c r="K825" t="s">
        <v>38</v>
      </c>
      <c r="L825">
        <v>1.8</v>
      </c>
      <c r="M825" s="5">
        <f t="shared" si="134"/>
        <v>12</v>
      </c>
      <c r="O825" t="str">
        <f t="shared" si="135"/>
        <v>No Purpose</v>
      </c>
    </row>
    <row r="826" spans="1:15" x14ac:dyDescent="0.3">
      <c r="A826" t="s">
        <v>781</v>
      </c>
      <c r="B826" s="2">
        <v>42597</v>
      </c>
      <c r="C826" s="7">
        <v>0.37847222222222227</v>
      </c>
      <c r="D826" t="s">
        <v>782</v>
      </c>
      <c r="E826" s="2">
        <v>42597</v>
      </c>
      <c r="F826" s="8">
        <v>0.41111111111111115</v>
      </c>
      <c r="G826" t="s">
        <v>7</v>
      </c>
      <c r="H826" s="7">
        <f t="shared" si="132"/>
        <v>3.2638888888888884E-2</v>
      </c>
      <c r="I826" s="13">
        <f t="shared" si="133"/>
        <v>0.78333333333333333</v>
      </c>
      <c r="J826" t="s">
        <v>106</v>
      </c>
      <c r="K826" t="s">
        <v>72</v>
      </c>
      <c r="L826">
        <v>15.6</v>
      </c>
      <c r="M826" s="5">
        <f t="shared" si="134"/>
        <v>19.914893617021278</v>
      </c>
      <c r="O826" t="str">
        <f t="shared" si="135"/>
        <v>No Purpose</v>
      </c>
    </row>
    <row r="827" spans="1:15" x14ac:dyDescent="0.3">
      <c r="A827" t="s">
        <v>783</v>
      </c>
      <c r="B827" s="2">
        <v>42597</v>
      </c>
      <c r="C827" s="7">
        <v>0.63888888888888895</v>
      </c>
      <c r="D827" t="s">
        <v>784</v>
      </c>
      <c r="E827" s="2">
        <v>42597</v>
      </c>
      <c r="F827" s="8">
        <v>0.65763888888888888</v>
      </c>
      <c r="G827" t="s">
        <v>7</v>
      </c>
      <c r="H827" s="7">
        <f t="shared" si="132"/>
        <v>1.8749999999999933E-2</v>
      </c>
      <c r="I827" s="13">
        <f t="shared" si="133"/>
        <v>0.45</v>
      </c>
      <c r="J827" t="s">
        <v>72</v>
      </c>
      <c r="K827" t="s">
        <v>72</v>
      </c>
      <c r="L827">
        <v>14.1</v>
      </c>
      <c r="M827" s="5">
        <f t="shared" si="134"/>
        <v>31.333333333333332</v>
      </c>
      <c r="O827" t="str">
        <f t="shared" si="135"/>
        <v>No Purpose</v>
      </c>
    </row>
    <row r="828" spans="1:15" x14ac:dyDescent="0.3">
      <c r="A828" t="s">
        <v>785</v>
      </c>
      <c r="B828" s="2">
        <v>42597</v>
      </c>
      <c r="C828" s="7">
        <v>0.70277777777777783</v>
      </c>
      <c r="D828" t="s">
        <v>786</v>
      </c>
      <c r="E828" s="2">
        <v>42597</v>
      </c>
      <c r="F828" s="8">
        <v>0.72916666666666663</v>
      </c>
      <c r="G828" t="s">
        <v>7</v>
      </c>
      <c r="H828" s="7">
        <f t="shared" si="132"/>
        <v>2.6388888888888795E-2</v>
      </c>
      <c r="I828" s="13">
        <f t="shared" si="133"/>
        <v>0.6333333333333333</v>
      </c>
      <c r="J828" t="s">
        <v>72</v>
      </c>
      <c r="K828" t="s">
        <v>72</v>
      </c>
      <c r="L828">
        <v>15.7</v>
      </c>
      <c r="M828" s="5">
        <f t="shared" si="134"/>
        <v>24.789473684210527</v>
      </c>
      <c r="O828" t="str">
        <f t="shared" si="135"/>
        <v>No Purpose</v>
      </c>
    </row>
    <row r="829" spans="1:15" x14ac:dyDescent="0.3">
      <c r="A829" t="s">
        <v>789</v>
      </c>
      <c r="B829" s="2">
        <v>42598</v>
      </c>
      <c r="C829" s="7">
        <v>0.33194444444444443</v>
      </c>
      <c r="D829" t="s">
        <v>790</v>
      </c>
      <c r="E829" s="2">
        <v>42598</v>
      </c>
      <c r="F829" s="8">
        <v>0.34097222222222223</v>
      </c>
      <c r="G829" t="s">
        <v>7</v>
      </c>
      <c r="H829" s="7">
        <f t="shared" si="132"/>
        <v>9.0277777777778012E-3</v>
      </c>
      <c r="I829" s="13">
        <f t="shared" si="133"/>
        <v>0.21666666666666667</v>
      </c>
      <c r="J829" t="s">
        <v>72</v>
      </c>
      <c r="K829" t="s">
        <v>72</v>
      </c>
      <c r="L829">
        <v>7.9</v>
      </c>
      <c r="M829" s="5">
        <f t="shared" si="134"/>
        <v>36.46153846153846</v>
      </c>
      <c r="O829" t="str">
        <f t="shared" si="135"/>
        <v>No Purpose</v>
      </c>
    </row>
    <row r="830" spans="1:15" x14ac:dyDescent="0.3">
      <c r="A830" t="s">
        <v>791</v>
      </c>
      <c r="B830" s="2">
        <v>42598</v>
      </c>
      <c r="C830" s="7">
        <v>0.3444444444444445</v>
      </c>
      <c r="D830" t="s">
        <v>792</v>
      </c>
      <c r="E830" s="2">
        <v>42598</v>
      </c>
      <c r="F830" s="8">
        <v>0.34930555555555554</v>
      </c>
      <c r="G830" t="s">
        <v>7</v>
      </c>
      <c r="H830" s="7">
        <f t="shared" si="132"/>
        <v>4.8611111111110383E-3</v>
      </c>
      <c r="I830" s="13">
        <f t="shared" si="133"/>
        <v>0.11666666666666667</v>
      </c>
      <c r="J830" t="s">
        <v>72</v>
      </c>
      <c r="K830" t="s">
        <v>72</v>
      </c>
      <c r="L830">
        <v>2.7</v>
      </c>
      <c r="M830" s="5">
        <f t="shared" si="134"/>
        <v>23.142857142857142</v>
      </c>
      <c r="O830" t="str">
        <f t="shared" si="135"/>
        <v>No Purpose</v>
      </c>
    </row>
    <row r="831" spans="1:15" x14ac:dyDescent="0.3">
      <c r="A831" t="s">
        <v>793</v>
      </c>
      <c r="B831" s="2">
        <v>42598</v>
      </c>
      <c r="C831" s="7">
        <v>0.36527777777777781</v>
      </c>
      <c r="D831" t="s">
        <v>794</v>
      </c>
      <c r="E831" s="2">
        <v>42598</v>
      </c>
      <c r="F831" s="8">
        <v>0.37013888888888885</v>
      </c>
      <c r="G831" t="s">
        <v>7</v>
      </c>
      <c r="H831" s="7">
        <f t="shared" si="132"/>
        <v>4.8611111111110383E-3</v>
      </c>
      <c r="I831" s="13">
        <f t="shared" si="133"/>
        <v>0.11666666666666667</v>
      </c>
      <c r="J831" t="s">
        <v>72</v>
      </c>
      <c r="K831" t="s">
        <v>72</v>
      </c>
      <c r="L831">
        <v>5.5</v>
      </c>
      <c r="M831" s="5">
        <f t="shared" si="134"/>
        <v>47.142857142857139</v>
      </c>
      <c r="O831" t="str">
        <f t="shared" si="135"/>
        <v>No Purpose</v>
      </c>
    </row>
    <row r="832" spans="1:15" x14ac:dyDescent="0.3">
      <c r="A832" t="s">
        <v>795</v>
      </c>
      <c r="B832" s="2">
        <v>42598</v>
      </c>
      <c r="C832" s="7">
        <v>0.42083333333333334</v>
      </c>
      <c r="D832" t="s">
        <v>796</v>
      </c>
      <c r="E832" s="2">
        <v>42598</v>
      </c>
      <c r="F832" s="8">
        <v>0.43541666666666662</v>
      </c>
      <c r="G832" t="s">
        <v>7</v>
      </c>
      <c r="H832" s="7">
        <f t="shared" si="132"/>
        <v>1.4583333333333282E-2</v>
      </c>
      <c r="I832" s="13">
        <f t="shared" si="133"/>
        <v>0.35</v>
      </c>
      <c r="J832" t="s">
        <v>72</v>
      </c>
      <c r="K832" t="s">
        <v>88</v>
      </c>
      <c r="L832">
        <v>5.7</v>
      </c>
      <c r="M832" s="5">
        <f t="shared" si="134"/>
        <v>16.285714285714288</v>
      </c>
      <c r="O832" t="str">
        <f t="shared" si="135"/>
        <v>No Purpose</v>
      </c>
    </row>
    <row r="833" spans="1:15" x14ac:dyDescent="0.3">
      <c r="A833" t="s">
        <v>797</v>
      </c>
      <c r="B833" s="2">
        <v>42598</v>
      </c>
      <c r="C833" s="7">
        <v>0.4381944444444445</v>
      </c>
      <c r="D833" t="s">
        <v>798</v>
      </c>
      <c r="E833" s="2">
        <v>42598</v>
      </c>
      <c r="F833" s="8">
        <v>0.44305555555555554</v>
      </c>
      <c r="G833" t="s">
        <v>7</v>
      </c>
      <c r="H833" s="7">
        <f t="shared" si="132"/>
        <v>4.8611111111110383E-3</v>
      </c>
      <c r="I833" s="13">
        <f t="shared" si="133"/>
        <v>0.11666666666666667</v>
      </c>
      <c r="J833" t="s">
        <v>88</v>
      </c>
      <c r="K833" t="s">
        <v>88</v>
      </c>
      <c r="L833">
        <v>1.2</v>
      </c>
      <c r="M833" s="5">
        <f t="shared" si="134"/>
        <v>10.285714285714285</v>
      </c>
      <c r="O833" t="str">
        <f t="shared" si="135"/>
        <v>No Purpose</v>
      </c>
    </row>
    <row r="834" spans="1:15" x14ac:dyDescent="0.3">
      <c r="A834" t="s">
        <v>801</v>
      </c>
      <c r="B834" s="2">
        <v>42598</v>
      </c>
      <c r="C834" s="7">
        <v>0.63402777777777775</v>
      </c>
      <c r="D834" t="s">
        <v>802</v>
      </c>
      <c r="E834" s="2">
        <v>42598</v>
      </c>
      <c r="F834" s="8">
        <v>0.65</v>
      </c>
      <c r="G834" t="s">
        <v>7</v>
      </c>
      <c r="H834" s="7">
        <f t="shared" ref="H834:H897" si="140">IF(F834&gt;C834,F834-C834,F834-C834+1)</f>
        <v>1.5972222222222276E-2</v>
      </c>
      <c r="I834" s="13">
        <f t="shared" ref="I834:I897" si="141">(HOUR(H834)*60+MINUTE(H834))/60</f>
        <v>0.38333333333333336</v>
      </c>
      <c r="J834" t="s">
        <v>72</v>
      </c>
      <c r="K834" t="s">
        <v>72</v>
      </c>
      <c r="L834">
        <v>16.2</v>
      </c>
      <c r="M834" s="5">
        <f t="shared" ref="M834:M897" si="142">L834/I834</f>
        <v>42.260869565217384</v>
      </c>
      <c r="O834" t="str">
        <f t="shared" ref="O834:O897" si="143">IF(ISBLANK($N834),"No Purpose",$N834)</f>
        <v>No Purpose</v>
      </c>
    </row>
    <row r="835" spans="1:15" x14ac:dyDescent="0.3">
      <c r="A835" t="s">
        <v>803</v>
      </c>
      <c r="B835" s="2">
        <v>42599</v>
      </c>
      <c r="C835" s="7">
        <v>0.4284722222222222</v>
      </c>
      <c r="D835" t="s">
        <v>804</v>
      </c>
      <c r="E835" s="2">
        <v>42599</v>
      </c>
      <c r="F835" s="8">
        <v>0.44513888888888892</v>
      </c>
      <c r="G835" t="s">
        <v>7</v>
      </c>
      <c r="H835" s="7">
        <f t="shared" si="140"/>
        <v>1.6666666666666718E-2</v>
      </c>
      <c r="I835" s="13">
        <f t="shared" si="141"/>
        <v>0.4</v>
      </c>
      <c r="J835" t="s">
        <v>72</v>
      </c>
      <c r="K835" t="s">
        <v>72</v>
      </c>
      <c r="L835">
        <v>2.6</v>
      </c>
      <c r="M835" s="5">
        <f t="shared" si="142"/>
        <v>6.5</v>
      </c>
      <c r="O835" t="str">
        <f t="shared" si="143"/>
        <v>No Purpose</v>
      </c>
    </row>
    <row r="836" spans="1:15" x14ac:dyDescent="0.3">
      <c r="A836" t="s">
        <v>805</v>
      </c>
      <c r="B836" s="2">
        <v>42599</v>
      </c>
      <c r="C836" s="7">
        <v>0.45624999999999999</v>
      </c>
      <c r="D836" t="s">
        <v>806</v>
      </c>
      <c r="E836" s="2">
        <v>42599</v>
      </c>
      <c r="F836" s="8">
        <v>0.47222222222222227</v>
      </c>
      <c r="G836" t="s">
        <v>7</v>
      </c>
      <c r="H836" s="7">
        <f t="shared" si="140"/>
        <v>1.5972222222222276E-2</v>
      </c>
      <c r="I836" s="13">
        <f t="shared" si="141"/>
        <v>0.38333333333333336</v>
      </c>
      <c r="J836" t="s">
        <v>72</v>
      </c>
      <c r="K836" t="s">
        <v>72</v>
      </c>
      <c r="L836">
        <v>12.1</v>
      </c>
      <c r="M836" s="5">
        <f t="shared" si="142"/>
        <v>31.565217391304344</v>
      </c>
      <c r="O836" t="str">
        <f t="shared" si="143"/>
        <v>No Purpose</v>
      </c>
    </row>
    <row r="837" spans="1:15" x14ac:dyDescent="0.3">
      <c r="A837" t="s">
        <v>807</v>
      </c>
      <c r="B837" s="2">
        <v>42599</v>
      </c>
      <c r="C837" s="7">
        <v>0.61458333333333337</v>
      </c>
      <c r="D837" t="s">
        <v>808</v>
      </c>
      <c r="E837" s="2">
        <v>42599</v>
      </c>
      <c r="F837" s="8">
        <v>0.61805555555555558</v>
      </c>
      <c r="G837" t="s">
        <v>7</v>
      </c>
      <c r="H837" s="7">
        <f t="shared" si="140"/>
        <v>3.4722222222222099E-3</v>
      </c>
      <c r="I837" s="13">
        <f t="shared" si="141"/>
        <v>8.3333333333333329E-2</v>
      </c>
      <c r="J837" t="s">
        <v>72</v>
      </c>
      <c r="K837" t="s">
        <v>106</v>
      </c>
      <c r="L837">
        <v>1.4</v>
      </c>
      <c r="M837" s="5">
        <f t="shared" si="142"/>
        <v>16.8</v>
      </c>
      <c r="O837" t="str">
        <f t="shared" si="143"/>
        <v>No Purpose</v>
      </c>
    </row>
    <row r="838" spans="1:15" x14ac:dyDescent="0.3">
      <c r="A838" t="s">
        <v>809</v>
      </c>
      <c r="B838" s="2">
        <v>42599</v>
      </c>
      <c r="C838" s="7">
        <v>0.64722222222222225</v>
      </c>
      <c r="D838" t="s">
        <v>810</v>
      </c>
      <c r="E838" s="2">
        <v>42599</v>
      </c>
      <c r="F838" s="8">
        <v>0.65763888888888888</v>
      </c>
      <c r="G838" t="s">
        <v>7</v>
      </c>
      <c r="H838" s="7">
        <f t="shared" si="140"/>
        <v>1.041666666666663E-2</v>
      </c>
      <c r="I838" s="13">
        <f t="shared" si="141"/>
        <v>0.25</v>
      </c>
      <c r="J838" t="s">
        <v>106</v>
      </c>
      <c r="K838" t="s">
        <v>88</v>
      </c>
      <c r="L838">
        <v>6.4</v>
      </c>
      <c r="M838" s="5">
        <f t="shared" si="142"/>
        <v>25.6</v>
      </c>
      <c r="O838" t="str">
        <f t="shared" si="143"/>
        <v>No Purpose</v>
      </c>
    </row>
    <row r="839" spans="1:15" x14ac:dyDescent="0.3">
      <c r="A839" t="s">
        <v>811</v>
      </c>
      <c r="B839" s="2">
        <v>42599</v>
      </c>
      <c r="C839" s="7">
        <v>0.68680555555555556</v>
      </c>
      <c r="D839" t="s">
        <v>812</v>
      </c>
      <c r="E839" s="2">
        <v>42599</v>
      </c>
      <c r="F839" s="8">
        <v>0.70138888888888884</v>
      </c>
      <c r="G839" t="s">
        <v>7</v>
      </c>
      <c r="H839" s="7">
        <f t="shared" si="140"/>
        <v>1.4583333333333282E-2</v>
      </c>
      <c r="I839" s="13">
        <f t="shared" si="141"/>
        <v>0.35</v>
      </c>
      <c r="J839" t="s">
        <v>88</v>
      </c>
      <c r="K839" t="s">
        <v>72</v>
      </c>
      <c r="L839">
        <v>7.3</v>
      </c>
      <c r="M839" s="5">
        <f t="shared" si="142"/>
        <v>20.857142857142858</v>
      </c>
      <c r="O839" t="str">
        <f t="shared" si="143"/>
        <v>No Purpose</v>
      </c>
    </row>
    <row r="840" spans="1:15" x14ac:dyDescent="0.3">
      <c r="A840" t="s">
        <v>813</v>
      </c>
      <c r="B840" s="2">
        <v>42599</v>
      </c>
      <c r="C840" s="7">
        <v>0.70416666666666661</v>
      </c>
      <c r="D840" t="s">
        <v>814</v>
      </c>
      <c r="E840" s="2">
        <v>42599</v>
      </c>
      <c r="F840" s="8">
        <v>0.70833333333333337</v>
      </c>
      <c r="G840" t="s">
        <v>7</v>
      </c>
      <c r="H840" s="7">
        <f t="shared" si="140"/>
        <v>4.1666666666667629E-3</v>
      </c>
      <c r="I840" s="13">
        <f t="shared" si="141"/>
        <v>0.1</v>
      </c>
      <c r="J840" t="s">
        <v>72</v>
      </c>
      <c r="K840" t="s">
        <v>72</v>
      </c>
      <c r="L840">
        <v>5.3</v>
      </c>
      <c r="M840" s="5">
        <f t="shared" si="142"/>
        <v>52.999999999999993</v>
      </c>
      <c r="O840" t="str">
        <f t="shared" si="143"/>
        <v>No Purpose</v>
      </c>
    </row>
    <row r="841" spans="1:15" x14ac:dyDescent="0.3">
      <c r="A841" t="s">
        <v>815</v>
      </c>
      <c r="B841" s="2">
        <v>42599</v>
      </c>
      <c r="C841" s="7">
        <v>0.71180555555555547</v>
      </c>
      <c r="D841" t="s">
        <v>816</v>
      </c>
      <c r="E841" s="2">
        <v>42599</v>
      </c>
      <c r="F841" s="8">
        <v>0.7319444444444444</v>
      </c>
      <c r="G841" t="s">
        <v>7</v>
      </c>
      <c r="H841" s="7">
        <f t="shared" si="140"/>
        <v>2.0138888888888928E-2</v>
      </c>
      <c r="I841" s="13">
        <f t="shared" si="141"/>
        <v>0.48333333333333334</v>
      </c>
      <c r="J841" t="s">
        <v>72</v>
      </c>
      <c r="K841" t="s">
        <v>72</v>
      </c>
      <c r="L841">
        <v>5.5</v>
      </c>
      <c r="M841" s="5">
        <f t="shared" si="142"/>
        <v>11.379310344827585</v>
      </c>
      <c r="O841" t="str">
        <f t="shared" si="143"/>
        <v>No Purpose</v>
      </c>
    </row>
    <row r="842" spans="1:15" x14ac:dyDescent="0.3">
      <c r="A842" t="s">
        <v>821</v>
      </c>
      <c r="B842" s="2">
        <v>42601</v>
      </c>
      <c r="C842" s="7">
        <v>0.35000000000000003</v>
      </c>
      <c r="D842" t="s">
        <v>822</v>
      </c>
      <c r="E842" s="2">
        <v>42601</v>
      </c>
      <c r="F842" s="8">
        <v>0.36458333333333331</v>
      </c>
      <c r="G842" t="s">
        <v>7</v>
      </c>
      <c r="H842" s="7">
        <f t="shared" si="140"/>
        <v>1.4583333333333282E-2</v>
      </c>
      <c r="I842" s="13">
        <f t="shared" si="141"/>
        <v>0.35</v>
      </c>
      <c r="J842" t="s">
        <v>72</v>
      </c>
      <c r="K842" t="s">
        <v>119</v>
      </c>
      <c r="L842">
        <v>7.6</v>
      </c>
      <c r="M842" s="5">
        <f t="shared" si="142"/>
        <v>21.714285714285715</v>
      </c>
      <c r="O842" t="str">
        <f t="shared" si="143"/>
        <v>No Purpose</v>
      </c>
    </row>
    <row r="843" spans="1:15" x14ac:dyDescent="0.3">
      <c r="A843" t="s">
        <v>823</v>
      </c>
      <c r="B843" s="2">
        <v>42601</v>
      </c>
      <c r="C843" s="7">
        <v>0.37083333333333335</v>
      </c>
      <c r="D843" t="s">
        <v>824</v>
      </c>
      <c r="E843" s="2">
        <v>42601</v>
      </c>
      <c r="F843" s="8">
        <v>0.37986111111111115</v>
      </c>
      <c r="G843" t="s">
        <v>7</v>
      </c>
      <c r="H843" s="7">
        <f t="shared" si="140"/>
        <v>9.0277777777778012E-3</v>
      </c>
      <c r="I843" s="13">
        <f t="shared" si="141"/>
        <v>0.21666666666666667</v>
      </c>
      <c r="J843" t="s">
        <v>119</v>
      </c>
      <c r="K843" t="s">
        <v>88</v>
      </c>
      <c r="L843">
        <v>3.3</v>
      </c>
      <c r="M843" s="5">
        <f t="shared" si="142"/>
        <v>15.23076923076923</v>
      </c>
      <c r="O843" t="str">
        <f t="shared" si="143"/>
        <v>No Purpose</v>
      </c>
    </row>
    <row r="844" spans="1:15" x14ac:dyDescent="0.3">
      <c r="A844" t="s">
        <v>825</v>
      </c>
      <c r="B844" s="2">
        <v>42601</v>
      </c>
      <c r="C844" s="7">
        <v>0.39374999999999999</v>
      </c>
      <c r="D844" t="s">
        <v>826</v>
      </c>
      <c r="E844" s="2">
        <v>42601</v>
      </c>
      <c r="F844" s="8">
        <v>0.40763888888888888</v>
      </c>
      <c r="G844" t="s">
        <v>7</v>
      </c>
      <c r="H844" s="7">
        <f t="shared" si="140"/>
        <v>1.3888888888888895E-2</v>
      </c>
      <c r="I844" s="13">
        <f t="shared" si="141"/>
        <v>0.33333333333333331</v>
      </c>
      <c r="J844" t="s">
        <v>88</v>
      </c>
      <c r="K844" t="s">
        <v>106</v>
      </c>
      <c r="L844">
        <v>6.5</v>
      </c>
      <c r="M844" s="5">
        <f t="shared" si="142"/>
        <v>19.5</v>
      </c>
      <c r="O844" t="str">
        <f t="shared" si="143"/>
        <v>No Purpose</v>
      </c>
    </row>
    <row r="845" spans="1:15" x14ac:dyDescent="0.3">
      <c r="A845" t="s">
        <v>827</v>
      </c>
      <c r="B845" s="2">
        <v>42601</v>
      </c>
      <c r="C845" s="7">
        <v>0.45624999999999999</v>
      </c>
      <c r="D845" t="s">
        <v>828</v>
      </c>
      <c r="E845" s="2">
        <v>42601</v>
      </c>
      <c r="F845" s="8">
        <v>0.46249999999999997</v>
      </c>
      <c r="G845" t="s">
        <v>7</v>
      </c>
      <c r="H845" s="7">
        <f t="shared" si="140"/>
        <v>6.2499999999999778E-3</v>
      </c>
      <c r="I845" s="13">
        <f t="shared" si="141"/>
        <v>0.15</v>
      </c>
      <c r="J845" t="s">
        <v>106</v>
      </c>
      <c r="K845" t="s">
        <v>72</v>
      </c>
      <c r="L845">
        <v>2</v>
      </c>
      <c r="M845" s="5">
        <f t="shared" si="142"/>
        <v>13.333333333333334</v>
      </c>
      <c r="O845" t="str">
        <f t="shared" si="143"/>
        <v>No Purpose</v>
      </c>
    </row>
    <row r="846" spans="1:15" x14ac:dyDescent="0.3">
      <c r="A846" t="s">
        <v>829</v>
      </c>
      <c r="B846" s="2">
        <v>42601</v>
      </c>
      <c r="C846" s="7">
        <v>0.50486111111111109</v>
      </c>
      <c r="D846" t="s">
        <v>830</v>
      </c>
      <c r="E846" s="2">
        <v>42601</v>
      </c>
      <c r="F846" s="8">
        <v>0.51666666666666672</v>
      </c>
      <c r="G846" t="s">
        <v>7</v>
      </c>
      <c r="H846" s="7">
        <f t="shared" si="140"/>
        <v>1.1805555555555625E-2</v>
      </c>
      <c r="I846" s="13">
        <f t="shared" si="141"/>
        <v>0.28333333333333333</v>
      </c>
      <c r="J846" t="s">
        <v>72</v>
      </c>
      <c r="K846" t="s">
        <v>88</v>
      </c>
      <c r="L846">
        <v>5.7</v>
      </c>
      <c r="M846" s="5">
        <f t="shared" si="142"/>
        <v>20.117647058823529</v>
      </c>
      <c r="O846" t="str">
        <f t="shared" si="143"/>
        <v>No Purpose</v>
      </c>
    </row>
    <row r="847" spans="1:15" x14ac:dyDescent="0.3">
      <c r="A847" t="s">
        <v>831</v>
      </c>
      <c r="B847" s="2">
        <v>42601</v>
      </c>
      <c r="C847" s="7">
        <v>0.66041666666666665</v>
      </c>
      <c r="D847" t="s">
        <v>832</v>
      </c>
      <c r="E847" s="2">
        <v>42601</v>
      </c>
      <c r="F847" s="8">
        <v>0.67083333333333339</v>
      </c>
      <c r="G847" t="s">
        <v>7</v>
      </c>
      <c r="H847" s="7">
        <f t="shared" si="140"/>
        <v>1.0416666666666741E-2</v>
      </c>
      <c r="I847" s="13">
        <f t="shared" si="141"/>
        <v>0.25</v>
      </c>
      <c r="J847" t="s">
        <v>88</v>
      </c>
      <c r="K847" t="s">
        <v>88</v>
      </c>
      <c r="L847">
        <v>3.2</v>
      </c>
      <c r="M847" s="5">
        <f t="shared" si="142"/>
        <v>12.8</v>
      </c>
      <c r="O847" t="str">
        <f t="shared" si="143"/>
        <v>No Purpose</v>
      </c>
    </row>
    <row r="848" spans="1:15" x14ac:dyDescent="0.3">
      <c r="A848" t="s">
        <v>833</v>
      </c>
      <c r="B848" s="2">
        <v>42601</v>
      </c>
      <c r="C848" s="7">
        <v>0.71666666666666667</v>
      </c>
      <c r="D848" t="s">
        <v>834</v>
      </c>
      <c r="E848" s="2">
        <v>42601</v>
      </c>
      <c r="F848" s="8">
        <v>0.74444444444444446</v>
      </c>
      <c r="G848" t="s">
        <v>7</v>
      </c>
      <c r="H848" s="7">
        <f t="shared" si="140"/>
        <v>2.777777777777779E-2</v>
      </c>
      <c r="I848" s="13">
        <f t="shared" si="141"/>
        <v>0.66666666666666663</v>
      </c>
      <c r="J848" t="s">
        <v>88</v>
      </c>
      <c r="K848" t="s">
        <v>72</v>
      </c>
      <c r="L848">
        <v>12.5</v>
      </c>
      <c r="M848" s="5">
        <f t="shared" si="142"/>
        <v>18.75</v>
      </c>
      <c r="O848" t="str">
        <f t="shared" si="143"/>
        <v>No Purpose</v>
      </c>
    </row>
    <row r="849" spans="1:15" x14ac:dyDescent="0.3">
      <c r="A849" t="s">
        <v>838</v>
      </c>
      <c r="B849" s="2">
        <v>42603</v>
      </c>
      <c r="C849" s="7">
        <v>0.58680555555555558</v>
      </c>
      <c r="D849" t="s">
        <v>839</v>
      </c>
      <c r="E849" s="2">
        <v>42603</v>
      </c>
      <c r="F849" s="8">
        <v>0.6069444444444444</v>
      </c>
      <c r="G849" t="s">
        <v>7</v>
      </c>
      <c r="H849" s="7">
        <f t="shared" si="140"/>
        <v>2.0138888888888817E-2</v>
      </c>
      <c r="I849" s="13">
        <f t="shared" si="141"/>
        <v>0.48333333333333334</v>
      </c>
      <c r="J849" t="s">
        <v>72</v>
      </c>
      <c r="K849" t="s">
        <v>72</v>
      </c>
      <c r="L849">
        <v>7.7</v>
      </c>
      <c r="M849" s="5">
        <f t="shared" si="142"/>
        <v>15.931034482758621</v>
      </c>
      <c r="O849" t="str">
        <f t="shared" si="143"/>
        <v>No Purpose</v>
      </c>
    </row>
    <row r="850" spans="1:15" x14ac:dyDescent="0.3">
      <c r="A850" t="s">
        <v>840</v>
      </c>
      <c r="B850" s="2">
        <v>42603</v>
      </c>
      <c r="C850" s="7">
        <v>0.6875</v>
      </c>
      <c r="D850" t="s">
        <v>841</v>
      </c>
      <c r="E850" s="2">
        <v>42603</v>
      </c>
      <c r="F850" s="8">
        <v>0.70972222222222225</v>
      </c>
      <c r="G850" t="s">
        <v>7</v>
      </c>
      <c r="H850" s="7">
        <f t="shared" si="140"/>
        <v>2.2222222222222254E-2</v>
      </c>
      <c r="I850" s="13">
        <f t="shared" si="141"/>
        <v>0.53333333333333333</v>
      </c>
      <c r="J850" t="s">
        <v>72</v>
      </c>
      <c r="K850" t="s">
        <v>88</v>
      </c>
      <c r="L850">
        <v>12.2</v>
      </c>
      <c r="M850" s="5">
        <f t="shared" si="142"/>
        <v>22.875</v>
      </c>
      <c r="O850" t="str">
        <f t="shared" si="143"/>
        <v>No Purpose</v>
      </c>
    </row>
    <row r="851" spans="1:15" x14ac:dyDescent="0.3">
      <c r="A851" t="s">
        <v>842</v>
      </c>
      <c r="B851" s="2">
        <v>42603</v>
      </c>
      <c r="C851" s="7">
        <v>0.75694444444444453</v>
      </c>
      <c r="D851" t="s">
        <v>843</v>
      </c>
      <c r="E851" s="2">
        <v>42603</v>
      </c>
      <c r="F851" s="8">
        <v>0.76180555555555562</v>
      </c>
      <c r="G851" t="s">
        <v>7</v>
      </c>
      <c r="H851" s="7">
        <f t="shared" si="140"/>
        <v>4.8611111111110938E-3</v>
      </c>
      <c r="I851" s="13">
        <f t="shared" si="141"/>
        <v>0.11666666666666667</v>
      </c>
      <c r="J851" t="s">
        <v>88</v>
      </c>
      <c r="K851" t="s">
        <v>88</v>
      </c>
      <c r="L851">
        <v>1.4</v>
      </c>
      <c r="M851" s="5">
        <f t="shared" si="142"/>
        <v>11.999999999999998</v>
      </c>
      <c r="O851" t="str">
        <f t="shared" si="143"/>
        <v>No Purpose</v>
      </c>
    </row>
    <row r="852" spans="1:15" x14ac:dyDescent="0.3">
      <c r="A852" t="s">
        <v>844</v>
      </c>
      <c r="B852" s="2">
        <v>42603</v>
      </c>
      <c r="C852" s="7">
        <v>0.78333333333333333</v>
      </c>
      <c r="D852" t="s">
        <v>845</v>
      </c>
      <c r="E852" s="2">
        <v>42603</v>
      </c>
      <c r="F852" s="8">
        <v>0.80833333333333324</v>
      </c>
      <c r="G852" t="s">
        <v>7</v>
      </c>
      <c r="H852" s="7">
        <f t="shared" si="140"/>
        <v>2.4999999999999911E-2</v>
      </c>
      <c r="I852" s="13">
        <f t="shared" si="141"/>
        <v>0.6</v>
      </c>
      <c r="J852" t="s">
        <v>88</v>
      </c>
      <c r="K852" t="s">
        <v>72</v>
      </c>
      <c r="L852">
        <v>20.2</v>
      </c>
      <c r="M852" s="5">
        <f t="shared" si="142"/>
        <v>33.666666666666664</v>
      </c>
      <c r="O852" t="str">
        <f t="shared" si="143"/>
        <v>No Purpose</v>
      </c>
    </row>
    <row r="853" spans="1:15" x14ac:dyDescent="0.3">
      <c r="A853" t="s">
        <v>846</v>
      </c>
      <c r="B853" s="2">
        <v>42604</v>
      </c>
      <c r="C853" s="7">
        <v>0.41666666666666669</v>
      </c>
      <c r="D853" t="s">
        <v>847</v>
      </c>
      <c r="E853" s="2">
        <v>42604</v>
      </c>
      <c r="F853" s="8">
        <v>0.44722222222222219</v>
      </c>
      <c r="G853" t="s">
        <v>7</v>
      </c>
      <c r="H853" s="7">
        <f t="shared" si="140"/>
        <v>3.0555555555555503E-2</v>
      </c>
      <c r="I853" s="13">
        <f t="shared" si="141"/>
        <v>0.73333333333333328</v>
      </c>
      <c r="J853" t="s">
        <v>72</v>
      </c>
      <c r="K853" t="s">
        <v>88</v>
      </c>
      <c r="L853">
        <v>9.8000000000000007</v>
      </c>
      <c r="M853" s="5">
        <f t="shared" si="142"/>
        <v>13.363636363636365</v>
      </c>
      <c r="O853" t="str">
        <f t="shared" si="143"/>
        <v>No Purpose</v>
      </c>
    </row>
    <row r="854" spans="1:15" x14ac:dyDescent="0.3">
      <c r="A854" t="s">
        <v>848</v>
      </c>
      <c r="B854" s="2">
        <v>42604</v>
      </c>
      <c r="C854" s="7">
        <v>0.46319444444444446</v>
      </c>
      <c r="D854" t="s">
        <v>849</v>
      </c>
      <c r="E854" s="2">
        <v>42604</v>
      </c>
      <c r="F854" s="8">
        <v>0.47430555555555554</v>
      </c>
      <c r="G854" t="s">
        <v>7</v>
      </c>
      <c r="H854" s="7">
        <f t="shared" si="140"/>
        <v>1.1111111111111072E-2</v>
      </c>
      <c r="I854" s="13">
        <f t="shared" si="141"/>
        <v>0.26666666666666666</v>
      </c>
      <c r="J854" t="s">
        <v>88</v>
      </c>
      <c r="K854" t="s">
        <v>72</v>
      </c>
      <c r="L854">
        <v>6.3</v>
      </c>
      <c r="M854" s="5">
        <f t="shared" si="142"/>
        <v>23.625</v>
      </c>
      <c r="O854" t="str">
        <f t="shared" si="143"/>
        <v>No Purpose</v>
      </c>
    </row>
    <row r="855" spans="1:15" x14ac:dyDescent="0.3">
      <c r="A855" t="s">
        <v>850</v>
      </c>
      <c r="B855" s="2">
        <v>42604</v>
      </c>
      <c r="C855" s="7">
        <v>0.52500000000000002</v>
      </c>
      <c r="D855" t="s">
        <v>851</v>
      </c>
      <c r="E855" s="2">
        <v>42604</v>
      </c>
      <c r="F855" s="8">
        <v>0.53402777777777777</v>
      </c>
      <c r="G855" t="s">
        <v>7</v>
      </c>
      <c r="H855" s="7">
        <f t="shared" si="140"/>
        <v>9.0277777777777457E-3</v>
      </c>
      <c r="I855" s="13">
        <f t="shared" si="141"/>
        <v>0.21666666666666667</v>
      </c>
      <c r="J855" t="s">
        <v>72</v>
      </c>
      <c r="K855" t="s">
        <v>88</v>
      </c>
      <c r="L855">
        <v>4.9000000000000004</v>
      </c>
      <c r="M855" s="5">
        <f t="shared" si="142"/>
        <v>22.615384615384617</v>
      </c>
      <c r="O855" t="str">
        <f t="shared" si="143"/>
        <v>No Purpose</v>
      </c>
    </row>
    <row r="856" spans="1:15" x14ac:dyDescent="0.3">
      <c r="A856" t="s">
        <v>852</v>
      </c>
      <c r="B856" s="2">
        <v>42604</v>
      </c>
      <c r="C856" s="7">
        <v>0.54305555555555551</v>
      </c>
      <c r="D856" t="s">
        <v>853</v>
      </c>
      <c r="E856" s="2">
        <v>42604</v>
      </c>
      <c r="F856" s="8">
        <v>0.5493055555555556</v>
      </c>
      <c r="G856" t="s">
        <v>7</v>
      </c>
      <c r="H856" s="7">
        <f t="shared" si="140"/>
        <v>6.2500000000000888E-3</v>
      </c>
      <c r="I856" s="13">
        <f t="shared" si="141"/>
        <v>0.15</v>
      </c>
      <c r="J856" t="s">
        <v>88</v>
      </c>
      <c r="K856" t="s">
        <v>88</v>
      </c>
      <c r="L856">
        <v>1.5</v>
      </c>
      <c r="M856" s="5">
        <f t="shared" si="142"/>
        <v>10</v>
      </c>
      <c r="O856" t="str">
        <f t="shared" si="143"/>
        <v>No Purpose</v>
      </c>
    </row>
    <row r="857" spans="1:15" x14ac:dyDescent="0.3">
      <c r="A857" t="s">
        <v>854</v>
      </c>
      <c r="B857" s="2">
        <v>42604</v>
      </c>
      <c r="C857" s="7">
        <v>0.58819444444444446</v>
      </c>
      <c r="D857" t="s">
        <v>855</v>
      </c>
      <c r="E857" s="2">
        <v>42604</v>
      </c>
      <c r="F857" s="8">
        <v>0.60486111111111118</v>
      </c>
      <c r="G857" t="s">
        <v>7</v>
      </c>
      <c r="H857" s="7">
        <f t="shared" si="140"/>
        <v>1.6666666666666718E-2</v>
      </c>
      <c r="I857" s="13">
        <f t="shared" si="141"/>
        <v>0.4</v>
      </c>
      <c r="J857" t="s">
        <v>88</v>
      </c>
      <c r="K857" t="s">
        <v>72</v>
      </c>
      <c r="L857">
        <v>10.9</v>
      </c>
      <c r="M857" s="5">
        <f t="shared" si="142"/>
        <v>27.25</v>
      </c>
      <c r="O857" t="str">
        <f t="shared" si="143"/>
        <v>No Purpose</v>
      </c>
    </row>
    <row r="858" spans="1:15" x14ac:dyDescent="0.3">
      <c r="A858" t="s">
        <v>856</v>
      </c>
      <c r="B858" s="2">
        <v>42604</v>
      </c>
      <c r="C858" s="7">
        <v>0.63472222222222219</v>
      </c>
      <c r="D858" t="s">
        <v>857</v>
      </c>
      <c r="E858" s="2">
        <v>42604</v>
      </c>
      <c r="F858" s="8">
        <v>0.65902777777777777</v>
      </c>
      <c r="G858" t="s">
        <v>7</v>
      </c>
      <c r="H858" s="7">
        <f t="shared" si="140"/>
        <v>2.430555555555558E-2</v>
      </c>
      <c r="I858" s="13">
        <f t="shared" si="141"/>
        <v>0.58333333333333337</v>
      </c>
      <c r="J858" t="s">
        <v>72</v>
      </c>
      <c r="K858" t="s">
        <v>72</v>
      </c>
      <c r="L858">
        <v>19</v>
      </c>
      <c r="M858" s="5">
        <f t="shared" si="142"/>
        <v>32.571428571428569</v>
      </c>
      <c r="O858" t="str">
        <f t="shared" si="143"/>
        <v>No Purpose</v>
      </c>
    </row>
    <row r="859" spans="1:15" x14ac:dyDescent="0.3">
      <c r="A859" t="s">
        <v>858</v>
      </c>
      <c r="B859" s="2">
        <v>42604</v>
      </c>
      <c r="C859" s="7">
        <v>0.66597222222222219</v>
      </c>
      <c r="D859" t="s">
        <v>859</v>
      </c>
      <c r="E859" s="2">
        <v>42604</v>
      </c>
      <c r="F859" s="8">
        <v>0.71944444444444444</v>
      </c>
      <c r="G859" t="s">
        <v>7</v>
      </c>
      <c r="H859" s="7">
        <f t="shared" si="140"/>
        <v>5.3472222222222254E-2</v>
      </c>
      <c r="I859" s="13">
        <f t="shared" si="141"/>
        <v>1.2833333333333334</v>
      </c>
      <c r="J859" t="s">
        <v>72</v>
      </c>
      <c r="K859" t="s">
        <v>72</v>
      </c>
      <c r="L859">
        <v>19</v>
      </c>
      <c r="M859" s="5">
        <f t="shared" si="142"/>
        <v>14.805194805194803</v>
      </c>
      <c r="O859" t="str">
        <f t="shared" si="143"/>
        <v>No Purpose</v>
      </c>
    </row>
    <row r="860" spans="1:15" x14ac:dyDescent="0.3">
      <c r="A860" t="s">
        <v>860</v>
      </c>
      <c r="B860" s="2">
        <v>42604</v>
      </c>
      <c r="C860" s="7">
        <v>0.83194444444444438</v>
      </c>
      <c r="D860" t="s">
        <v>861</v>
      </c>
      <c r="E860" s="2">
        <v>42604</v>
      </c>
      <c r="F860" s="8">
        <v>0.86805555555555547</v>
      </c>
      <c r="G860" t="s">
        <v>7</v>
      </c>
      <c r="H860" s="7">
        <f t="shared" si="140"/>
        <v>3.6111111111111094E-2</v>
      </c>
      <c r="I860" s="13">
        <f t="shared" si="141"/>
        <v>0.8666666666666667</v>
      </c>
      <c r="J860" t="s">
        <v>72</v>
      </c>
      <c r="K860" t="s">
        <v>106</v>
      </c>
      <c r="L860">
        <v>7.9</v>
      </c>
      <c r="M860" s="5">
        <f t="shared" si="142"/>
        <v>9.115384615384615</v>
      </c>
      <c r="O860" t="str">
        <f t="shared" si="143"/>
        <v>No Purpose</v>
      </c>
    </row>
    <row r="861" spans="1:15" x14ac:dyDescent="0.3">
      <c r="A861" t="s">
        <v>862</v>
      </c>
      <c r="B861" s="2">
        <v>42604</v>
      </c>
      <c r="C861" s="7">
        <v>0.87013888888888891</v>
      </c>
      <c r="D861" t="s">
        <v>863</v>
      </c>
      <c r="E861" s="2">
        <v>42604</v>
      </c>
      <c r="F861" s="8">
        <v>0.8965277777777777</v>
      </c>
      <c r="G861" t="s">
        <v>7</v>
      </c>
      <c r="H861" s="7">
        <f t="shared" si="140"/>
        <v>2.6388888888888795E-2</v>
      </c>
      <c r="I861" s="13">
        <f t="shared" si="141"/>
        <v>0.6333333333333333</v>
      </c>
      <c r="J861" t="s">
        <v>106</v>
      </c>
      <c r="K861" t="s">
        <v>106</v>
      </c>
      <c r="L861">
        <v>4.0999999999999996</v>
      </c>
      <c r="M861" s="5">
        <f t="shared" si="142"/>
        <v>6.4736842105263159</v>
      </c>
      <c r="O861" t="str">
        <f t="shared" si="143"/>
        <v>No Purpose</v>
      </c>
    </row>
    <row r="862" spans="1:15" x14ac:dyDescent="0.3">
      <c r="A862" t="s">
        <v>864</v>
      </c>
      <c r="B862" s="2">
        <v>42604</v>
      </c>
      <c r="C862" s="7">
        <v>0.93819444444444444</v>
      </c>
      <c r="D862" t="s">
        <v>865</v>
      </c>
      <c r="E862" s="2">
        <v>42604</v>
      </c>
      <c r="F862" s="8">
        <v>0.95833333333333337</v>
      </c>
      <c r="G862" t="s">
        <v>7</v>
      </c>
      <c r="H862" s="7">
        <f t="shared" si="140"/>
        <v>2.0138888888888928E-2</v>
      </c>
      <c r="I862" s="13">
        <f t="shared" si="141"/>
        <v>0.48333333333333334</v>
      </c>
      <c r="J862" t="s">
        <v>106</v>
      </c>
      <c r="K862" t="s">
        <v>72</v>
      </c>
      <c r="L862">
        <v>18.7</v>
      </c>
      <c r="M862" s="5">
        <f t="shared" si="142"/>
        <v>38.689655172413794</v>
      </c>
      <c r="O862" t="str">
        <f t="shared" si="143"/>
        <v>No Purpose</v>
      </c>
    </row>
    <row r="863" spans="1:15" x14ac:dyDescent="0.3">
      <c r="A863" t="s">
        <v>866</v>
      </c>
      <c r="B863" s="2">
        <v>42605</v>
      </c>
      <c r="C863" s="7">
        <v>0.34027777777777773</v>
      </c>
      <c r="D863" t="s">
        <v>867</v>
      </c>
      <c r="E863" s="2">
        <v>42605</v>
      </c>
      <c r="F863" s="8">
        <v>0.35069444444444442</v>
      </c>
      <c r="G863" t="s">
        <v>7</v>
      </c>
      <c r="H863" s="7">
        <f t="shared" si="140"/>
        <v>1.0416666666666685E-2</v>
      </c>
      <c r="I863" s="13">
        <f t="shared" si="141"/>
        <v>0.25</v>
      </c>
      <c r="J863" t="s">
        <v>72</v>
      </c>
      <c r="K863" t="s">
        <v>119</v>
      </c>
      <c r="L863">
        <v>8.6999999999999993</v>
      </c>
      <c r="M863" s="5">
        <f t="shared" si="142"/>
        <v>34.799999999999997</v>
      </c>
      <c r="O863" t="str">
        <f t="shared" si="143"/>
        <v>No Purpose</v>
      </c>
    </row>
    <row r="864" spans="1:15" x14ac:dyDescent="0.3">
      <c r="A864" t="s">
        <v>868</v>
      </c>
      <c r="B864" s="2">
        <v>42605</v>
      </c>
      <c r="C864" s="7">
        <v>0.39930555555555558</v>
      </c>
      <c r="D864" t="s">
        <v>869</v>
      </c>
      <c r="E864" s="2">
        <v>42605</v>
      </c>
      <c r="F864" s="8">
        <v>0.42291666666666666</v>
      </c>
      <c r="G864" t="s">
        <v>7</v>
      </c>
      <c r="H864" s="7">
        <f t="shared" si="140"/>
        <v>2.3611111111111083E-2</v>
      </c>
      <c r="I864" s="13">
        <f t="shared" si="141"/>
        <v>0.56666666666666665</v>
      </c>
      <c r="J864" t="s">
        <v>119</v>
      </c>
      <c r="K864" t="s">
        <v>72</v>
      </c>
      <c r="L864">
        <v>7.5</v>
      </c>
      <c r="M864" s="5">
        <f t="shared" si="142"/>
        <v>13.23529411764706</v>
      </c>
      <c r="O864" t="str">
        <f t="shared" si="143"/>
        <v>No Purpose</v>
      </c>
    </row>
    <row r="865" spans="1:15" x14ac:dyDescent="0.3">
      <c r="A865" t="s">
        <v>870</v>
      </c>
      <c r="B865" s="2">
        <v>42605</v>
      </c>
      <c r="C865" s="7">
        <v>0.54097222222222219</v>
      </c>
      <c r="D865" t="s">
        <v>871</v>
      </c>
      <c r="E865" s="2">
        <v>42605</v>
      </c>
      <c r="F865" s="8">
        <v>0.55208333333333337</v>
      </c>
      <c r="G865" t="s">
        <v>7</v>
      </c>
      <c r="H865" s="7">
        <f t="shared" si="140"/>
        <v>1.1111111111111183E-2</v>
      </c>
      <c r="I865" s="13">
        <f t="shared" si="141"/>
        <v>0.26666666666666666</v>
      </c>
      <c r="J865" t="s">
        <v>72</v>
      </c>
      <c r="K865" t="s">
        <v>119</v>
      </c>
      <c r="L865">
        <v>7.7</v>
      </c>
      <c r="M865" s="5">
        <f t="shared" si="142"/>
        <v>28.875</v>
      </c>
      <c r="O865" t="str">
        <f t="shared" si="143"/>
        <v>No Purpose</v>
      </c>
    </row>
    <row r="866" spans="1:15" x14ac:dyDescent="0.3">
      <c r="A866" t="s">
        <v>872</v>
      </c>
      <c r="B866" s="2">
        <v>42605</v>
      </c>
      <c r="C866" s="7">
        <v>0.55486111111111114</v>
      </c>
      <c r="D866" t="s">
        <v>873</v>
      </c>
      <c r="E866" s="2">
        <v>42605</v>
      </c>
      <c r="F866" s="8">
        <v>0.5625</v>
      </c>
      <c r="G866" t="s">
        <v>7</v>
      </c>
      <c r="H866" s="7">
        <f t="shared" si="140"/>
        <v>7.6388888888888618E-3</v>
      </c>
      <c r="I866" s="13">
        <f t="shared" si="141"/>
        <v>0.18333333333333332</v>
      </c>
      <c r="J866" t="s">
        <v>119</v>
      </c>
      <c r="K866" t="s">
        <v>88</v>
      </c>
      <c r="L866">
        <v>4.4000000000000004</v>
      </c>
      <c r="M866" s="5">
        <f t="shared" si="142"/>
        <v>24.000000000000004</v>
      </c>
      <c r="O866" t="str">
        <f t="shared" si="143"/>
        <v>No Purpose</v>
      </c>
    </row>
    <row r="867" spans="1:15" x14ac:dyDescent="0.3">
      <c r="A867" t="s">
        <v>874</v>
      </c>
      <c r="B867" s="2">
        <v>42605</v>
      </c>
      <c r="C867" s="7">
        <v>0.5756944444444444</v>
      </c>
      <c r="D867" t="s">
        <v>875</v>
      </c>
      <c r="E867" s="2">
        <v>42605</v>
      </c>
      <c r="F867" s="8">
        <v>0.58611111111111114</v>
      </c>
      <c r="G867" t="s">
        <v>7</v>
      </c>
      <c r="H867" s="7">
        <f t="shared" si="140"/>
        <v>1.0416666666666741E-2</v>
      </c>
      <c r="I867" s="13">
        <f t="shared" si="141"/>
        <v>0.25</v>
      </c>
      <c r="J867" t="s">
        <v>88</v>
      </c>
      <c r="K867" t="s">
        <v>72</v>
      </c>
      <c r="L867">
        <v>5</v>
      </c>
      <c r="M867" s="5">
        <f t="shared" si="142"/>
        <v>20</v>
      </c>
      <c r="O867" t="str">
        <f t="shared" si="143"/>
        <v>No Purpose</v>
      </c>
    </row>
    <row r="868" spans="1:15" x14ac:dyDescent="0.3">
      <c r="A868" t="s">
        <v>876</v>
      </c>
      <c r="B868" s="2">
        <v>42605</v>
      </c>
      <c r="C868" s="7">
        <v>0.62986111111111109</v>
      </c>
      <c r="D868" t="s">
        <v>877</v>
      </c>
      <c r="E868" s="2">
        <v>42605</v>
      </c>
      <c r="F868" s="8">
        <v>0.6333333333333333</v>
      </c>
      <c r="G868" t="s">
        <v>7</v>
      </c>
      <c r="H868" s="7">
        <f t="shared" si="140"/>
        <v>3.4722222222222099E-3</v>
      </c>
      <c r="I868" s="13">
        <f t="shared" si="141"/>
        <v>8.3333333333333329E-2</v>
      </c>
      <c r="J868" t="s">
        <v>72</v>
      </c>
      <c r="K868" t="s">
        <v>72</v>
      </c>
      <c r="L868">
        <v>1.9</v>
      </c>
      <c r="M868" s="5">
        <f t="shared" si="142"/>
        <v>22.8</v>
      </c>
      <c r="O868" t="str">
        <f t="shared" si="143"/>
        <v>No Purpose</v>
      </c>
    </row>
    <row r="869" spans="1:15" x14ac:dyDescent="0.3">
      <c r="A869" t="s">
        <v>878</v>
      </c>
      <c r="B869" s="2">
        <v>42605</v>
      </c>
      <c r="C869" s="7">
        <v>0.63541666666666663</v>
      </c>
      <c r="D869" t="s">
        <v>879</v>
      </c>
      <c r="E869" s="2">
        <v>42605</v>
      </c>
      <c r="F869" s="8">
        <v>0.71944444444444444</v>
      </c>
      <c r="G869" t="s">
        <v>7</v>
      </c>
      <c r="H869" s="7">
        <f t="shared" si="140"/>
        <v>8.4027777777777812E-2</v>
      </c>
      <c r="I869" s="13">
        <f t="shared" si="141"/>
        <v>2.0166666666666666</v>
      </c>
      <c r="J869" t="s">
        <v>72</v>
      </c>
      <c r="K869" t="s">
        <v>72</v>
      </c>
      <c r="L869">
        <v>7.9</v>
      </c>
      <c r="M869" s="5">
        <f t="shared" si="142"/>
        <v>3.9173553719008267</v>
      </c>
      <c r="O869" t="str">
        <f t="shared" si="143"/>
        <v>No Purpose</v>
      </c>
    </row>
    <row r="870" spans="1:15" x14ac:dyDescent="0.3">
      <c r="A870" t="s">
        <v>880</v>
      </c>
      <c r="B870" s="2">
        <v>42605</v>
      </c>
      <c r="C870" s="7">
        <v>0.73749999999999993</v>
      </c>
      <c r="D870" t="s">
        <v>881</v>
      </c>
      <c r="E870" s="2">
        <v>42605</v>
      </c>
      <c r="F870" s="8">
        <v>0.7715277777777777</v>
      </c>
      <c r="G870" t="s">
        <v>7</v>
      </c>
      <c r="H870" s="7">
        <f t="shared" si="140"/>
        <v>3.4027777777777768E-2</v>
      </c>
      <c r="I870" s="13">
        <f t="shared" si="141"/>
        <v>0.81666666666666665</v>
      </c>
      <c r="J870" t="s">
        <v>72</v>
      </c>
      <c r="K870" t="s">
        <v>72</v>
      </c>
      <c r="L870">
        <v>17.7</v>
      </c>
      <c r="M870" s="5">
        <f t="shared" si="142"/>
        <v>21.673469387755102</v>
      </c>
      <c r="O870" t="str">
        <f t="shared" si="143"/>
        <v>No Purpose</v>
      </c>
    </row>
    <row r="871" spans="1:15" x14ac:dyDescent="0.3">
      <c r="A871" t="s">
        <v>882</v>
      </c>
      <c r="B871" s="2">
        <v>42606</v>
      </c>
      <c r="C871" s="7">
        <v>0.50347222222222221</v>
      </c>
      <c r="D871" t="s">
        <v>883</v>
      </c>
      <c r="E871" s="2">
        <v>42606</v>
      </c>
      <c r="F871" s="8">
        <v>0.53888888888888886</v>
      </c>
      <c r="G871" t="s">
        <v>7</v>
      </c>
      <c r="H871" s="7">
        <f t="shared" si="140"/>
        <v>3.5416666666666652E-2</v>
      </c>
      <c r="I871" s="13">
        <f t="shared" si="141"/>
        <v>0.85</v>
      </c>
      <c r="J871" t="s">
        <v>72</v>
      </c>
      <c r="K871" t="s">
        <v>72</v>
      </c>
      <c r="L871">
        <v>25.2</v>
      </c>
      <c r="M871" s="5">
        <f t="shared" si="142"/>
        <v>29.647058823529413</v>
      </c>
      <c r="O871" t="str">
        <f t="shared" si="143"/>
        <v>No Purpose</v>
      </c>
    </row>
    <row r="872" spans="1:15" x14ac:dyDescent="0.3">
      <c r="A872" t="s">
        <v>884</v>
      </c>
      <c r="B872" s="2">
        <v>42606</v>
      </c>
      <c r="C872" s="7">
        <v>0.54236111111111118</v>
      </c>
      <c r="D872" t="s">
        <v>885</v>
      </c>
      <c r="E872" s="2">
        <v>42606</v>
      </c>
      <c r="F872" s="8">
        <v>0.64236111111111105</v>
      </c>
      <c r="G872" t="s">
        <v>7</v>
      </c>
      <c r="H872" s="7">
        <f t="shared" si="140"/>
        <v>9.9999999999999867E-2</v>
      </c>
      <c r="I872" s="13">
        <f t="shared" si="141"/>
        <v>2.4</v>
      </c>
      <c r="J872" t="s">
        <v>72</v>
      </c>
      <c r="K872" t="s">
        <v>72</v>
      </c>
      <c r="L872">
        <v>96.2</v>
      </c>
      <c r="M872" s="5">
        <f t="shared" si="142"/>
        <v>40.083333333333336</v>
      </c>
      <c r="O872" t="str">
        <f t="shared" si="143"/>
        <v>No Purpose</v>
      </c>
    </row>
    <row r="873" spans="1:15" x14ac:dyDescent="0.3">
      <c r="A873" t="s">
        <v>886</v>
      </c>
      <c r="B873" s="2">
        <v>42607</v>
      </c>
      <c r="C873" s="7">
        <v>0.63680555555555551</v>
      </c>
      <c r="D873" t="s">
        <v>887</v>
      </c>
      <c r="E873" s="2">
        <v>42607</v>
      </c>
      <c r="F873" s="8">
        <v>0.68194444444444446</v>
      </c>
      <c r="G873" t="s">
        <v>7</v>
      </c>
      <c r="H873" s="7">
        <f t="shared" si="140"/>
        <v>4.5138888888888951E-2</v>
      </c>
      <c r="I873" s="13">
        <f t="shared" si="141"/>
        <v>1.0833333333333333</v>
      </c>
      <c r="J873" t="s">
        <v>72</v>
      </c>
      <c r="K873" t="s">
        <v>72</v>
      </c>
      <c r="L873">
        <v>35</v>
      </c>
      <c r="M873" s="5">
        <f t="shared" si="142"/>
        <v>32.307692307692307</v>
      </c>
      <c r="O873" t="str">
        <f t="shared" si="143"/>
        <v>No Purpose</v>
      </c>
    </row>
    <row r="874" spans="1:15" x14ac:dyDescent="0.3">
      <c r="A874" t="s">
        <v>888</v>
      </c>
      <c r="B874" s="2">
        <v>42607</v>
      </c>
      <c r="C874" s="7">
        <v>0.69166666666666676</v>
      </c>
      <c r="D874" t="s">
        <v>889</v>
      </c>
      <c r="E874" s="2">
        <v>42607</v>
      </c>
      <c r="F874" s="8">
        <v>0.7055555555555556</v>
      </c>
      <c r="G874" t="s">
        <v>7</v>
      </c>
      <c r="H874" s="7">
        <f t="shared" si="140"/>
        <v>1.388888888888884E-2</v>
      </c>
      <c r="I874" s="13">
        <f t="shared" si="141"/>
        <v>0.33333333333333331</v>
      </c>
      <c r="J874" t="s">
        <v>72</v>
      </c>
      <c r="K874" t="s">
        <v>72</v>
      </c>
      <c r="L874">
        <v>5.5</v>
      </c>
      <c r="M874" s="5">
        <f t="shared" si="142"/>
        <v>16.5</v>
      </c>
      <c r="O874" t="str">
        <f t="shared" si="143"/>
        <v>No Purpose</v>
      </c>
    </row>
    <row r="875" spans="1:15" x14ac:dyDescent="0.3">
      <c r="A875" t="s">
        <v>890</v>
      </c>
      <c r="B875" s="2">
        <v>42607</v>
      </c>
      <c r="C875" s="7">
        <v>0.72152777777777777</v>
      </c>
      <c r="D875" t="s">
        <v>891</v>
      </c>
      <c r="E875" s="2">
        <v>42607</v>
      </c>
      <c r="F875" s="8">
        <v>0.80555555555555547</v>
      </c>
      <c r="G875" t="s">
        <v>7</v>
      </c>
      <c r="H875" s="7">
        <f t="shared" si="140"/>
        <v>8.4027777777777701E-2</v>
      </c>
      <c r="I875" s="13">
        <f t="shared" si="141"/>
        <v>2.0166666666666666</v>
      </c>
      <c r="J875" t="s">
        <v>72</v>
      </c>
      <c r="K875" t="s">
        <v>72</v>
      </c>
      <c r="L875">
        <v>50.4</v>
      </c>
      <c r="M875" s="5">
        <f t="shared" si="142"/>
        <v>24.991735537190081</v>
      </c>
      <c r="O875" t="str">
        <f t="shared" si="143"/>
        <v>No Purpose</v>
      </c>
    </row>
    <row r="876" spans="1:15" x14ac:dyDescent="0.3">
      <c r="A876" t="s">
        <v>892</v>
      </c>
      <c r="B876" s="2">
        <v>42607</v>
      </c>
      <c r="C876" s="7">
        <v>0.80902777777777779</v>
      </c>
      <c r="D876" t="s">
        <v>893</v>
      </c>
      <c r="E876" s="2">
        <v>42607</v>
      </c>
      <c r="F876" s="8">
        <v>0.83124999999999993</v>
      </c>
      <c r="G876" t="s">
        <v>7</v>
      </c>
      <c r="H876" s="7">
        <f t="shared" si="140"/>
        <v>2.2222222222222143E-2</v>
      </c>
      <c r="I876" s="13">
        <f t="shared" si="141"/>
        <v>0.53333333333333333</v>
      </c>
      <c r="J876" t="s">
        <v>72</v>
      </c>
      <c r="K876" t="s">
        <v>894</v>
      </c>
      <c r="L876">
        <v>9.1999999999999993</v>
      </c>
      <c r="M876" s="5">
        <f t="shared" si="142"/>
        <v>17.25</v>
      </c>
      <c r="O876" t="str">
        <f t="shared" si="143"/>
        <v>No Purpose</v>
      </c>
    </row>
    <row r="877" spans="1:15" x14ac:dyDescent="0.3">
      <c r="A877" t="s">
        <v>895</v>
      </c>
      <c r="B877" s="2">
        <v>42607</v>
      </c>
      <c r="C877" s="7">
        <v>0.95694444444444438</v>
      </c>
      <c r="D877" t="s">
        <v>896</v>
      </c>
      <c r="E877" s="2">
        <v>42607</v>
      </c>
      <c r="F877" s="8">
        <v>0.96944444444444444</v>
      </c>
      <c r="G877" t="s">
        <v>7</v>
      </c>
      <c r="H877" s="7">
        <f t="shared" si="140"/>
        <v>1.2500000000000067E-2</v>
      </c>
      <c r="I877" s="13">
        <f t="shared" si="141"/>
        <v>0.3</v>
      </c>
      <c r="J877" t="s">
        <v>894</v>
      </c>
      <c r="K877" t="s">
        <v>72</v>
      </c>
      <c r="L877">
        <v>7.3</v>
      </c>
      <c r="M877" s="5">
        <f t="shared" si="142"/>
        <v>24.333333333333332</v>
      </c>
      <c r="O877" t="str">
        <f t="shared" si="143"/>
        <v>No Purpose</v>
      </c>
    </row>
    <row r="878" spans="1:15" x14ac:dyDescent="0.3">
      <c r="A878" t="s">
        <v>897</v>
      </c>
      <c r="B878" s="2">
        <v>42608</v>
      </c>
      <c r="C878" s="7">
        <v>0.37916666666666665</v>
      </c>
      <c r="D878" t="s">
        <v>898</v>
      </c>
      <c r="E878" s="2">
        <v>42608</v>
      </c>
      <c r="F878" s="8">
        <v>0.3888888888888889</v>
      </c>
      <c r="G878" t="s">
        <v>7</v>
      </c>
      <c r="H878" s="7">
        <f t="shared" si="140"/>
        <v>9.7222222222222432E-3</v>
      </c>
      <c r="I878" s="13">
        <f t="shared" si="141"/>
        <v>0.23333333333333334</v>
      </c>
      <c r="J878" t="s">
        <v>72</v>
      </c>
      <c r="K878" t="s">
        <v>72</v>
      </c>
      <c r="L878">
        <v>5</v>
      </c>
      <c r="M878" s="5">
        <f t="shared" si="142"/>
        <v>21.428571428571427</v>
      </c>
      <c r="O878" t="str">
        <f t="shared" si="143"/>
        <v>No Purpose</v>
      </c>
    </row>
    <row r="879" spans="1:15" x14ac:dyDescent="0.3">
      <c r="A879" t="s">
        <v>899</v>
      </c>
      <c r="B879" s="2">
        <v>42608</v>
      </c>
      <c r="C879" s="7">
        <v>0.4680555555555555</v>
      </c>
      <c r="D879" t="s">
        <v>900</v>
      </c>
      <c r="E879" s="2">
        <v>42608</v>
      </c>
      <c r="F879" s="8">
        <v>0.47638888888888892</v>
      </c>
      <c r="G879" t="s">
        <v>7</v>
      </c>
      <c r="H879" s="7">
        <f t="shared" si="140"/>
        <v>8.3333333333334147E-3</v>
      </c>
      <c r="I879" s="13">
        <f t="shared" si="141"/>
        <v>0.2</v>
      </c>
      <c r="J879" t="s">
        <v>72</v>
      </c>
      <c r="K879" t="s">
        <v>72</v>
      </c>
      <c r="L879">
        <v>3.8</v>
      </c>
      <c r="M879" s="5">
        <f t="shared" si="142"/>
        <v>18.999999999999996</v>
      </c>
      <c r="O879" t="str">
        <f t="shared" si="143"/>
        <v>No Purpose</v>
      </c>
    </row>
    <row r="880" spans="1:15" x14ac:dyDescent="0.3">
      <c r="A880" t="s">
        <v>901</v>
      </c>
      <c r="B880" s="2">
        <v>42608</v>
      </c>
      <c r="C880" s="7">
        <v>0.50694444444444442</v>
      </c>
      <c r="D880" t="s">
        <v>902</v>
      </c>
      <c r="E880" s="2">
        <v>42608</v>
      </c>
      <c r="F880" s="8">
        <v>0.51388888888888895</v>
      </c>
      <c r="G880" t="s">
        <v>7</v>
      </c>
      <c r="H880" s="7">
        <f t="shared" si="140"/>
        <v>6.9444444444445308E-3</v>
      </c>
      <c r="I880" s="13">
        <f t="shared" si="141"/>
        <v>0.16666666666666666</v>
      </c>
      <c r="J880" t="s">
        <v>72</v>
      </c>
      <c r="K880" t="s">
        <v>894</v>
      </c>
      <c r="L880">
        <v>3.9</v>
      </c>
      <c r="M880" s="5">
        <f t="shared" si="142"/>
        <v>23.400000000000002</v>
      </c>
      <c r="O880" t="str">
        <f t="shared" si="143"/>
        <v>No Purpose</v>
      </c>
    </row>
    <row r="881" spans="1:15" x14ac:dyDescent="0.3">
      <c r="A881" t="s">
        <v>903</v>
      </c>
      <c r="B881" s="2">
        <v>42608</v>
      </c>
      <c r="C881" s="7">
        <v>0.59027777777777779</v>
      </c>
      <c r="D881" t="s">
        <v>904</v>
      </c>
      <c r="E881" s="2">
        <v>42608</v>
      </c>
      <c r="F881" s="8">
        <v>0.60625000000000007</v>
      </c>
      <c r="G881" t="s">
        <v>7</v>
      </c>
      <c r="H881" s="7">
        <f t="shared" si="140"/>
        <v>1.5972222222222276E-2</v>
      </c>
      <c r="I881" s="13">
        <f t="shared" si="141"/>
        <v>0.38333333333333336</v>
      </c>
      <c r="J881" t="s">
        <v>894</v>
      </c>
      <c r="K881" t="s">
        <v>894</v>
      </c>
      <c r="L881">
        <v>7.4</v>
      </c>
      <c r="M881" s="5">
        <f t="shared" si="142"/>
        <v>19.304347826086957</v>
      </c>
      <c r="O881" t="str">
        <f t="shared" si="143"/>
        <v>No Purpose</v>
      </c>
    </row>
    <row r="882" spans="1:15" x14ac:dyDescent="0.3">
      <c r="A882" t="s">
        <v>905</v>
      </c>
      <c r="B882" s="2">
        <v>42608</v>
      </c>
      <c r="C882" s="7">
        <v>0.64097222222222217</v>
      </c>
      <c r="D882" t="s">
        <v>906</v>
      </c>
      <c r="E882" s="2">
        <v>42608</v>
      </c>
      <c r="F882" s="8">
        <v>0.64930555555555558</v>
      </c>
      <c r="G882" t="s">
        <v>7</v>
      </c>
      <c r="H882" s="7">
        <f t="shared" si="140"/>
        <v>8.3333333333334147E-3</v>
      </c>
      <c r="I882" s="13">
        <f t="shared" si="141"/>
        <v>0.2</v>
      </c>
      <c r="J882" t="s">
        <v>894</v>
      </c>
      <c r="K882" t="s">
        <v>894</v>
      </c>
      <c r="L882">
        <v>1.5</v>
      </c>
      <c r="M882" s="5">
        <f t="shared" si="142"/>
        <v>7.5</v>
      </c>
      <c r="O882" t="str">
        <f t="shared" si="143"/>
        <v>No Purpose</v>
      </c>
    </row>
    <row r="883" spans="1:15" x14ac:dyDescent="0.3">
      <c r="A883" t="s">
        <v>907</v>
      </c>
      <c r="B883" s="2">
        <v>42608</v>
      </c>
      <c r="C883" s="7">
        <v>0.66597222222222219</v>
      </c>
      <c r="D883" t="s">
        <v>908</v>
      </c>
      <c r="E883" s="2">
        <v>42608</v>
      </c>
      <c r="F883" s="8">
        <v>0.68333333333333324</v>
      </c>
      <c r="G883" t="s">
        <v>7</v>
      </c>
      <c r="H883" s="7">
        <f t="shared" si="140"/>
        <v>1.7361111111111049E-2</v>
      </c>
      <c r="I883" s="13">
        <f t="shared" si="141"/>
        <v>0.41666666666666669</v>
      </c>
      <c r="J883" t="s">
        <v>894</v>
      </c>
      <c r="K883" t="s">
        <v>72</v>
      </c>
      <c r="L883">
        <v>7.9</v>
      </c>
      <c r="M883" s="5">
        <f t="shared" si="142"/>
        <v>18.96</v>
      </c>
      <c r="O883" t="str">
        <f t="shared" si="143"/>
        <v>No Purpose</v>
      </c>
    </row>
    <row r="884" spans="1:15" x14ac:dyDescent="0.3">
      <c r="A884" t="s">
        <v>909</v>
      </c>
      <c r="B884" s="2">
        <v>42608</v>
      </c>
      <c r="C884" s="7">
        <v>0.70486111111111116</v>
      </c>
      <c r="D884" t="s">
        <v>910</v>
      </c>
      <c r="E884" s="2">
        <v>42608</v>
      </c>
      <c r="F884" s="8">
        <v>0.71666666666666667</v>
      </c>
      <c r="G884" t="s">
        <v>7</v>
      </c>
      <c r="H884" s="7">
        <f t="shared" si="140"/>
        <v>1.1805555555555514E-2</v>
      </c>
      <c r="I884" s="13">
        <f t="shared" si="141"/>
        <v>0.28333333333333333</v>
      </c>
      <c r="J884" t="s">
        <v>72</v>
      </c>
      <c r="K884" t="s">
        <v>894</v>
      </c>
      <c r="L884">
        <v>2.9</v>
      </c>
      <c r="M884" s="5">
        <f t="shared" si="142"/>
        <v>10.235294117647058</v>
      </c>
      <c r="O884" t="str">
        <f t="shared" si="143"/>
        <v>No Purpose</v>
      </c>
    </row>
    <row r="885" spans="1:15" x14ac:dyDescent="0.3">
      <c r="A885" t="s">
        <v>911</v>
      </c>
      <c r="B885" s="2">
        <v>42608</v>
      </c>
      <c r="C885" s="7">
        <v>0.77916666666666667</v>
      </c>
      <c r="D885" t="s">
        <v>912</v>
      </c>
      <c r="E885" s="2">
        <v>42608</v>
      </c>
      <c r="F885" s="8">
        <v>0.78888888888888886</v>
      </c>
      <c r="G885" t="s">
        <v>7</v>
      </c>
      <c r="H885" s="7">
        <f t="shared" si="140"/>
        <v>9.7222222222221877E-3</v>
      </c>
      <c r="I885" s="13">
        <f t="shared" si="141"/>
        <v>0.23333333333333334</v>
      </c>
      <c r="J885" t="s">
        <v>894</v>
      </c>
      <c r="K885" t="s">
        <v>894</v>
      </c>
      <c r="L885">
        <v>3.4</v>
      </c>
      <c r="M885" s="5">
        <f t="shared" si="142"/>
        <v>14.571428571428571</v>
      </c>
      <c r="O885" t="str">
        <f t="shared" si="143"/>
        <v>No Purpose</v>
      </c>
    </row>
    <row r="886" spans="1:15" x14ac:dyDescent="0.3">
      <c r="A886" t="s">
        <v>913</v>
      </c>
      <c r="B886" s="2">
        <v>42608</v>
      </c>
      <c r="C886" s="7">
        <v>0.81319444444444444</v>
      </c>
      <c r="D886" t="s">
        <v>914</v>
      </c>
      <c r="E886" s="2">
        <v>42608</v>
      </c>
      <c r="F886" s="8">
        <v>0.82916666666666661</v>
      </c>
      <c r="G886" t="s">
        <v>7</v>
      </c>
      <c r="H886" s="7">
        <f t="shared" si="140"/>
        <v>1.5972222222222165E-2</v>
      </c>
      <c r="I886" s="13">
        <f t="shared" si="141"/>
        <v>0.38333333333333336</v>
      </c>
      <c r="J886" t="s">
        <v>894</v>
      </c>
      <c r="K886" t="s">
        <v>894</v>
      </c>
      <c r="L886">
        <v>3.8</v>
      </c>
      <c r="M886" s="5">
        <f t="shared" si="142"/>
        <v>9.9130434782608692</v>
      </c>
      <c r="O886" t="str">
        <f t="shared" si="143"/>
        <v>No Purpose</v>
      </c>
    </row>
    <row r="887" spans="1:15" x14ac:dyDescent="0.3">
      <c r="A887" t="s">
        <v>915</v>
      </c>
      <c r="B887" s="2">
        <v>42608</v>
      </c>
      <c r="C887" s="7">
        <v>0.83750000000000002</v>
      </c>
      <c r="D887" t="s">
        <v>916</v>
      </c>
      <c r="E887" s="2">
        <v>42608</v>
      </c>
      <c r="F887" s="8">
        <v>0.84444444444444444</v>
      </c>
      <c r="G887" t="s">
        <v>7</v>
      </c>
      <c r="H887" s="7">
        <f t="shared" si="140"/>
        <v>6.9444444444444198E-3</v>
      </c>
      <c r="I887" s="13">
        <f t="shared" si="141"/>
        <v>0.16666666666666666</v>
      </c>
      <c r="J887" t="s">
        <v>894</v>
      </c>
      <c r="K887" t="s">
        <v>72</v>
      </c>
      <c r="L887">
        <v>5.9</v>
      </c>
      <c r="M887" s="5">
        <f t="shared" si="142"/>
        <v>35.400000000000006</v>
      </c>
      <c r="O887" t="str">
        <f t="shared" si="143"/>
        <v>No Purpose</v>
      </c>
    </row>
    <row r="888" spans="1:15" x14ac:dyDescent="0.3">
      <c r="A888" t="s">
        <v>917</v>
      </c>
      <c r="B888" s="2">
        <v>42609</v>
      </c>
      <c r="C888" s="7">
        <v>0.39861111111111108</v>
      </c>
      <c r="D888" t="s">
        <v>918</v>
      </c>
      <c r="E888" s="2">
        <v>42609</v>
      </c>
      <c r="F888" s="8">
        <v>0.42430555555555555</v>
      </c>
      <c r="G888" t="s">
        <v>7</v>
      </c>
      <c r="H888" s="7">
        <f t="shared" si="140"/>
        <v>2.5694444444444464E-2</v>
      </c>
      <c r="I888" s="13">
        <f t="shared" si="141"/>
        <v>0.6166666666666667</v>
      </c>
      <c r="J888" t="s">
        <v>72</v>
      </c>
      <c r="K888" t="s">
        <v>894</v>
      </c>
      <c r="L888">
        <v>9.6</v>
      </c>
      <c r="M888" s="5">
        <f t="shared" si="142"/>
        <v>15.567567567567567</v>
      </c>
      <c r="O888" t="str">
        <f t="shared" si="143"/>
        <v>No Purpose</v>
      </c>
    </row>
    <row r="889" spans="1:15" x14ac:dyDescent="0.3">
      <c r="A889" t="s">
        <v>919</v>
      </c>
      <c r="B889" s="2">
        <v>42609</v>
      </c>
      <c r="C889" s="7">
        <v>0.4909722222222222</v>
      </c>
      <c r="D889" t="s">
        <v>920</v>
      </c>
      <c r="E889" s="2">
        <v>42609</v>
      </c>
      <c r="F889" s="8">
        <v>0.50416666666666665</v>
      </c>
      <c r="G889" t="s">
        <v>7</v>
      </c>
      <c r="H889" s="7">
        <f t="shared" si="140"/>
        <v>1.3194444444444453E-2</v>
      </c>
      <c r="I889" s="13">
        <f t="shared" si="141"/>
        <v>0.31666666666666665</v>
      </c>
      <c r="J889" t="s">
        <v>894</v>
      </c>
      <c r="K889" t="s">
        <v>894</v>
      </c>
      <c r="L889">
        <v>7</v>
      </c>
      <c r="M889" s="5">
        <f t="shared" si="142"/>
        <v>22.105263157894736</v>
      </c>
      <c r="O889" t="str">
        <f t="shared" si="143"/>
        <v>No Purpose</v>
      </c>
    </row>
    <row r="890" spans="1:15" x14ac:dyDescent="0.3">
      <c r="A890" t="s">
        <v>921</v>
      </c>
      <c r="B890" s="2">
        <v>42609</v>
      </c>
      <c r="C890" s="7">
        <v>0.5083333333333333</v>
      </c>
      <c r="D890" t="s">
        <v>922</v>
      </c>
      <c r="E890" s="2">
        <v>42609</v>
      </c>
      <c r="F890" s="8">
        <v>0.51180555555555551</v>
      </c>
      <c r="G890" t="s">
        <v>7</v>
      </c>
      <c r="H890" s="7">
        <f t="shared" si="140"/>
        <v>3.4722222222222099E-3</v>
      </c>
      <c r="I890" s="13">
        <f t="shared" si="141"/>
        <v>8.3333333333333329E-2</v>
      </c>
      <c r="J890" t="s">
        <v>894</v>
      </c>
      <c r="K890" t="s">
        <v>894</v>
      </c>
      <c r="L890">
        <v>0.9</v>
      </c>
      <c r="M890" s="5">
        <f t="shared" si="142"/>
        <v>10.8</v>
      </c>
      <c r="O890" t="str">
        <f t="shared" si="143"/>
        <v>No Purpose</v>
      </c>
    </row>
    <row r="891" spans="1:15" x14ac:dyDescent="0.3">
      <c r="A891" t="s">
        <v>923</v>
      </c>
      <c r="B891" s="2">
        <v>42609</v>
      </c>
      <c r="C891" s="7">
        <v>0.58402777777777781</v>
      </c>
      <c r="D891" t="s">
        <v>924</v>
      </c>
      <c r="E891" s="2">
        <v>42609</v>
      </c>
      <c r="F891" s="8">
        <v>0.65555555555555556</v>
      </c>
      <c r="G891" t="s">
        <v>7</v>
      </c>
      <c r="H891" s="7">
        <f t="shared" si="140"/>
        <v>7.1527777777777746E-2</v>
      </c>
      <c r="I891" s="13">
        <f t="shared" si="141"/>
        <v>1.7166666666666666</v>
      </c>
      <c r="J891" t="s">
        <v>894</v>
      </c>
      <c r="K891" t="s">
        <v>72</v>
      </c>
      <c r="L891">
        <v>86.6</v>
      </c>
      <c r="M891" s="5">
        <f t="shared" si="142"/>
        <v>50.446601941747574</v>
      </c>
      <c r="O891" t="str">
        <f t="shared" si="143"/>
        <v>No Purpose</v>
      </c>
    </row>
    <row r="892" spans="1:15" x14ac:dyDescent="0.3">
      <c r="A892" t="s">
        <v>925</v>
      </c>
      <c r="B892" s="2">
        <v>42609</v>
      </c>
      <c r="C892" s="7">
        <v>0.67708333333333337</v>
      </c>
      <c r="D892" t="s">
        <v>926</v>
      </c>
      <c r="E892" s="2">
        <v>42609</v>
      </c>
      <c r="F892" s="8">
        <v>0.80069444444444438</v>
      </c>
      <c r="G892" t="s">
        <v>7</v>
      </c>
      <c r="H892" s="7">
        <f t="shared" si="140"/>
        <v>0.12361111111111101</v>
      </c>
      <c r="I892" s="13">
        <f t="shared" si="141"/>
        <v>2.9666666666666668</v>
      </c>
      <c r="J892" t="s">
        <v>72</v>
      </c>
      <c r="K892" t="s">
        <v>72</v>
      </c>
      <c r="L892">
        <v>156.9</v>
      </c>
      <c r="M892" s="5">
        <f t="shared" si="142"/>
        <v>52.887640449438202</v>
      </c>
      <c r="O892" t="str">
        <f t="shared" si="143"/>
        <v>No Purpose</v>
      </c>
    </row>
    <row r="893" spans="1:15" x14ac:dyDescent="0.3">
      <c r="A893" t="s">
        <v>927</v>
      </c>
      <c r="B893" s="2">
        <v>42610</v>
      </c>
      <c r="C893" s="7">
        <v>0.4145833333333333</v>
      </c>
      <c r="D893" t="s">
        <v>928</v>
      </c>
      <c r="E893" s="2">
        <v>42610</v>
      </c>
      <c r="F893" s="8">
        <v>0.4291666666666667</v>
      </c>
      <c r="G893" t="s">
        <v>7</v>
      </c>
      <c r="H893" s="7">
        <f t="shared" si="140"/>
        <v>1.4583333333333393E-2</v>
      </c>
      <c r="I893" s="13">
        <f t="shared" si="141"/>
        <v>0.35</v>
      </c>
      <c r="J893" t="s">
        <v>72</v>
      </c>
      <c r="K893" t="s">
        <v>119</v>
      </c>
      <c r="L893">
        <v>10.1</v>
      </c>
      <c r="M893" s="5">
        <f t="shared" si="142"/>
        <v>28.857142857142858</v>
      </c>
      <c r="O893" t="str">
        <f t="shared" si="143"/>
        <v>No Purpose</v>
      </c>
    </row>
    <row r="894" spans="1:15" x14ac:dyDescent="0.3">
      <c r="A894" t="s">
        <v>929</v>
      </c>
      <c r="B894" s="2">
        <v>42610</v>
      </c>
      <c r="C894" s="7">
        <v>0.69374999999999998</v>
      </c>
      <c r="D894" t="s">
        <v>930</v>
      </c>
      <c r="E894" s="2">
        <v>42610</v>
      </c>
      <c r="F894" s="8">
        <v>0.70486111111111116</v>
      </c>
      <c r="G894" t="s">
        <v>7</v>
      </c>
      <c r="H894" s="7">
        <f t="shared" si="140"/>
        <v>1.1111111111111183E-2</v>
      </c>
      <c r="I894" s="13">
        <f t="shared" si="141"/>
        <v>0.26666666666666666</v>
      </c>
      <c r="J894" t="s">
        <v>119</v>
      </c>
      <c r="K894" t="s">
        <v>88</v>
      </c>
      <c r="L894">
        <v>6.2</v>
      </c>
      <c r="M894" s="5">
        <f t="shared" si="142"/>
        <v>23.25</v>
      </c>
      <c r="O894" t="str">
        <f t="shared" si="143"/>
        <v>No Purpose</v>
      </c>
    </row>
    <row r="895" spans="1:15" x14ac:dyDescent="0.3">
      <c r="A895" t="s">
        <v>931</v>
      </c>
      <c r="B895" s="2">
        <v>42610</v>
      </c>
      <c r="C895" s="7">
        <v>0.73402777777777783</v>
      </c>
      <c r="D895" t="s">
        <v>932</v>
      </c>
      <c r="E895" s="2">
        <v>42610</v>
      </c>
      <c r="F895" s="8">
        <v>0.74652777777777779</v>
      </c>
      <c r="G895" t="s">
        <v>7</v>
      </c>
      <c r="H895" s="7">
        <f t="shared" si="140"/>
        <v>1.2499999999999956E-2</v>
      </c>
      <c r="I895" s="13">
        <f t="shared" si="141"/>
        <v>0.3</v>
      </c>
      <c r="J895" t="s">
        <v>88</v>
      </c>
      <c r="K895" t="s">
        <v>88</v>
      </c>
      <c r="L895">
        <v>5.3</v>
      </c>
      <c r="M895" s="5">
        <f t="shared" si="142"/>
        <v>17.666666666666668</v>
      </c>
      <c r="O895" t="str">
        <f t="shared" si="143"/>
        <v>No Purpose</v>
      </c>
    </row>
    <row r="896" spans="1:15" x14ac:dyDescent="0.3">
      <c r="A896" t="s">
        <v>933</v>
      </c>
      <c r="B896" s="2">
        <v>42610</v>
      </c>
      <c r="C896" s="7">
        <v>0.88541666666666663</v>
      </c>
      <c r="D896" t="s">
        <v>934</v>
      </c>
      <c r="E896" s="2">
        <v>42610</v>
      </c>
      <c r="F896" s="8">
        <v>0.9159722222222223</v>
      </c>
      <c r="G896" t="s">
        <v>7</v>
      </c>
      <c r="H896" s="7">
        <f t="shared" si="140"/>
        <v>3.0555555555555669E-2</v>
      </c>
      <c r="I896" s="13">
        <f t="shared" si="141"/>
        <v>0.73333333333333328</v>
      </c>
      <c r="J896" t="s">
        <v>88</v>
      </c>
      <c r="K896" t="s">
        <v>72</v>
      </c>
      <c r="L896">
        <v>12.1</v>
      </c>
      <c r="M896" s="5">
        <f t="shared" si="142"/>
        <v>16.5</v>
      </c>
      <c r="O896" t="str">
        <f t="shared" si="143"/>
        <v>No Purpose</v>
      </c>
    </row>
    <row r="897" spans="1:15" x14ac:dyDescent="0.3">
      <c r="A897" t="s">
        <v>935</v>
      </c>
      <c r="B897" s="2">
        <v>42611</v>
      </c>
      <c r="C897" s="7">
        <v>0.50138888888888888</v>
      </c>
      <c r="D897" t="s">
        <v>936</v>
      </c>
      <c r="E897" s="2">
        <v>42611</v>
      </c>
      <c r="F897" s="8">
        <v>0.52152777777777781</v>
      </c>
      <c r="G897" t="s">
        <v>7</v>
      </c>
      <c r="H897" s="7">
        <f t="shared" si="140"/>
        <v>2.0138888888888928E-2</v>
      </c>
      <c r="I897" s="13">
        <f t="shared" si="141"/>
        <v>0.48333333333333334</v>
      </c>
      <c r="J897" t="s">
        <v>72</v>
      </c>
      <c r="K897" t="s">
        <v>88</v>
      </c>
      <c r="L897">
        <v>10.8</v>
      </c>
      <c r="M897" s="5">
        <f t="shared" si="142"/>
        <v>22.344827586206897</v>
      </c>
      <c r="O897" t="str">
        <f t="shared" si="143"/>
        <v>No Purpose</v>
      </c>
    </row>
    <row r="898" spans="1:15" x14ac:dyDescent="0.3">
      <c r="A898" t="s">
        <v>937</v>
      </c>
      <c r="B898" s="2">
        <v>42611</v>
      </c>
      <c r="C898" s="7">
        <v>0.56805555555555554</v>
      </c>
      <c r="D898" t="s">
        <v>938</v>
      </c>
      <c r="E898" s="2">
        <v>42611</v>
      </c>
      <c r="F898" s="8">
        <v>0.57500000000000007</v>
      </c>
      <c r="G898" t="s">
        <v>7</v>
      </c>
      <c r="H898" s="7">
        <f t="shared" ref="H898:H961" si="144">IF(F898&gt;C898,F898-C898,F898-C898+1)</f>
        <v>6.9444444444445308E-3</v>
      </c>
      <c r="I898" s="13">
        <f t="shared" ref="I898:I961" si="145">(HOUR(H898)*60+MINUTE(H898))/60</f>
        <v>0.16666666666666666</v>
      </c>
      <c r="J898" t="s">
        <v>88</v>
      </c>
      <c r="K898" t="s">
        <v>88</v>
      </c>
      <c r="L898">
        <v>4.3</v>
      </c>
      <c r="M898" s="5">
        <f t="shared" ref="M898:M961" si="146">L898/I898</f>
        <v>25.8</v>
      </c>
      <c r="O898" t="str">
        <f t="shared" ref="O898:O961" si="147">IF(ISBLANK($N898),"No Purpose",$N898)</f>
        <v>No Purpose</v>
      </c>
    </row>
    <row r="899" spans="1:15" x14ac:dyDescent="0.3">
      <c r="A899" t="s">
        <v>939</v>
      </c>
      <c r="B899" s="2">
        <v>42611</v>
      </c>
      <c r="C899" s="7">
        <v>0.60486111111111118</v>
      </c>
      <c r="D899" t="s">
        <v>940</v>
      </c>
      <c r="E899" s="2">
        <v>42611</v>
      </c>
      <c r="F899" s="8">
        <v>0.6118055555555556</v>
      </c>
      <c r="G899" t="s">
        <v>7</v>
      </c>
      <c r="H899" s="7">
        <f t="shared" si="144"/>
        <v>6.9444444444444198E-3</v>
      </c>
      <c r="I899" s="13">
        <f t="shared" si="145"/>
        <v>0.16666666666666666</v>
      </c>
      <c r="J899" t="s">
        <v>88</v>
      </c>
      <c r="K899" t="s">
        <v>88</v>
      </c>
      <c r="L899">
        <v>2.5</v>
      </c>
      <c r="M899" s="5">
        <f t="shared" si="146"/>
        <v>15</v>
      </c>
      <c r="O899" t="str">
        <f t="shared" si="147"/>
        <v>No Purpose</v>
      </c>
    </row>
    <row r="900" spans="1:15" x14ac:dyDescent="0.3">
      <c r="A900" t="s">
        <v>943</v>
      </c>
      <c r="B900" s="2">
        <v>42611</v>
      </c>
      <c r="C900" s="7">
        <v>0.65902777777777777</v>
      </c>
      <c r="D900" t="s">
        <v>944</v>
      </c>
      <c r="E900" s="2">
        <v>42611</v>
      </c>
      <c r="F900" s="8">
        <v>0.66597222222222219</v>
      </c>
      <c r="G900" t="s">
        <v>7</v>
      </c>
      <c r="H900" s="7">
        <f t="shared" si="144"/>
        <v>6.9444444444444198E-3</v>
      </c>
      <c r="I900" s="13">
        <f t="shared" si="145"/>
        <v>0.16666666666666666</v>
      </c>
      <c r="J900" t="s">
        <v>72</v>
      </c>
      <c r="K900" t="s">
        <v>88</v>
      </c>
      <c r="L900">
        <v>2.8</v>
      </c>
      <c r="M900" s="5">
        <f t="shared" si="146"/>
        <v>16.8</v>
      </c>
      <c r="O900" t="str">
        <f t="shared" si="147"/>
        <v>No Purpose</v>
      </c>
    </row>
    <row r="901" spans="1:15" x14ac:dyDescent="0.3">
      <c r="A901" t="s">
        <v>945</v>
      </c>
      <c r="B901" s="2">
        <v>42611</v>
      </c>
      <c r="C901" s="7">
        <v>0.67083333333333339</v>
      </c>
      <c r="D901" t="s">
        <v>946</v>
      </c>
      <c r="E901" s="2">
        <v>42611</v>
      </c>
      <c r="F901" s="8">
        <v>0.68125000000000002</v>
      </c>
      <c r="G901" t="s">
        <v>7</v>
      </c>
      <c r="H901" s="7">
        <f t="shared" si="144"/>
        <v>1.041666666666663E-2</v>
      </c>
      <c r="I901" s="13">
        <f t="shared" si="145"/>
        <v>0.25</v>
      </c>
      <c r="J901" t="s">
        <v>88</v>
      </c>
      <c r="K901" t="s">
        <v>72</v>
      </c>
      <c r="L901">
        <v>4</v>
      </c>
      <c r="M901" s="5">
        <f t="shared" si="146"/>
        <v>16</v>
      </c>
      <c r="O901" t="str">
        <f t="shared" si="147"/>
        <v>No Purpose</v>
      </c>
    </row>
    <row r="902" spans="1:15" x14ac:dyDescent="0.3">
      <c r="A902" t="s">
        <v>947</v>
      </c>
      <c r="B902" s="2">
        <v>42611</v>
      </c>
      <c r="C902" s="7">
        <v>0.72499999999999998</v>
      </c>
      <c r="D902" t="s">
        <v>948</v>
      </c>
      <c r="E902" s="2">
        <v>42611</v>
      </c>
      <c r="F902" s="8">
        <v>0.7368055555555556</v>
      </c>
      <c r="G902" t="s">
        <v>7</v>
      </c>
      <c r="H902" s="7">
        <f t="shared" si="144"/>
        <v>1.1805555555555625E-2</v>
      </c>
      <c r="I902" s="13">
        <f t="shared" si="145"/>
        <v>0.28333333333333333</v>
      </c>
      <c r="J902" t="s">
        <v>72</v>
      </c>
      <c r="K902" t="s">
        <v>88</v>
      </c>
      <c r="L902">
        <v>5.5</v>
      </c>
      <c r="M902" s="5">
        <f t="shared" si="146"/>
        <v>19.411764705882355</v>
      </c>
      <c r="O902" t="str">
        <f t="shared" si="147"/>
        <v>No Purpose</v>
      </c>
    </row>
    <row r="903" spans="1:15" x14ac:dyDescent="0.3">
      <c r="A903" t="s">
        <v>949</v>
      </c>
      <c r="B903" s="2">
        <v>42611</v>
      </c>
      <c r="C903" s="7">
        <v>0.76874999999999993</v>
      </c>
      <c r="D903" t="s">
        <v>950</v>
      </c>
      <c r="E903" s="2">
        <v>42611</v>
      </c>
      <c r="F903" s="8">
        <v>0.77500000000000002</v>
      </c>
      <c r="G903" t="s">
        <v>7</v>
      </c>
      <c r="H903" s="7">
        <f t="shared" si="144"/>
        <v>6.2500000000000888E-3</v>
      </c>
      <c r="I903" s="13">
        <f t="shared" si="145"/>
        <v>0.15</v>
      </c>
      <c r="J903" t="s">
        <v>88</v>
      </c>
      <c r="K903" t="s">
        <v>88</v>
      </c>
      <c r="L903">
        <v>2.6</v>
      </c>
      <c r="M903" s="5">
        <f t="shared" si="146"/>
        <v>17.333333333333336</v>
      </c>
      <c r="O903" t="str">
        <f t="shared" si="147"/>
        <v>No Purpose</v>
      </c>
    </row>
    <row r="904" spans="1:15" x14ac:dyDescent="0.3">
      <c r="A904" t="s">
        <v>951</v>
      </c>
      <c r="B904" s="2">
        <v>42612</v>
      </c>
      <c r="C904" s="7">
        <v>0.49513888888888885</v>
      </c>
      <c r="D904" t="s">
        <v>952</v>
      </c>
      <c r="E904" s="2">
        <v>42612</v>
      </c>
      <c r="F904" s="8">
        <v>0.50347222222222221</v>
      </c>
      <c r="G904" t="s">
        <v>7</v>
      </c>
      <c r="H904" s="7">
        <f t="shared" si="144"/>
        <v>8.3333333333333592E-3</v>
      </c>
      <c r="I904" s="13">
        <f t="shared" si="145"/>
        <v>0.2</v>
      </c>
      <c r="J904" t="s">
        <v>72</v>
      </c>
      <c r="K904" t="s">
        <v>72</v>
      </c>
      <c r="L904">
        <v>2.1</v>
      </c>
      <c r="M904" s="5">
        <f t="shared" si="146"/>
        <v>10.5</v>
      </c>
      <c r="O904" t="str">
        <f t="shared" si="147"/>
        <v>No Purpose</v>
      </c>
    </row>
    <row r="905" spans="1:15" x14ac:dyDescent="0.3">
      <c r="A905" t="s">
        <v>953</v>
      </c>
      <c r="B905" s="2">
        <v>42612</v>
      </c>
      <c r="C905" s="7">
        <v>0.53194444444444444</v>
      </c>
      <c r="D905" t="s">
        <v>954</v>
      </c>
      <c r="E905" s="2">
        <v>42612</v>
      </c>
      <c r="F905" s="8">
        <v>0.54791666666666672</v>
      </c>
      <c r="G905" t="s">
        <v>7</v>
      </c>
      <c r="H905" s="7">
        <f t="shared" si="144"/>
        <v>1.5972222222222276E-2</v>
      </c>
      <c r="I905" s="13">
        <f t="shared" si="145"/>
        <v>0.38333333333333336</v>
      </c>
      <c r="J905" t="s">
        <v>72</v>
      </c>
      <c r="K905" t="s">
        <v>88</v>
      </c>
      <c r="L905">
        <v>8.8000000000000007</v>
      </c>
      <c r="M905" s="5">
        <f t="shared" si="146"/>
        <v>22.956521739130434</v>
      </c>
      <c r="O905" t="str">
        <f t="shared" si="147"/>
        <v>No Purpose</v>
      </c>
    </row>
    <row r="906" spans="1:15" x14ac:dyDescent="0.3">
      <c r="A906" t="s">
        <v>955</v>
      </c>
      <c r="B906" s="2">
        <v>42612</v>
      </c>
      <c r="C906" s="7">
        <v>0.55902777777777779</v>
      </c>
      <c r="D906" t="s">
        <v>956</v>
      </c>
      <c r="E906" s="2">
        <v>42612</v>
      </c>
      <c r="F906" s="8">
        <v>0.57361111111111118</v>
      </c>
      <c r="G906" t="s">
        <v>7</v>
      </c>
      <c r="H906" s="7">
        <f t="shared" si="144"/>
        <v>1.4583333333333393E-2</v>
      </c>
      <c r="I906" s="13">
        <f t="shared" si="145"/>
        <v>0.35</v>
      </c>
      <c r="J906" t="s">
        <v>88</v>
      </c>
      <c r="K906" t="s">
        <v>88</v>
      </c>
      <c r="L906">
        <v>4.4000000000000004</v>
      </c>
      <c r="M906" s="5">
        <f t="shared" si="146"/>
        <v>12.571428571428573</v>
      </c>
      <c r="O906" t="str">
        <f t="shared" si="147"/>
        <v>No Purpose</v>
      </c>
    </row>
    <row r="907" spans="1:15" x14ac:dyDescent="0.3">
      <c r="A907" t="s">
        <v>957</v>
      </c>
      <c r="B907" s="2">
        <v>42612</v>
      </c>
      <c r="C907" s="7">
        <v>0.58333333333333337</v>
      </c>
      <c r="D907" t="s">
        <v>958</v>
      </c>
      <c r="E907" s="2">
        <v>42612</v>
      </c>
      <c r="F907" s="8">
        <v>0.59722222222222221</v>
      </c>
      <c r="G907" t="s">
        <v>7</v>
      </c>
      <c r="H907" s="7">
        <f t="shared" si="144"/>
        <v>1.388888888888884E-2</v>
      </c>
      <c r="I907" s="13">
        <f t="shared" si="145"/>
        <v>0.33333333333333331</v>
      </c>
      <c r="J907" t="s">
        <v>88</v>
      </c>
      <c r="K907" t="s">
        <v>72</v>
      </c>
      <c r="L907">
        <v>5.3</v>
      </c>
      <c r="M907" s="5">
        <f t="shared" si="146"/>
        <v>15.9</v>
      </c>
      <c r="O907" t="str">
        <f t="shared" si="147"/>
        <v>No Purpose</v>
      </c>
    </row>
    <row r="908" spans="1:15" x14ac:dyDescent="0.3">
      <c r="A908" t="s">
        <v>959</v>
      </c>
      <c r="B908" s="2">
        <v>42612</v>
      </c>
      <c r="C908" s="7">
        <v>0.7270833333333333</v>
      </c>
      <c r="D908" t="s">
        <v>960</v>
      </c>
      <c r="E908" s="2">
        <v>42612</v>
      </c>
      <c r="F908" s="8">
        <v>0.75624999999999998</v>
      </c>
      <c r="G908" t="s">
        <v>7</v>
      </c>
      <c r="H908" s="7">
        <f t="shared" si="144"/>
        <v>2.9166666666666674E-2</v>
      </c>
      <c r="I908" s="13">
        <f t="shared" si="145"/>
        <v>0.7</v>
      </c>
      <c r="J908" t="s">
        <v>72</v>
      </c>
      <c r="K908" t="s">
        <v>72</v>
      </c>
      <c r="L908">
        <v>13</v>
      </c>
      <c r="M908" s="5">
        <f t="shared" si="146"/>
        <v>18.571428571428573</v>
      </c>
      <c r="O908" t="str">
        <f t="shared" si="147"/>
        <v>No Purpose</v>
      </c>
    </row>
    <row r="909" spans="1:15" x14ac:dyDescent="0.3">
      <c r="A909" s="1">
        <v>42378.493750000001</v>
      </c>
      <c r="B909" s="6">
        <f t="shared" ref="B909:B914" si="148">INT(A909:A946)</f>
        <v>42378</v>
      </c>
      <c r="C909" s="7">
        <f t="shared" ref="C909:C920" si="149">(A909-B909)</f>
        <v>0.49375000000145519</v>
      </c>
      <c r="D909" s="1">
        <v>42378.51666666667</v>
      </c>
      <c r="E909" s="6">
        <f t="shared" ref="E909:E920" si="150">INT(D909)</f>
        <v>42378</v>
      </c>
      <c r="F909" s="8">
        <f t="shared" ref="F909:F920" si="151">D909-E909</f>
        <v>0.51666666667006211</v>
      </c>
      <c r="G909" t="s">
        <v>7</v>
      </c>
      <c r="H909" s="7">
        <f t="shared" si="144"/>
        <v>2.2916666668606922E-2</v>
      </c>
      <c r="I909" s="13">
        <f t="shared" si="145"/>
        <v>0.55000000000000004</v>
      </c>
      <c r="J909" t="s">
        <v>72</v>
      </c>
      <c r="K909" t="s">
        <v>88</v>
      </c>
      <c r="L909">
        <v>13</v>
      </c>
      <c r="M909" s="5">
        <f t="shared" si="146"/>
        <v>23.636363636363633</v>
      </c>
      <c r="O909" t="str">
        <f t="shared" si="147"/>
        <v>No Purpose</v>
      </c>
    </row>
    <row r="910" spans="1:15" x14ac:dyDescent="0.3">
      <c r="A910" s="1">
        <v>42378.722916666666</v>
      </c>
      <c r="B910" s="6">
        <f t="shared" si="148"/>
        <v>42378</v>
      </c>
      <c r="C910" s="7">
        <f t="shared" si="149"/>
        <v>0.72291666666569654</v>
      </c>
      <c r="D910" s="1">
        <v>42378.73333333333</v>
      </c>
      <c r="E910" s="6">
        <f t="shared" si="150"/>
        <v>42378</v>
      </c>
      <c r="F910" s="8">
        <f t="shared" si="151"/>
        <v>0.73333333332993789</v>
      </c>
      <c r="G910" t="s">
        <v>7</v>
      </c>
      <c r="H910" s="7">
        <f t="shared" si="144"/>
        <v>1.0416666664241347E-2</v>
      </c>
      <c r="I910" s="13">
        <f t="shared" si="145"/>
        <v>0.25</v>
      </c>
      <c r="J910" t="s">
        <v>88</v>
      </c>
      <c r="K910" t="s">
        <v>72</v>
      </c>
      <c r="L910">
        <v>10.6</v>
      </c>
      <c r="M910" s="5">
        <f t="shared" si="146"/>
        <v>42.4</v>
      </c>
      <c r="O910" t="str">
        <f t="shared" si="147"/>
        <v>No Purpose</v>
      </c>
    </row>
    <row r="911" spans="1:15" x14ac:dyDescent="0.3">
      <c r="A911" s="1">
        <v>42378.78402777778</v>
      </c>
      <c r="B911" s="6">
        <f t="shared" si="148"/>
        <v>42378</v>
      </c>
      <c r="C911" s="7">
        <f t="shared" si="149"/>
        <v>0.78402777777955635</v>
      </c>
      <c r="D911" s="1">
        <v>42378.797222222223</v>
      </c>
      <c r="E911" s="6">
        <f t="shared" si="150"/>
        <v>42378</v>
      </c>
      <c r="F911" s="8">
        <f t="shared" si="151"/>
        <v>0.79722222222335404</v>
      </c>
      <c r="G911" t="s">
        <v>7</v>
      </c>
      <c r="H911" s="7">
        <f t="shared" si="144"/>
        <v>1.3194444443797693E-2</v>
      </c>
      <c r="I911" s="13">
        <f t="shared" si="145"/>
        <v>0.31666666666666665</v>
      </c>
      <c r="J911" t="s">
        <v>72</v>
      </c>
      <c r="K911" t="s">
        <v>72</v>
      </c>
      <c r="L911">
        <v>2.2000000000000002</v>
      </c>
      <c r="M911" s="5">
        <f t="shared" si="146"/>
        <v>6.9473684210526327</v>
      </c>
      <c r="O911" t="str">
        <f t="shared" si="147"/>
        <v>No Purpose</v>
      </c>
    </row>
    <row r="912" spans="1:15" x14ac:dyDescent="0.3">
      <c r="A912" s="1">
        <v>42409.484027777777</v>
      </c>
      <c r="B912" s="6">
        <f t="shared" si="148"/>
        <v>42409</v>
      </c>
      <c r="C912" s="7">
        <f t="shared" si="149"/>
        <v>0.48402777777664596</v>
      </c>
      <c r="D912" s="1">
        <v>42409.51666666667</v>
      </c>
      <c r="E912" s="6">
        <f t="shared" si="150"/>
        <v>42409</v>
      </c>
      <c r="F912" s="8">
        <f t="shared" si="151"/>
        <v>0.51666666667006211</v>
      </c>
      <c r="G912" t="s">
        <v>7</v>
      </c>
      <c r="H912" s="7">
        <f t="shared" si="144"/>
        <v>3.2638888893416151E-2</v>
      </c>
      <c r="I912" s="13">
        <f t="shared" si="145"/>
        <v>0.78333333333333333</v>
      </c>
      <c r="J912" t="s">
        <v>72</v>
      </c>
      <c r="K912" t="s">
        <v>88</v>
      </c>
      <c r="L912">
        <v>9.1999999999999993</v>
      </c>
      <c r="M912" s="5">
        <f t="shared" si="146"/>
        <v>11.74468085106383</v>
      </c>
      <c r="O912" t="str">
        <f t="shared" si="147"/>
        <v>No Purpose</v>
      </c>
    </row>
    <row r="913" spans="1:15" x14ac:dyDescent="0.3">
      <c r="A913" s="1">
        <v>42409.788888888892</v>
      </c>
      <c r="B913" s="6">
        <f t="shared" si="148"/>
        <v>42409</v>
      </c>
      <c r="C913" s="7">
        <f t="shared" si="149"/>
        <v>0.78888888889196096</v>
      </c>
      <c r="D913" s="1">
        <v>42409.817361111112</v>
      </c>
      <c r="E913" s="6">
        <f t="shared" si="150"/>
        <v>42409</v>
      </c>
      <c r="F913" s="8">
        <f t="shared" si="151"/>
        <v>0.81736111111240461</v>
      </c>
      <c r="G913" t="s">
        <v>7</v>
      </c>
      <c r="H913" s="7">
        <f t="shared" si="144"/>
        <v>2.8472222220443655E-2</v>
      </c>
      <c r="I913" s="13">
        <f t="shared" si="145"/>
        <v>0.68333333333333335</v>
      </c>
      <c r="J913" t="s">
        <v>72</v>
      </c>
      <c r="K913" t="s">
        <v>72</v>
      </c>
      <c r="L913">
        <v>12.9</v>
      </c>
      <c r="M913" s="5">
        <f t="shared" si="146"/>
        <v>18.878048780487806</v>
      </c>
      <c r="O913" t="str">
        <f t="shared" si="147"/>
        <v>No Purpose</v>
      </c>
    </row>
    <row r="914" spans="1:15" x14ac:dyDescent="0.3">
      <c r="A914" s="1">
        <v>42499.434027777781</v>
      </c>
      <c r="B914" s="6">
        <f t="shared" si="148"/>
        <v>42499</v>
      </c>
      <c r="C914" s="7">
        <f t="shared" si="149"/>
        <v>0.43402777778101154</v>
      </c>
      <c r="D914" s="1">
        <v>42499.447222222225</v>
      </c>
      <c r="E914" s="6">
        <f t="shared" si="150"/>
        <v>42499</v>
      </c>
      <c r="F914" s="8">
        <f t="shared" si="151"/>
        <v>0.44722222222480923</v>
      </c>
      <c r="G914" t="s">
        <v>7</v>
      </c>
      <c r="H914" s="7">
        <f t="shared" si="144"/>
        <v>1.3194444443797693E-2</v>
      </c>
      <c r="I914" s="13">
        <f t="shared" si="145"/>
        <v>0.31666666666666665</v>
      </c>
      <c r="J914" t="s">
        <v>72</v>
      </c>
      <c r="K914" t="s">
        <v>106</v>
      </c>
      <c r="L914">
        <v>17.2</v>
      </c>
      <c r="M914" s="5">
        <f t="shared" si="146"/>
        <v>54.315789473684212</v>
      </c>
      <c r="O914" t="str">
        <f t="shared" si="147"/>
        <v>No Purpose</v>
      </c>
    </row>
    <row r="915" spans="1:15" x14ac:dyDescent="0.3">
      <c r="A915" s="1">
        <v>42652.436111111114</v>
      </c>
      <c r="B915" s="6">
        <f t="shared" ref="B915:B920" si="152">INT(A915:A953)</f>
        <v>42652</v>
      </c>
      <c r="C915" s="7">
        <f t="shared" si="149"/>
        <v>0.43611111111385981</v>
      </c>
      <c r="D915" s="1">
        <v>42652.447916666664</v>
      </c>
      <c r="E915" s="6">
        <f t="shared" si="150"/>
        <v>42652</v>
      </c>
      <c r="F915" s="8">
        <f t="shared" si="151"/>
        <v>0.44791666666424135</v>
      </c>
      <c r="G915" t="s">
        <v>7</v>
      </c>
      <c r="H915" s="7">
        <f t="shared" si="144"/>
        <v>1.1805555550381541E-2</v>
      </c>
      <c r="I915" s="13">
        <f t="shared" si="145"/>
        <v>0.28333333333333333</v>
      </c>
      <c r="J915" t="s">
        <v>72</v>
      </c>
      <c r="K915" t="s">
        <v>72</v>
      </c>
      <c r="L915">
        <v>2.8</v>
      </c>
      <c r="M915" s="5">
        <f t="shared" si="146"/>
        <v>9.882352941176471</v>
      </c>
      <c r="O915" t="str">
        <f t="shared" si="147"/>
        <v>No Purpose</v>
      </c>
    </row>
    <row r="916" spans="1:15" x14ac:dyDescent="0.3">
      <c r="A916" s="1">
        <v>42683.410416666666</v>
      </c>
      <c r="B916" s="6">
        <f t="shared" si="152"/>
        <v>42683</v>
      </c>
      <c r="C916" s="7">
        <f t="shared" si="149"/>
        <v>0.41041666666569654</v>
      </c>
      <c r="D916" s="1">
        <v>42683.413194444445</v>
      </c>
      <c r="E916" s="6">
        <f t="shared" si="150"/>
        <v>42683</v>
      </c>
      <c r="F916" s="8">
        <f t="shared" si="151"/>
        <v>0.41319444444525288</v>
      </c>
      <c r="G916" t="s">
        <v>7</v>
      </c>
      <c r="H916" s="7">
        <f t="shared" si="144"/>
        <v>2.7777777795563452E-3</v>
      </c>
      <c r="I916" s="13">
        <f t="shared" si="145"/>
        <v>6.6666666666666666E-2</v>
      </c>
      <c r="J916" t="s">
        <v>72</v>
      </c>
      <c r="K916" t="s">
        <v>72</v>
      </c>
      <c r="L916">
        <v>8.6</v>
      </c>
      <c r="M916" s="5">
        <f t="shared" si="146"/>
        <v>129</v>
      </c>
      <c r="O916" t="str">
        <f t="shared" si="147"/>
        <v>No Purpose</v>
      </c>
    </row>
    <row r="917" spans="1:15" x14ac:dyDescent="0.3">
      <c r="A917" s="1">
        <v>42683.902777777781</v>
      </c>
      <c r="B917" s="6">
        <f t="shared" si="152"/>
        <v>42683</v>
      </c>
      <c r="C917" s="7">
        <f t="shared" si="149"/>
        <v>0.90277777778101154</v>
      </c>
      <c r="D917" s="1">
        <v>42683.904166666667</v>
      </c>
      <c r="E917" s="6">
        <f t="shared" si="150"/>
        <v>42683</v>
      </c>
      <c r="F917" s="8">
        <f t="shared" si="151"/>
        <v>0.90416666666715173</v>
      </c>
      <c r="G917" t="s">
        <v>7</v>
      </c>
      <c r="H917" s="7">
        <f t="shared" si="144"/>
        <v>1.3888888861401938E-3</v>
      </c>
      <c r="I917" s="13">
        <f t="shared" si="145"/>
        <v>3.3333333333333333E-2</v>
      </c>
      <c r="J917" t="s">
        <v>72</v>
      </c>
      <c r="K917" t="s">
        <v>72</v>
      </c>
      <c r="L917">
        <v>9.8000000000000007</v>
      </c>
      <c r="M917" s="5">
        <f t="shared" si="146"/>
        <v>294</v>
      </c>
      <c r="O917" t="str">
        <f t="shared" si="147"/>
        <v>No Purpose</v>
      </c>
    </row>
    <row r="918" spans="1:15" x14ac:dyDescent="0.3">
      <c r="A918" s="1">
        <v>42713.338194444441</v>
      </c>
      <c r="B918" s="6">
        <f t="shared" si="152"/>
        <v>42713</v>
      </c>
      <c r="C918" s="7">
        <f t="shared" si="149"/>
        <v>0.33819444444088731</v>
      </c>
      <c r="D918" s="1">
        <v>42713.341666666667</v>
      </c>
      <c r="E918" s="6">
        <f t="shared" si="150"/>
        <v>42713</v>
      </c>
      <c r="F918" s="8">
        <f t="shared" si="151"/>
        <v>0.34166666666715173</v>
      </c>
      <c r="G918" t="s">
        <v>7</v>
      </c>
      <c r="H918" s="7">
        <f t="shared" si="144"/>
        <v>3.4722222262644209E-3</v>
      </c>
      <c r="I918" s="13">
        <f t="shared" si="145"/>
        <v>8.3333333333333329E-2</v>
      </c>
      <c r="J918" t="s">
        <v>72</v>
      </c>
      <c r="K918" t="s">
        <v>72</v>
      </c>
      <c r="L918">
        <v>3.6</v>
      </c>
      <c r="M918" s="5">
        <f t="shared" si="146"/>
        <v>43.2</v>
      </c>
      <c r="O918" t="str">
        <f t="shared" si="147"/>
        <v>No Purpose</v>
      </c>
    </row>
    <row r="919" spans="1:15" x14ac:dyDescent="0.3">
      <c r="A919" s="1">
        <v>42713.46875</v>
      </c>
      <c r="B919" s="6">
        <f t="shared" si="152"/>
        <v>42713</v>
      </c>
      <c r="C919" s="7">
        <f t="shared" si="149"/>
        <v>0.46875</v>
      </c>
      <c r="D919" s="1">
        <v>42713.474999999999</v>
      </c>
      <c r="E919" s="6">
        <f t="shared" si="150"/>
        <v>42713</v>
      </c>
      <c r="F919" s="8">
        <f t="shared" si="151"/>
        <v>0.47499999999854481</v>
      </c>
      <c r="G919" t="s">
        <v>7</v>
      </c>
      <c r="H919" s="7">
        <f t="shared" si="144"/>
        <v>6.2499999985448085E-3</v>
      </c>
      <c r="I919" s="13">
        <f t="shared" si="145"/>
        <v>0.15</v>
      </c>
      <c r="J919" t="s">
        <v>72</v>
      </c>
      <c r="K919" t="s">
        <v>72</v>
      </c>
      <c r="L919">
        <v>1.7</v>
      </c>
      <c r="M919" s="5">
        <f t="shared" si="146"/>
        <v>11.333333333333334</v>
      </c>
      <c r="O919" t="str">
        <f t="shared" si="147"/>
        <v>No Purpose</v>
      </c>
    </row>
    <row r="920" spans="1:15" x14ac:dyDescent="0.3">
      <c r="A920" s="1">
        <v>42713.544444444444</v>
      </c>
      <c r="B920" s="6">
        <f t="shared" si="152"/>
        <v>42713</v>
      </c>
      <c r="C920" s="7">
        <f t="shared" si="149"/>
        <v>0.54444444444379769</v>
      </c>
      <c r="D920" s="1">
        <v>42713.572222222225</v>
      </c>
      <c r="E920" s="6">
        <f t="shared" si="150"/>
        <v>42713</v>
      </c>
      <c r="F920" s="8">
        <f t="shared" si="151"/>
        <v>0.57222222222480923</v>
      </c>
      <c r="G920" t="s">
        <v>7</v>
      </c>
      <c r="H920" s="7">
        <f t="shared" si="144"/>
        <v>2.7777777781011537E-2</v>
      </c>
      <c r="I920" s="13">
        <f t="shared" si="145"/>
        <v>0.66666666666666663</v>
      </c>
      <c r="J920" t="s">
        <v>72</v>
      </c>
      <c r="K920" t="s">
        <v>72</v>
      </c>
      <c r="L920">
        <v>11.5</v>
      </c>
      <c r="M920" s="5">
        <f t="shared" si="146"/>
        <v>17.25</v>
      </c>
      <c r="O920" t="str">
        <f t="shared" si="147"/>
        <v>No Purpose</v>
      </c>
    </row>
    <row r="921" spans="1:15" x14ac:dyDescent="0.3">
      <c r="A921" t="s">
        <v>961</v>
      </c>
      <c r="B921" s="2">
        <v>42626</v>
      </c>
      <c r="C921" s="7">
        <v>0.7055555555555556</v>
      </c>
      <c r="D921" t="s">
        <v>962</v>
      </c>
      <c r="E921" s="2">
        <v>42626</v>
      </c>
      <c r="F921" s="8">
        <v>0.70972222222222225</v>
      </c>
      <c r="G921" t="s">
        <v>7</v>
      </c>
      <c r="H921" s="7">
        <f t="shared" si="144"/>
        <v>4.1666666666666519E-3</v>
      </c>
      <c r="I921" s="13">
        <f t="shared" si="145"/>
        <v>0.1</v>
      </c>
      <c r="J921" t="s">
        <v>72</v>
      </c>
      <c r="K921" t="s">
        <v>72</v>
      </c>
      <c r="L921">
        <v>0.7</v>
      </c>
      <c r="M921" s="5">
        <f t="shared" si="146"/>
        <v>6.9999999999999991</v>
      </c>
      <c r="O921" t="str">
        <f t="shared" si="147"/>
        <v>No Purpose</v>
      </c>
    </row>
    <row r="922" spans="1:15" x14ac:dyDescent="0.3">
      <c r="A922" t="s">
        <v>963</v>
      </c>
      <c r="B922" s="2">
        <v>42627</v>
      </c>
      <c r="C922" s="7">
        <v>0.49652777777777773</v>
      </c>
      <c r="D922" t="s">
        <v>964</v>
      </c>
      <c r="E922" s="2">
        <v>42627</v>
      </c>
      <c r="F922" s="8">
        <v>0.4993055555555555</v>
      </c>
      <c r="G922" t="s">
        <v>7</v>
      </c>
      <c r="H922" s="7">
        <f t="shared" si="144"/>
        <v>2.7777777777777679E-3</v>
      </c>
      <c r="I922" s="13">
        <f t="shared" si="145"/>
        <v>6.6666666666666666E-2</v>
      </c>
      <c r="J922" t="s">
        <v>72</v>
      </c>
      <c r="K922" t="s">
        <v>72</v>
      </c>
      <c r="L922">
        <v>0.7</v>
      </c>
      <c r="M922" s="5">
        <f t="shared" si="146"/>
        <v>10.5</v>
      </c>
      <c r="O922" t="str">
        <f t="shared" si="147"/>
        <v>No Purpose</v>
      </c>
    </row>
    <row r="923" spans="1:15" x14ac:dyDescent="0.3">
      <c r="A923" t="s">
        <v>965</v>
      </c>
      <c r="B923" s="2">
        <v>42628</v>
      </c>
      <c r="C923" s="7">
        <v>0.85625000000000007</v>
      </c>
      <c r="D923" t="s">
        <v>966</v>
      </c>
      <c r="E923" s="2">
        <v>42628</v>
      </c>
      <c r="F923" s="8">
        <v>0.85972222222222217</v>
      </c>
      <c r="G923" t="s">
        <v>7</v>
      </c>
      <c r="H923" s="7">
        <f t="shared" si="144"/>
        <v>3.4722222222220989E-3</v>
      </c>
      <c r="I923" s="13">
        <f t="shared" si="145"/>
        <v>8.3333333333333329E-2</v>
      </c>
      <c r="J923" t="s">
        <v>72</v>
      </c>
      <c r="K923" t="s">
        <v>72</v>
      </c>
      <c r="L923">
        <v>0.9</v>
      </c>
      <c r="M923" s="5">
        <f t="shared" si="146"/>
        <v>10.8</v>
      </c>
      <c r="O923" t="str">
        <f t="shared" si="147"/>
        <v>No Purpose</v>
      </c>
    </row>
    <row r="924" spans="1:15" x14ac:dyDescent="0.3">
      <c r="A924" t="s">
        <v>967</v>
      </c>
      <c r="B924" s="2">
        <v>42631</v>
      </c>
      <c r="C924" s="7">
        <v>0.75486111111111109</v>
      </c>
      <c r="D924" t="s">
        <v>968</v>
      </c>
      <c r="E924" s="2">
        <v>42631</v>
      </c>
      <c r="F924" s="8">
        <v>0.75763888888888886</v>
      </c>
      <c r="G924" t="s">
        <v>7</v>
      </c>
      <c r="H924" s="7">
        <f t="shared" si="144"/>
        <v>2.7777777777777679E-3</v>
      </c>
      <c r="I924" s="13">
        <f t="shared" si="145"/>
        <v>6.6666666666666666E-2</v>
      </c>
      <c r="J924" t="s">
        <v>72</v>
      </c>
      <c r="K924" t="s">
        <v>72</v>
      </c>
      <c r="L924">
        <v>9.4</v>
      </c>
      <c r="M924" s="5">
        <f t="shared" si="146"/>
        <v>141</v>
      </c>
      <c r="O924" t="str">
        <f t="shared" si="147"/>
        <v>No Purpose</v>
      </c>
    </row>
    <row r="925" spans="1:15" x14ac:dyDescent="0.3">
      <c r="A925" t="s">
        <v>969</v>
      </c>
      <c r="B925" s="2">
        <v>42632</v>
      </c>
      <c r="C925" s="7">
        <v>0.26250000000000001</v>
      </c>
      <c r="D925" t="s">
        <v>970</v>
      </c>
      <c r="E925" s="2">
        <v>42632</v>
      </c>
      <c r="F925" s="8">
        <v>0.28402777777777777</v>
      </c>
      <c r="G925" t="s">
        <v>7</v>
      </c>
      <c r="H925" s="7">
        <f t="shared" si="144"/>
        <v>2.1527777777777757E-2</v>
      </c>
      <c r="I925" s="13">
        <f t="shared" si="145"/>
        <v>0.51666666666666672</v>
      </c>
      <c r="J925" t="s">
        <v>106</v>
      </c>
      <c r="K925" t="s">
        <v>72</v>
      </c>
      <c r="L925">
        <v>18.2</v>
      </c>
      <c r="M925" s="5">
        <f t="shared" si="146"/>
        <v>35.225806451612897</v>
      </c>
      <c r="O925" t="str">
        <f t="shared" si="147"/>
        <v>No Purpose</v>
      </c>
    </row>
    <row r="926" spans="1:15" x14ac:dyDescent="0.3">
      <c r="A926" t="s">
        <v>971</v>
      </c>
      <c r="B926" s="2">
        <v>42632</v>
      </c>
      <c r="C926" s="7">
        <v>0.61111111111111105</v>
      </c>
      <c r="D926" t="s">
        <v>972</v>
      </c>
      <c r="E926" s="2">
        <v>42632</v>
      </c>
      <c r="F926" s="8">
        <v>0.62222222222222223</v>
      </c>
      <c r="G926" t="s">
        <v>7</v>
      </c>
      <c r="H926" s="7">
        <f t="shared" si="144"/>
        <v>1.1111111111111183E-2</v>
      </c>
      <c r="I926" s="13">
        <f t="shared" si="145"/>
        <v>0.26666666666666666</v>
      </c>
      <c r="J926" t="s">
        <v>72</v>
      </c>
      <c r="K926" t="s">
        <v>88</v>
      </c>
      <c r="L926">
        <v>10.5</v>
      </c>
      <c r="M926" s="5">
        <f t="shared" si="146"/>
        <v>39.375</v>
      </c>
      <c r="O926" t="str">
        <f t="shared" si="147"/>
        <v>No Purpose</v>
      </c>
    </row>
    <row r="927" spans="1:15" x14ac:dyDescent="0.3">
      <c r="A927" t="s">
        <v>973</v>
      </c>
      <c r="B927" s="2">
        <v>42632</v>
      </c>
      <c r="C927" s="7">
        <v>0.68263888888888891</v>
      </c>
      <c r="D927" t="s">
        <v>974</v>
      </c>
      <c r="E927" s="2">
        <v>42632</v>
      </c>
      <c r="F927" s="8">
        <v>0.68819444444444444</v>
      </c>
      <c r="G927" t="s">
        <v>7</v>
      </c>
      <c r="H927" s="7">
        <f t="shared" si="144"/>
        <v>5.5555555555555358E-3</v>
      </c>
      <c r="I927" s="13">
        <f t="shared" si="145"/>
        <v>0.13333333333333333</v>
      </c>
      <c r="J927" t="s">
        <v>88</v>
      </c>
      <c r="K927" t="s">
        <v>72</v>
      </c>
      <c r="L927">
        <v>5.7</v>
      </c>
      <c r="M927" s="5">
        <f t="shared" si="146"/>
        <v>42.75</v>
      </c>
      <c r="O927" t="str">
        <f t="shared" si="147"/>
        <v>No Purpose</v>
      </c>
    </row>
    <row r="928" spans="1:15" x14ac:dyDescent="0.3">
      <c r="A928" t="s">
        <v>975</v>
      </c>
      <c r="B928" s="2">
        <v>42632</v>
      </c>
      <c r="C928" s="7">
        <v>0.73333333333333339</v>
      </c>
      <c r="D928" t="s">
        <v>976</v>
      </c>
      <c r="E928" s="2">
        <v>42632</v>
      </c>
      <c r="F928" s="8">
        <v>0.76388888888888884</v>
      </c>
      <c r="G928" t="s">
        <v>7</v>
      </c>
      <c r="H928" s="7">
        <f t="shared" si="144"/>
        <v>3.0555555555555447E-2</v>
      </c>
      <c r="I928" s="13">
        <f t="shared" si="145"/>
        <v>0.73333333333333328</v>
      </c>
      <c r="J928" t="s">
        <v>72</v>
      </c>
      <c r="K928" t="s">
        <v>72</v>
      </c>
      <c r="L928">
        <v>18</v>
      </c>
      <c r="M928" s="5">
        <f t="shared" si="146"/>
        <v>24.545454545454547</v>
      </c>
      <c r="O928" t="str">
        <f t="shared" si="147"/>
        <v>No Purpose</v>
      </c>
    </row>
    <row r="929" spans="1:15" x14ac:dyDescent="0.3">
      <c r="A929" t="s">
        <v>977</v>
      </c>
      <c r="B929" s="2">
        <v>42632</v>
      </c>
      <c r="C929" s="7">
        <v>0.79861111111111116</v>
      </c>
      <c r="D929" t="s">
        <v>978</v>
      </c>
      <c r="E929" s="2">
        <v>42632</v>
      </c>
      <c r="F929" s="8">
        <v>0.8256944444444444</v>
      </c>
      <c r="G929" t="s">
        <v>7</v>
      </c>
      <c r="H929" s="7">
        <f t="shared" si="144"/>
        <v>2.7083333333333237E-2</v>
      </c>
      <c r="I929" s="13">
        <f t="shared" si="145"/>
        <v>0.65</v>
      </c>
      <c r="J929" t="s">
        <v>72</v>
      </c>
      <c r="K929" t="s">
        <v>88</v>
      </c>
      <c r="L929">
        <v>18.3</v>
      </c>
      <c r="M929" s="5">
        <f t="shared" si="146"/>
        <v>28.153846153846153</v>
      </c>
      <c r="O929" t="str">
        <f t="shared" si="147"/>
        <v>No Purpose</v>
      </c>
    </row>
    <row r="930" spans="1:15" x14ac:dyDescent="0.3">
      <c r="A930" t="s">
        <v>979</v>
      </c>
      <c r="B930" s="2">
        <v>42633</v>
      </c>
      <c r="C930" s="7">
        <v>0.47847222222222219</v>
      </c>
      <c r="D930" t="s">
        <v>980</v>
      </c>
      <c r="E930" s="2">
        <v>42633</v>
      </c>
      <c r="F930" s="8">
        <v>0.4916666666666667</v>
      </c>
      <c r="G930" t="s">
        <v>7</v>
      </c>
      <c r="H930" s="7">
        <f t="shared" si="144"/>
        <v>1.3194444444444509E-2</v>
      </c>
      <c r="I930" s="13">
        <f t="shared" si="145"/>
        <v>0.31666666666666665</v>
      </c>
      <c r="J930" t="s">
        <v>88</v>
      </c>
      <c r="K930" t="s">
        <v>72</v>
      </c>
      <c r="L930">
        <v>16.5</v>
      </c>
      <c r="M930" s="5">
        <f t="shared" si="146"/>
        <v>52.10526315789474</v>
      </c>
      <c r="O930" t="str">
        <f t="shared" si="147"/>
        <v>No Purpose</v>
      </c>
    </row>
    <row r="931" spans="1:15" x14ac:dyDescent="0.3">
      <c r="A931" t="s">
        <v>981</v>
      </c>
      <c r="B931" s="2">
        <v>42633</v>
      </c>
      <c r="C931" s="7">
        <v>0.86597222222222225</v>
      </c>
      <c r="D931" t="s">
        <v>982</v>
      </c>
      <c r="E931" s="2">
        <v>42633</v>
      </c>
      <c r="F931" s="8">
        <v>0.94930555555555562</v>
      </c>
      <c r="G931" t="s">
        <v>7</v>
      </c>
      <c r="H931" s="7">
        <f t="shared" si="144"/>
        <v>8.333333333333337E-2</v>
      </c>
      <c r="I931" s="13">
        <f t="shared" si="145"/>
        <v>2</v>
      </c>
      <c r="J931" t="s">
        <v>72</v>
      </c>
      <c r="K931" t="s">
        <v>106</v>
      </c>
      <c r="L931">
        <v>9.6</v>
      </c>
      <c r="M931" s="5">
        <f t="shared" si="146"/>
        <v>4.8</v>
      </c>
      <c r="O931" t="str">
        <f t="shared" si="147"/>
        <v>No Purpose</v>
      </c>
    </row>
    <row r="932" spans="1:15" x14ac:dyDescent="0.3">
      <c r="A932" t="s">
        <v>983</v>
      </c>
      <c r="B932" s="2">
        <v>42636</v>
      </c>
      <c r="C932" s="7">
        <v>0.55208333333333337</v>
      </c>
      <c r="D932" t="s">
        <v>984</v>
      </c>
      <c r="E932" s="2">
        <v>42636</v>
      </c>
      <c r="F932" s="8">
        <v>0.56944444444444442</v>
      </c>
      <c r="G932" t="s">
        <v>7</v>
      </c>
      <c r="H932" s="7">
        <f t="shared" si="144"/>
        <v>1.7361111111111049E-2</v>
      </c>
      <c r="I932" s="13">
        <f t="shared" si="145"/>
        <v>0.41666666666666669</v>
      </c>
      <c r="J932" t="s">
        <v>985</v>
      </c>
      <c r="K932" t="s">
        <v>985</v>
      </c>
      <c r="L932">
        <v>2.9</v>
      </c>
      <c r="M932" s="5">
        <f t="shared" si="146"/>
        <v>6.9599999999999991</v>
      </c>
      <c r="O932" t="str">
        <f t="shared" si="147"/>
        <v>No Purpose</v>
      </c>
    </row>
    <row r="933" spans="1:15" x14ac:dyDescent="0.3">
      <c r="A933" t="s">
        <v>986</v>
      </c>
      <c r="B933" s="2">
        <v>42637</v>
      </c>
      <c r="C933" s="7">
        <v>0.6069444444444444</v>
      </c>
      <c r="D933" t="s">
        <v>987</v>
      </c>
      <c r="E933" s="2">
        <v>42637</v>
      </c>
      <c r="F933" s="8">
        <v>0.63541666666666663</v>
      </c>
      <c r="G933" t="s">
        <v>7</v>
      </c>
      <c r="H933" s="7">
        <f t="shared" si="144"/>
        <v>2.8472222222222232E-2</v>
      </c>
      <c r="I933" s="13">
        <f t="shared" si="145"/>
        <v>0.68333333333333335</v>
      </c>
      <c r="J933" t="s">
        <v>985</v>
      </c>
      <c r="K933" t="s">
        <v>72</v>
      </c>
      <c r="L933">
        <v>8.1999999999999993</v>
      </c>
      <c r="M933" s="5">
        <f t="shared" si="146"/>
        <v>11.999999999999998</v>
      </c>
      <c r="O933" t="str">
        <f t="shared" si="147"/>
        <v>No Purpose</v>
      </c>
    </row>
    <row r="934" spans="1:15" x14ac:dyDescent="0.3">
      <c r="A934" t="s">
        <v>988</v>
      </c>
      <c r="B934" s="2">
        <v>42637</v>
      </c>
      <c r="C934" s="7">
        <v>0.8534722222222223</v>
      </c>
      <c r="D934" t="s">
        <v>989</v>
      </c>
      <c r="E934" s="2">
        <v>42637</v>
      </c>
      <c r="F934" s="8">
        <v>0.85625000000000007</v>
      </c>
      <c r="G934" t="s">
        <v>7</v>
      </c>
      <c r="H934" s="7">
        <f t="shared" si="144"/>
        <v>2.7777777777777679E-3</v>
      </c>
      <c r="I934" s="13">
        <f t="shared" si="145"/>
        <v>6.6666666666666666E-2</v>
      </c>
      <c r="J934" t="s">
        <v>72</v>
      </c>
      <c r="K934" t="s">
        <v>72</v>
      </c>
      <c r="L934">
        <v>2.4</v>
      </c>
      <c r="M934" s="5">
        <f t="shared" si="146"/>
        <v>36</v>
      </c>
      <c r="O934" t="str">
        <f t="shared" si="147"/>
        <v>No Purpose</v>
      </c>
    </row>
    <row r="935" spans="1:15" x14ac:dyDescent="0.3">
      <c r="A935" t="s">
        <v>990</v>
      </c>
      <c r="B935" s="2">
        <v>42640</v>
      </c>
      <c r="C935" s="7">
        <v>0.35625000000000001</v>
      </c>
      <c r="D935" t="s">
        <v>991</v>
      </c>
      <c r="E935" s="2">
        <v>42640</v>
      </c>
      <c r="F935" s="8">
        <v>0.3576388888888889</v>
      </c>
      <c r="G935" t="s">
        <v>7</v>
      </c>
      <c r="H935" s="7">
        <f t="shared" si="144"/>
        <v>1.388888888888884E-3</v>
      </c>
      <c r="I935" s="13">
        <f t="shared" si="145"/>
        <v>3.3333333333333333E-2</v>
      </c>
      <c r="J935" t="s">
        <v>72</v>
      </c>
      <c r="K935" t="s">
        <v>72</v>
      </c>
      <c r="L935">
        <v>5.8</v>
      </c>
      <c r="M935" s="5">
        <f t="shared" si="146"/>
        <v>174</v>
      </c>
      <c r="O935" t="str">
        <f t="shared" si="147"/>
        <v>No Purpose</v>
      </c>
    </row>
    <row r="936" spans="1:15" x14ac:dyDescent="0.3">
      <c r="A936" t="s">
        <v>992</v>
      </c>
      <c r="B936" s="2">
        <v>42640</v>
      </c>
      <c r="C936" s="7">
        <v>0.55625000000000002</v>
      </c>
      <c r="D936" t="s">
        <v>993</v>
      </c>
      <c r="E936" s="2">
        <v>42640</v>
      </c>
      <c r="F936" s="8">
        <v>0.61319444444444449</v>
      </c>
      <c r="G936" t="s">
        <v>7</v>
      </c>
      <c r="H936" s="7">
        <f t="shared" si="144"/>
        <v>5.6944444444444464E-2</v>
      </c>
      <c r="I936" s="13">
        <f t="shared" si="145"/>
        <v>1.3666666666666667</v>
      </c>
      <c r="J936" t="s">
        <v>894</v>
      </c>
      <c r="K936" t="s">
        <v>894</v>
      </c>
      <c r="L936">
        <v>9.8000000000000007</v>
      </c>
      <c r="M936" s="5">
        <f t="shared" si="146"/>
        <v>7.1707317073170733</v>
      </c>
      <c r="O936" t="str">
        <f t="shared" si="147"/>
        <v>No Purpose</v>
      </c>
    </row>
    <row r="937" spans="1:15" x14ac:dyDescent="0.3">
      <c r="A937" t="s">
        <v>994</v>
      </c>
      <c r="B937" s="2">
        <v>42640</v>
      </c>
      <c r="C937" s="7">
        <v>0.80138888888888893</v>
      </c>
      <c r="D937" t="s">
        <v>995</v>
      </c>
      <c r="E937" s="2">
        <v>42640</v>
      </c>
      <c r="F937" s="8">
        <v>0.8569444444444444</v>
      </c>
      <c r="G937" t="s">
        <v>7</v>
      </c>
      <c r="H937" s="7">
        <f t="shared" si="144"/>
        <v>5.5555555555555469E-2</v>
      </c>
      <c r="I937" s="13">
        <f t="shared" si="145"/>
        <v>1.3333333333333333</v>
      </c>
      <c r="J937" t="s">
        <v>894</v>
      </c>
      <c r="K937" t="s">
        <v>72</v>
      </c>
      <c r="L937">
        <v>7.3</v>
      </c>
      <c r="M937" s="5">
        <f t="shared" si="146"/>
        <v>5.4750000000000005</v>
      </c>
      <c r="O937" t="str">
        <f t="shared" si="147"/>
        <v>No Purpose</v>
      </c>
    </row>
    <row r="938" spans="1:15" x14ac:dyDescent="0.3">
      <c r="A938" t="s">
        <v>996</v>
      </c>
      <c r="B938" s="2">
        <v>42640</v>
      </c>
      <c r="C938" s="7">
        <v>0.87569444444444444</v>
      </c>
      <c r="D938" t="s">
        <v>997</v>
      </c>
      <c r="E938" s="2">
        <v>42641</v>
      </c>
      <c r="F938" s="8">
        <v>0.10902777777777778</v>
      </c>
      <c r="G938" t="s">
        <v>7</v>
      </c>
      <c r="H938" s="7">
        <f t="shared" si="144"/>
        <v>0.23333333333333339</v>
      </c>
      <c r="I938" s="13">
        <f t="shared" si="145"/>
        <v>5.6</v>
      </c>
      <c r="J938" t="s">
        <v>72</v>
      </c>
      <c r="K938" t="s">
        <v>72</v>
      </c>
      <c r="L938">
        <v>195.6</v>
      </c>
      <c r="M938" s="5">
        <f t="shared" si="146"/>
        <v>34.928571428571431</v>
      </c>
      <c r="O938" t="str">
        <f t="shared" si="147"/>
        <v>No Purpose</v>
      </c>
    </row>
    <row r="939" spans="1:15" x14ac:dyDescent="0.3">
      <c r="A939" t="s">
        <v>998</v>
      </c>
      <c r="B939" s="2">
        <v>42641</v>
      </c>
      <c r="C939" s="7">
        <v>0.72291666666666676</v>
      </c>
      <c r="D939" t="s">
        <v>999</v>
      </c>
      <c r="E939" s="2">
        <v>42641</v>
      </c>
      <c r="F939" s="8">
        <v>0.81666666666666676</v>
      </c>
      <c r="G939" t="s">
        <v>7</v>
      </c>
      <c r="H939" s="7">
        <f t="shared" si="144"/>
        <v>9.375E-2</v>
      </c>
      <c r="I939" s="13">
        <f t="shared" si="145"/>
        <v>2.25</v>
      </c>
      <c r="J939" t="s">
        <v>88</v>
      </c>
      <c r="K939" t="s">
        <v>72</v>
      </c>
      <c r="L939">
        <v>20.5</v>
      </c>
      <c r="M939" s="5">
        <f t="shared" si="146"/>
        <v>9.1111111111111107</v>
      </c>
      <c r="O939" t="str">
        <f t="shared" si="147"/>
        <v>No Purpose</v>
      </c>
    </row>
    <row r="940" spans="1:15" x14ac:dyDescent="0.3">
      <c r="A940" t="s">
        <v>1000</v>
      </c>
      <c r="B940" s="2">
        <v>42642</v>
      </c>
      <c r="C940" s="7">
        <v>0.67569444444444438</v>
      </c>
      <c r="D940" t="s">
        <v>1001</v>
      </c>
      <c r="E940" s="2">
        <v>42642</v>
      </c>
      <c r="F940" s="8">
        <v>0.78263888888888899</v>
      </c>
      <c r="G940" t="s">
        <v>7</v>
      </c>
      <c r="H940" s="7">
        <f t="shared" si="144"/>
        <v>0.10694444444444462</v>
      </c>
      <c r="I940" s="13">
        <f t="shared" si="145"/>
        <v>2.5666666666666669</v>
      </c>
      <c r="J940" t="s">
        <v>72</v>
      </c>
      <c r="K940" t="s">
        <v>88</v>
      </c>
      <c r="L940">
        <v>12.6</v>
      </c>
      <c r="M940" s="5">
        <f t="shared" si="146"/>
        <v>4.9090909090909083</v>
      </c>
      <c r="O940" t="str">
        <f t="shared" si="147"/>
        <v>No Purpose</v>
      </c>
    </row>
    <row r="941" spans="1:15" x14ac:dyDescent="0.3">
      <c r="A941" t="s">
        <v>1002</v>
      </c>
      <c r="B941" s="2">
        <v>42643</v>
      </c>
      <c r="C941" s="7">
        <v>0.73541666666666661</v>
      </c>
      <c r="D941" t="s">
        <v>1003</v>
      </c>
      <c r="E941" s="2">
        <v>42643</v>
      </c>
      <c r="F941" s="8">
        <v>0.84722222222222221</v>
      </c>
      <c r="G941" t="s">
        <v>7</v>
      </c>
      <c r="H941" s="7">
        <f t="shared" si="144"/>
        <v>0.1118055555555556</v>
      </c>
      <c r="I941" s="13">
        <f t="shared" si="145"/>
        <v>2.6833333333333331</v>
      </c>
      <c r="J941" t="s">
        <v>88</v>
      </c>
      <c r="K941" t="s">
        <v>88</v>
      </c>
      <c r="L941">
        <v>37.700000000000003</v>
      </c>
      <c r="M941" s="5">
        <f t="shared" si="146"/>
        <v>14.049689440993792</v>
      </c>
      <c r="O941" t="str">
        <f t="shared" si="147"/>
        <v>No Purpose</v>
      </c>
    </row>
    <row r="942" spans="1:15" x14ac:dyDescent="0.3">
      <c r="A942" t="s">
        <v>1004</v>
      </c>
      <c r="B942" s="2">
        <v>42643</v>
      </c>
      <c r="C942" s="7">
        <v>0.87430555555555556</v>
      </c>
      <c r="D942" t="s">
        <v>1005</v>
      </c>
      <c r="E942" s="2">
        <v>42643</v>
      </c>
      <c r="F942" s="8">
        <v>0.94027777777777777</v>
      </c>
      <c r="G942" t="s">
        <v>7</v>
      </c>
      <c r="H942" s="7">
        <f t="shared" si="144"/>
        <v>6.597222222222221E-2</v>
      </c>
      <c r="I942" s="13">
        <f t="shared" si="145"/>
        <v>1.5833333333333333</v>
      </c>
      <c r="J942" t="s">
        <v>88</v>
      </c>
      <c r="K942" t="s">
        <v>72</v>
      </c>
      <c r="L942">
        <v>16.7</v>
      </c>
      <c r="M942" s="5">
        <f t="shared" si="146"/>
        <v>10.547368421052632</v>
      </c>
      <c r="O942" t="str">
        <f t="shared" si="147"/>
        <v>No Purpose</v>
      </c>
    </row>
    <row r="943" spans="1:15" x14ac:dyDescent="0.3">
      <c r="A943" s="1">
        <v>42439.714583333334</v>
      </c>
      <c r="B943" s="6">
        <f t="shared" ref="B943:B959" si="153">INT(A943:A980)</f>
        <v>42439</v>
      </c>
      <c r="C943" s="7">
        <f t="shared" ref="C943:C963" si="154">(A943-B943)</f>
        <v>0.71458333333430346</v>
      </c>
      <c r="D943" s="1">
        <v>42439.716666666667</v>
      </c>
      <c r="E943" s="6">
        <f t="shared" ref="E943:E963" si="155">INT(D943)</f>
        <v>42439</v>
      </c>
      <c r="F943" s="8">
        <f t="shared" ref="F943:F963" si="156">D943-E943</f>
        <v>0.71666666666715173</v>
      </c>
      <c r="G943" t="s">
        <v>7</v>
      </c>
      <c r="H943" s="7">
        <f t="shared" si="144"/>
        <v>2.0833333328482695E-3</v>
      </c>
      <c r="I943" s="13">
        <f t="shared" si="145"/>
        <v>0.05</v>
      </c>
      <c r="J943" t="s">
        <v>72</v>
      </c>
      <c r="K943" t="s">
        <v>88</v>
      </c>
      <c r="L943">
        <v>10.5</v>
      </c>
      <c r="M943" s="5">
        <f t="shared" si="146"/>
        <v>210</v>
      </c>
      <c r="O943" t="str">
        <f t="shared" si="147"/>
        <v>No Purpose</v>
      </c>
    </row>
    <row r="944" spans="1:15" x14ac:dyDescent="0.3">
      <c r="A944" s="1">
        <v>42439.761805555558</v>
      </c>
      <c r="B944" s="6">
        <f t="shared" si="153"/>
        <v>42439</v>
      </c>
      <c r="C944" s="7">
        <f t="shared" si="154"/>
        <v>0.7618055555576575</v>
      </c>
      <c r="D944" s="1">
        <v>42439.773611111108</v>
      </c>
      <c r="E944" s="6">
        <f t="shared" si="155"/>
        <v>42439</v>
      </c>
      <c r="F944" s="8">
        <f t="shared" si="156"/>
        <v>0.77361111110803904</v>
      </c>
      <c r="G944" t="s">
        <v>7</v>
      </c>
      <c r="H944" s="7">
        <f t="shared" si="144"/>
        <v>1.1805555550381541E-2</v>
      </c>
      <c r="I944" s="13">
        <f t="shared" si="145"/>
        <v>0.28333333333333333</v>
      </c>
      <c r="J944" t="s">
        <v>88</v>
      </c>
      <c r="K944" t="s">
        <v>88</v>
      </c>
      <c r="L944">
        <v>2.8</v>
      </c>
      <c r="M944" s="5">
        <f t="shared" si="146"/>
        <v>9.882352941176471</v>
      </c>
      <c r="O944" t="str">
        <f t="shared" si="147"/>
        <v>No Purpose</v>
      </c>
    </row>
    <row r="945" spans="1:15" x14ac:dyDescent="0.3">
      <c r="A945" s="1">
        <v>42439.785416666666</v>
      </c>
      <c r="B945" s="6">
        <f t="shared" si="153"/>
        <v>42439</v>
      </c>
      <c r="C945" s="7">
        <f t="shared" si="154"/>
        <v>0.78541666666569654</v>
      </c>
      <c r="D945" s="1">
        <v>42439.792361111111</v>
      </c>
      <c r="E945" s="6">
        <f t="shared" si="155"/>
        <v>42439</v>
      </c>
      <c r="F945" s="8">
        <f t="shared" si="156"/>
        <v>0.79236111111094942</v>
      </c>
      <c r="G945" t="s">
        <v>7</v>
      </c>
      <c r="H945" s="7">
        <f t="shared" si="144"/>
        <v>6.9444444452528842E-3</v>
      </c>
      <c r="I945" s="13">
        <f t="shared" si="145"/>
        <v>0.16666666666666666</v>
      </c>
      <c r="J945" t="s">
        <v>88</v>
      </c>
      <c r="K945" t="s">
        <v>88</v>
      </c>
      <c r="L945">
        <v>1.6</v>
      </c>
      <c r="M945" s="5">
        <f t="shared" si="146"/>
        <v>9.6000000000000014</v>
      </c>
      <c r="O945" t="str">
        <f t="shared" si="147"/>
        <v>No Purpose</v>
      </c>
    </row>
    <row r="946" spans="1:15" x14ac:dyDescent="0.3">
      <c r="A946" s="1">
        <v>42439.919444444444</v>
      </c>
      <c r="B946" s="6">
        <f t="shared" si="153"/>
        <v>42439</v>
      </c>
      <c r="C946" s="7">
        <f t="shared" si="154"/>
        <v>0.91944444444379769</v>
      </c>
      <c r="D946" s="1">
        <v>42439.939583333333</v>
      </c>
      <c r="E946" s="6">
        <f t="shared" si="155"/>
        <v>42439</v>
      </c>
      <c r="F946" s="8">
        <f t="shared" si="156"/>
        <v>0.93958333333284827</v>
      </c>
      <c r="G946" t="s">
        <v>7</v>
      </c>
      <c r="H946" s="7">
        <f t="shared" si="144"/>
        <v>2.0138888889050577E-2</v>
      </c>
      <c r="I946" s="13">
        <f t="shared" si="145"/>
        <v>0.48333333333333334</v>
      </c>
      <c r="J946" t="s">
        <v>88</v>
      </c>
      <c r="K946" t="s">
        <v>72</v>
      </c>
      <c r="L946">
        <v>12.7</v>
      </c>
      <c r="M946" s="5">
        <f t="shared" si="146"/>
        <v>26.275862068965516</v>
      </c>
      <c r="O946" t="str">
        <f t="shared" si="147"/>
        <v>No Purpose</v>
      </c>
    </row>
    <row r="947" spans="1:15" x14ac:dyDescent="0.3">
      <c r="A947" s="1">
        <v>42470.409722222219</v>
      </c>
      <c r="B947" s="6">
        <f t="shared" si="153"/>
        <v>42470</v>
      </c>
      <c r="C947" s="7">
        <f t="shared" si="154"/>
        <v>0.40972222221898846</v>
      </c>
      <c r="D947" s="1">
        <v>42470.452777777777</v>
      </c>
      <c r="E947" s="6">
        <f t="shared" si="155"/>
        <v>42470</v>
      </c>
      <c r="F947" s="8">
        <f t="shared" si="156"/>
        <v>0.45277777777664596</v>
      </c>
      <c r="G947" t="s">
        <v>7</v>
      </c>
      <c r="H947" s="7">
        <f t="shared" si="144"/>
        <v>4.3055555557657499E-2</v>
      </c>
      <c r="I947" s="13">
        <f t="shared" si="145"/>
        <v>1.0333333333333334</v>
      </c>
      <c r="J947" t="s">
        <v>72</v>
      </c>
      <c r="K947" t="s">
        <v>72</v>
      </c>
      <c r="L947">
        <v>28.6</v>
      </c>
      <c r="M947" s="5">
        <f t="shared" si="146"/>
        <v>27.677419354838708</v>
      </c>
      <c r="O947" t="str">
        <f t="shared" si="147"/>
        <v>No Purpose</v>
      </c>
    </row>
    <row r="948" spans="1:15" x14ac:dyDescent="0.3">
      <c r="A948" s="1">
        <v>42470.511805555558</v>
      </c>
      <c r="B948" s="6">
        <f t="shared" si="153"/>
        <v>42470</v>
      </c>
      <c r="C948" s="7">
        <f t="shared" si="154"/>
        <v>0.5118055555576575</v>
      </c>
      <c r="D948" s="1">
        <v>42470.512499999997</v>
      </c>
      <c r="E948" s="6">
        <f t="shared" si="155"/>
        <v>42470</v>
      </c>
      <c r="F948" s="8">
        <f t="shared" si="156"/>
        <v>0.51249999999708962</v>
      </c>
      <c r="G948" t="s">
        <v>7</v>
      </c>
      <c r="H948" s="7">
        <f t="shared" si="144"/>
        <v>6.9444443943211809E-4</v>
      </c>
      <c r="I948" s="13">
        <f t="shared" si="145"/>
        <v>1.6666666666666666E-2</v>
      </c>
      <c r="J948" t="s">
        <v>72</v>
      </c>
      <c r="K948" t="s">
        <v>72</v>
      </c>
      <c r="L948">
        <v>15.1</v>
      </c>
      <c r="M948" s="5">
        <f t="shared" si="146"/>
        <v>906</v>
      </c>
      <c r="O948" t="str">
        <f t="shared" si="147"/>
        <v>No Purpose</v>
      </c>
    </row>
    <row r="949" spans="1:15" x14ac:dyDescent="0.3">
      <c r="A949" s="1">
        <v>42531.367361111108</v>
      </c>
      <c r="B949" s="6">
        <f t="shared" si="153"/>
        <v>42531</v>
      </c>
      <c r="C949" s="7">
        <f t="shared" si="154"/>
        <v>0.36736111110803904</v>
      </c>
      <c r="D949" s="1">
        <v>42531.48333333333</v>
      </c>
      <c r="E949" s="6">
        <f t="shared" si="155"/>
        <v>42531</v>
      </c>
      <c r="F949" s="8">
        <f t="shared" si="156"/>
        <v>0.48333333332993789</v>
      </c>
      <c r="G949" t="s">
        <v>7</v>
      </c>
      <c r="H949" s="7">
        <f t="shared" si="144"/>
        <v>0.11597222222189885</v>
      </c>
      <c r="I949" s="13">
        <f t="shared" si="145"/>
        <v>2.7833333333333332</v>
      </c>
      <c r="J949" t="s">
        <v>72</v>
      </c>
      <c r="K949" t="s">
        <v>106</v>
      </c>
      <c r="L949">
        <v>17.899999999999999</v>
      </c>
      <c r="M949" s="5">
        <f t="shared" si="146"/>
        <v>6.431137724550898</v>
      </c>
      <c r="O949" t="str">
        <f t="shared" si="147"/>
        <v>No Purpose</v>
      </c>
    </row>
    <row r="950" spans="1:15" x14ac:dyDescent="0.3">
      <c r="A950" s="1">
        <v>42531.724305555559</v>
      </c>
      <c r="B950" s="6">
        <f t="shared" si="153"/>
        <v>42531</v>
      </c>
      <c r="C950" s="7">
        <f t="shared" si="154"/>
        <v>0.72430555555911269</v>
      </c>
      <c r="D950" s="1">
        <v>42531.736111111109</v>
      </c>
      <c r="E950" s="6">
        <f t="shared" si="155"/>
        <v>42531</v>
      </c>
      <c r="F950" s="8">
        <f t="shared" si="156"/>
        <v>0.73611111110949423</v>
      </c>
      <c r="G950" t="s">
        <v>7</v>
      </c>
      <c r="H950" s="7">
        <f t="shared" si="144"/>
        <v>1.1805555550381541E-2</v>
      </c>
      <c r="I950" s="13">
        <f t="shared" si="145"/>
        <v>0.28333333333333333</v>
      </c>
      <c r="J950" t="s">
        <v>106</v>
      </c>
      <c r="K950" t="s">
        <v>72</v>
      </c>
      <c r="L950">
        <v>112.6</v>
      </c>
      <c r="M950" s="5">
        <f t="shared" si="146"/>
        <v>397.41176470588232</v>
      </c>
      <c r="O950" t="str">
        <f t="shared" si="147"/>
        <v>No Purpose</v>
      </c>
    </row>
    <row r="951" spans="1:15" x14ac:dyDescent="0.3">
      <c r="A951" s="1">
        <v>42531.775694444441</v>
      </c>
      <c r="B951" s="6">
        <f t="shared" si="153"/>
        <v>42531</v>
      </c>
      <c r="C951" s="7">
        <f t="shared" si="154"/>
        <v>0.77569444444088731</v>
      </c>
      <c r="D951" s="1">
        <v>42531.777083333334</v>
      </c>
      <c r="E951" s="6">
        <f t="shared" si="155"/>
        <v>42531</v>
      </c>
      <c r="F951" s="8">
        <f t="shared" si="156"/>
        <v>0.77708333333430346</v>
      </c>
      <c r="G951" t="s">
        <v>7</v>
      </c>
      <c r="H951" s="7">
        <f t="shared" si="144"/>
        <v>1.3888888934161514E-3</v>
      </c>
      <c r="I951" s="13">
        <f t="shared" si="145"/>
        <v>3.3333333333333333E-2</v>
      </c>
      <c r="J951" t="s">
        <v>72</v>
      </c>
      <c r="K951" t="s">
        <v>72</v>
      </c>
      <c r="L951">
        <v>18.399999999999999</v>
      </c>
      <c r="M951" s="5">
        <f t="shared" si="146"/>
        <v>552</v>
      </c>
      <c r="O951" t="str">
        <f t="shared" si="147"/>
        <v>No Purpose</v>
      </c>
    </row>
    <row r="952" spans="1:15" x14ac:dyDescent="0.3">
      <c r="A952" s="1">
        <v>42531.823611111111</v>
      </c>
      <c r="B952" s="6">
        <f t="shared" si="153"/>
        <v>42531</v>
      </c>
      <c r="C952" s="7">
        <f t="shared" si="154"/>
        <v>0.82361111111094942</v>
      </c>
      <c r="D952" s="1">
        <v>42531.851388888892</v>
      </c>
      <c r="E952" s="6">
        <f t="shared" si="155"/>
        <v>42531</v>
      </c>
      <c r="F952" s="8">
        <f t="shared" si="156"/>
        <v>0.85138888889196096</v>
      </c>
      <c r="G952" t="s">
        <v>7</v>
      </c>
      <c r="H952" s="7">
        <f t="shared" si="144"/>
        <v>2.7777777781011537E-2</v>
      </c>
      <c r="I952" s="13">
        <f t="shared" si="145"/>
        <v>0.66666666666666663</v>
      </c>
      <c r="J952" t="s">
        <v>72</v>
      </c>
      <c r="K952" t="s">
        <v>72</v>
      </c>
      <c r="L952">
        <v>13.8</v>
      </c>
      <c r="M952" s="5">
        <f t="shared" si="146"/>
        <v>20.700000000000003</v>
      </c>
      <c r="O952" t="str">
        <f t="shared" si="147"/>
        <v>No Purpose</v>
      </c>
    </row>
    <row r="953" spans="1:15" x14ac:dyDescent="0.3">
      <c r="A953" s="1">
        <v>42561.455555555556</v>
      </c>
      <c r="B953" s="6">
        <f t="shared" si="153"/>
        <v>42561</v>
      </c>
      <c r="C953" s="7">
        <f t="shared" si="154"/>
        <v>0.45555555555620231</v>
      </c>
      <c r="D953" s="1">
        <v>42561.457638888889</v>
      </c>
      <c r="E953" s="6">
        <f t="shared" si="155"/>
        <v>42561</v>
      </c>
      <c r="F953" s="8">
        <f t="shared" si="156"/>
        <v>0.45763888888905058</v>
      </c>
      <c r="G953" t="s">
        <v>7</v>
      </c>
      <c r="H953" s="7">
        <f t="shared" si="144"/>
        <v>2.0833333328482695E-3</v>
      </c>
      <c r="I953" s="13">
        <f t="shared" si="145"/>
        <v>0.05</v>
      </c>
      <c r="J953" t="s">
        <v>72</v>
      </c>
      <c r="K953" t="s">
        <v>894</v>
      </c>
      <c r="L953">
        <v>33.200000000000003</v>
      </c>
      <c r="M953" s="5">
        <f t="shared" si="146"/>
        <v>664</v>
      </c>
      <c r="O953" t="str">
        <f t="shared" si="147"/>
        <v>No Purpose</v>
      </c>
    </row>
    <row r="954" spans="1:15" x14ac:dyDescent="0.3">
      <c r="A954" s="1">
        <v>42561.477083333331</v>
      </c>
      <c r="B954" s="6">
        <f t="shared" si="153"/>
        <v>42561</v>
      </c>
      <c r="C954" s="7">
        <f t="shared" si="154"/>
        <v>0.47708333333139308</v>
      </c>
      <c r="D954" s="1">
        <v>42561.493055555555</v>
      </c>
      <c r="E954" s="6">
        <f t="shared" si="155"/>
        <v>42561</v>
      </c>
      <c r="F954" s="8">
        <f t="shared" si="156"/>
        <v>0.49305555555474712</v>
      </c>
      <c r="G954" t="s">
        <v>7</v>
      </c>
      <c r="H954" s="7">
        <f t="shared" si="144"/>
        <v>1.5972222223354038E-2</v>
      </c>
      <c r="I954" s="13">
        <f t="shared" si="145"/>
        <v>0.38333333333333336</v>
      </c>
      <c r="J954" t="s">
        <v>894</v>
      </c>
      <c r="K954" t="s">
        <v>894</v>
      </c>
      <c r="L954">
        <v>2.6</v>
      </c>
      <c r="M954" s="5">
        <f t="shared" si="146"/>
        <v>6.7826086956521738</v>
      </c>
      <c r="O954" t="str">
        <f t="shared" si="147"/>
        <v>No Purpose</v>
      </c>
    </row>
    <row r="955" spans="1:15" x14ac:dyDescent="0.3">
      <c r="A955" s="1">
        <v>42561.577777777777</v>
      </c>
      <c r="B955" s="6">
        <f t="shared" si="153"/>
        <v>42561</v>
      </c>
      <c r="C955" s="7">
        <f t="shared" si="154"/>
        <v>0.57777777777664596</v>
      </c>
      <c r="D955" s="1">
        <v>42561.588888888888</v>
      </c>
      <c r="E955" s="6">
        <f t="shared" si="155"/>
        <v>42561</v>
      </c>
      <c r="F955" s="8">
        <f t="shared" si="156"/>
        <v>0.58888888888759539</v>
      </c>
      <c r="G955" t="s">
        <v>7</v>
      </c>
      <c r="H955" s="7">
        <f t="shared" si="144"/>
        <v>1.1111111110949423E-2</v>
      </c>
      <c r="I955" s="13">
        <f t="shared" si="145"/>
        <v>0.26666666666666666</v>
      </c>
      <c r="J955" t="s">
        <v>894</v>
      </c>
      <c r="K955" t="s">
        <v>72</v>
      </c>
      <c r="L955">
        <v>5.8</v>
      </c>
      <c r="M955" s="5">
        <f t="shared" si="146"/>
        <v>21.75</v>
      </c>
      <c r="O955" t="str">
        <f t="shared" si="147"/>
        <v>No Purpose</v>
      </c>
    </row>
    <row r="956" spans="1:15" x14ac:dyDescent="0.3">
      <c r="A956" s="1">
        <v>42561.603472222225</v>
      </c>
      <c r="B956" s="6">
        <f t="shared" si="153"/>
        <v>42561</v>
      </c>
      <c r="C956" s="7">
        <f t="shared" si="154"/>
        <v>0.60347222222480923</v>
      </c>
      <c r="D956" s="1">
        <v>42561.632638888892</v>
      </c>
      <c r="E956" s="6">
        <f t="shared" si="155"/>
        <v>42561</v>
      </c>
      <c r="F956" s="8">
        <f t="shared" si="156"/>
        <v>0.63263888889196096</v>
      </c>
      <c r="G956" t="s">
        <v>7</v>
      </c>
      <c r="H956" s="7">
        <f t="shared" si="144"/>
        <v>2.9166666667151731E-2</v>
      </c>
      <c r="I956" s="13">
        <f t="shared" si="145"/>
        <v>0.7</v>
      </c>
      <c r="J956" t="s">
        <v>72</v>
      </c>
      <c r="K956" t="s">
        <v>894</v>
      </c>
      <c r="L956">
        <v>8.3000000000000007</v>
      </c>
      <c r="M956" s="5">
        <f t="shared" si="146"/>
        <v>11.857142857142859</v>
      </c>
      <c r="O956" t="str">
        <f t="shared" si="147"/>
        <v>No Purpose</v>
      </c>
    </row>
    <row r="957" spans="1:15" x14ac:dyDescent="0.3">
      <c r="A957" s="1">
        <v>42561.657638888886</v>
      </c>
      <c r="B957" s="6">
        <f t="shared" si="153"/>
        <v>42561</v>
      </c>
      <c r="C957" s="7">
        <f t="shared" si="154"/>
        <v>0.65763888888614019</v>
      </c>
      <c r="D957" s="1">
        <v>42561.668055555558</v>
      </c>
      <c r="E957" s="6">
        <f t="shared" si="155"/>
        <v>42561</v>
      </c>
      <c r="F957" s="8">
        <f t="shared" si="156"/>
        <v>0.6680555555576575</v>
      </c>
      <c r="G957" t="s">
        <v>7</v>
      </c>
      <c r="H957" s="7">
        <f t="shared" si="144"/>
        <v>1.0416666671517305E-2</v>
      </c>
      <c r="I957" s="13">
        <f t="shared" si="145"/>
        <v>0.25</v>
      </c>
      <c r="J957" t="s">
        <v>894</v>
      </c>
      <c r="K957" t="s">
        <v>894</v>
      </c>
      <c r="L957">
        <v>2.4</v>
      </c>
      <c r="M957" s="5">
        <f t="shared" si="146"/>
        <v>9.6</v>
      </c>
      <c r="O957" t="str">
        <f t="shared" si="147"/>
        <v>No Purpose</v>
      </c>
    </row>
    <row r="958" spans="1:15" x14ac:dyDescent="0.3">
      <c r="A958" s="1">
        <v>42561.755555555559</v>
      </c>
      <c r="B958" s="6">
        <f t="shared" si="153"/>
        <v>42561</v>
      </c>
      <c r="C958" s="7">
        <f t="shared" si="154"/>
        <v>0.75555555555911269</v>
      </c>
      <c r="D958" s="1">
        <v>42561.768750000003</v>
      </c>
      <c r="E958" s="6">
        <f t="shared" si="155"/>
        <v>42561</v>
      </c>
      <c r="F958" s="8">
        <f t="shared" si="156"/>
        <v>0.76875000000291038</v>
      </c>
      <c r="G958" t="s">
        <v>7</v>
      </c>
      <c r="H958" s="7">
        <f t="shared" si="144"/>
        <v>1.3194444443797693E-2</v>
      </c>
      <c r="I958" s="13">
        <f t="shared" si="145"/>
        <v>0.31666666666666665</v>
      </c>
      <c r="J958" t="s">
        <v>894</v>
      </c>
      <c r="K958" t="s">
        <v>894</v>
      </c>
      <c r="L958">
        <v>3.1</v>
      </c>
      <c r="M958" s="5">
        <f t="shared" si="146"/>
        <v>9.7894736842105274</v>
      </c>
      <c r="O958" t="str">
        <f t="shared" si="147"/>
        <v>No Purpose</v>
      </c>
    </row>
    <row r="959" spans="1:15" x14ac:dyDescent="0.3">
      <c r="A959" s="1">
        <v>42561.772916666669</v>
      </c>
      <c r="B959" s="6">
        <f t="shared" si="153"/>
        <v>42561</v>
      </c>
      <c r="C959" s="7">
        <f t="shared" si="154"/>
        <v>0.77291666666860692</v>
      </c>
      <c r="D959" s="1">
        <v>42561.792361111111</v>
      </c>
      <c r="E959" s="6">
        <f t="shared" si="155"/>
        <v>42561</v>
      </c>
      <c r="F959" s="8">
        <f t="shared" si="156"/>
        <v>0.79236111111094942</v>
      </c>
      <c r="G959" t="s">
        <v>7</v>
      </c>
      <c r="H959" s="7">
        <f t="shared" si="144"/>
        <v>1.9444444442342501E-2</v>
      </c>
      <c r="I959" s="13">
        <f t="shared" si="145"/>
        <v>0.46666666666666667</v>
      </c>
      <c r="J959" t="s">
        <v>894</v>
      </c>
      <c r="K959" t="s">
        <v>894</v>
      </c>
      <c r="L959">
        <v>6.1</v>
      </c>
      <c r="M959" s="5">
        <f t="shared" si="146"/>
        <v>13.071428571428571</v>
      </c>
      <c r="O959" t="str">
        <f t="shared" si="147"/>
        <v>No Purpose</v>
      </c>
    </row>
    <row r="960" spans="1:15" x14ac:dyDescent="0.3">
      <c r="A960" s="1">
        <v>42592.760416666664</v>
      </c>
      <c r="B960" s="6">
        <f>INT(A960:A998)</f>
        <v>42592</v>
      </c>
      <c r="C960" s="7">
        <f t="shared" si="154"/>
        <v>0.76041666666424135</v>
      </c>
      <c r="D960" s="1">
        <v>42592.762499999997</v>
      </c>
      <c r="E960" s="6">
        <f t="shared" si="155"/>
        <v>42592</v>
      </c>
      <c r="F960" s="8">
        <f t="shared" si="156"/>
        <v>0.76249999999708962</v>
      </c>
      <c r="G960" t="s">
        <v>7</v>
      </c>
      <c r="H960" s="7">
        <f t="shared" si="144"/>
        <v>2.0833333328482695E-3</v>
      </c>
      <c r="I960" s="13">
        <f t="shared" si="145"/>
        <v>0.05</v>
      </c>
      <c r="J960" t="s">
        <v>985</v>
      </c>
      <c r="K960" t="s">
        <v>72</v>
      </c>
      <c r="L960">
        <v>8</v>
      </c>
      <c r="M960" s="5">
        <f t="shared" si="146"/>
        <v>160</v>
      </c>
      <c r="O960" t="str">
        <f t="shared" si="147"/>
        <v>No Purpose</v>
      </c>
    </row>
    <row r="961" spans="1:15" x14ac:dyDescent="0.3">
      <c r="A961" s="1">
        <v>42653.723611111112</v>
      </c>
      <c r="B961" s="6">
        <f>INT(A961:A999)</f>
        <v>42653</v>
      </c>
      <c r="C961" s="7">
        <f t="shared" si="154"/>
        <v>0.72361111111240461</v>
      </c>
      <c r="D961" s="1">
        <v>42653.727777777778</v>
      </c>
      <c r="E961" s="6">
        <f t="shared" si="155"/>
        <v>42653</v>
      </c>
      <c r="F961" s="8">
        <f t="shared" si="156"/>
        <v>0.72777777777810115</v>
      </c>
      <c r="G961" t="s">
        <v>7</v>
      </c>
      <c r="H961" s="7">
        <f t="shared" si="144"/>
        <v>4.166666665696539E-3</v>
      </c>
      <c r="I961" s="13">
        <f t="shared" si="145"/>
        <v>0.1</v>
      </c>
      <c r="J961" t="s">
        <v>88</v>
      </c>
      <c r="K961" t="s">
        <v>88</v>
      </c>
      <c r="L961">
        <v>1.7</v>
      </c>
      <c r="M961" s="5">
        <f t="shared" si="146"/>
        <v>17</v>
      </c>
      <c r="O961" t="str">
        <f t="shared" si="147"/>
        <v>No Purpose</v>
      </c>
    </row>
    <row r="962" spans="1:15" x14ac:dyDescent="0.3">
      <c r="A962" s="1">
        <v>42653.731249999997</v>
      </c>
      <c r="B962" s="6">
        <f>INT(A962:A1000)</f>
        <v>42653</v>
      </c>
      <c r="C962" s="7">
        <f t="shared" si="154"/>
        <v>0.73124999999708962</v>
      </c>
      <c r="D962" s="1">
        <v>42653.759027777778</v>
      </c>
      <c r="E962" s="6">
        <f t="shared" si="155"/>
        <v>42653</v>
      </c>
      <c r="F962" s="8">
        <f t="shared" si="156"/>
        <v>0.75902777777810115</v>
      </c>
      <c r="G962" t="s">
        <v>7</v>
      </c>
      <c r="H962" s="7">
        <f t="shared" ref="H962:H1025" si="157">IF(F962&gt;C962,F962-C962,F962-C962+1)</f>
        <v>2.7777777781011537E-2</v>
      </c>
      <c r="I962" s="13">
        <f t="shared" ref="I962:I1025" si="158">(HOUR(H962)*60+MINUTE(H962))/60</f>
        <v>0.66666666666666663</v>
      </c>
      <c r="J962" t="s">
        <v>88</v>
      </c>
      <c r="K962" t="s">
        <v>72</v>
      </c>
      <c r="L962">
        <v>9.5</v>
      </c>
      <c r="M962" s="5">
        <f t="shared" ref="M962:M1025" si="159">L962/I962</f>
        <v>14.25</v>
      </c>
      <c r="O962" t="str">
        <f t="shared" ref="O962:O1025" si="160">IF(ISBLANK($N962),"No Purpose",$N962)</f>
        <v>No Purpose</v>
      </c>
    </row>
    <row r="963" spans="1:15" x14ac:dyDescent="0.3">
      <c r="A963" s="1">
        <v>42714.804166666669</v>
      </c>
      <c r="B963" s="6">
        <f>INT(A963:A1001)</f>
        <v>42714</v>
      </c>
      <c r="C963" s="7">
        <f t="shared" si="154"/>
        <v>0.80416666666860692</v>
      </c>
      <c r="D963" s="1">
        <v>42714.806250000001</v>
      </c>
      <c r="E963" s="6">
        <f t="shared" si="155"/>
        <v>42714</v>
      </c>
      <c r="F963" s="8">
        <f t="shared" si="156"/>
        <v>0.80625000000145519</v>
      </c>
      <c r="G963" t="s">
        <v>7</v>
      </c>
      <c r="H963" s="7">
        <f t="shared" si="157"/>
        <v>2.0833333328482695E-3</v>
      </c>
      <c r="I963" s="13">
        <f t="shared" si="158"/>
        <v>0.05</v>
      </c>
      <c r="J963" t="s">
        <v>106</v>
      </c>
      <c r="K963" t="s">
        <v>72</v>
      </c>
      <c r="L963">
        <v>18.399999999999999</v>
      </c>
      <c r="M963" s="5">
        <f t="shared" si="159"/>
        <v>367.99999999999994</v>
      </c>
      <c r="O963" t="str">
        <f t="shared" si="160"/>
        <v>No Purpose</v>
      </c>
    </row>
    <row r="964" spans="1:15" x14ac:dyDescent="0.3">
      <c r="A964" t="s">
        <v>1006</v>
      </c>
      <c r="B964" s="2">
        <v>42656</v>
      </c>
      <c r="C964" s="7">
        <v>0.47222222222222227</v>
      </c>
      <c r="D964" t="s">
        <v>1007</v>
      </c>
      <c r="E964" s="2">
        <v>42656</v>
      </c>
      <c r="F964" s="8">
        <v>0.49861111111111112</v>
      </c>
      <c r="G964" t="s">
        <v>7</v>
      </c>
      <c r="H964" s="7">
        <f t="shared" si="157"/>
        <v>2.6388888888888851E-2</v>
      </c>
      <c r="I964" s="13">
        <f t="shared" si="158"/>
        <v>0.6333333333333333</v>
      </c>
      <c r="J964" t="s">
        <v>72</v>
      </c>
      <c r="K964" t="s">
        <v>88</v>
      </c>
      <c r="L964">
        <v>9.8000000000000007</v>
      </c>
      <c r="M964" s="5">
        <f t="shared" si="159"/>
        <v>15.473684210526317</v>
      </c>
      <c r="O964" t="str">
        <f t="shared" si="160"/>
        <v>No Purpose</v>
      </c>
    </row>
    <row r="965" spans="1:15" x14ac:dyDescent="0.3">
      <c r="A965" t="s">
        <v>1008</v>
      </c>
      <c r="B965" s="2">
        <v>42656</v>
      </c>
      <c r="C965" s="7">
        <v>0.50555555555555554</v>
      </c>
      <c r="D965" t="s">
        <v>1009</v>
      </c>
      <c r="E965" s="2">
        <v>42656</v>
      </c>
      <c r="F965" s="8">
        <v>0.50972222222222219</v>
      </c>
      <c r="G965" t="s">
        <v>7</v>
      </c>
      <c r="H965" s="7">
        <f t="shared" si="157"/>
        <v>4.1666666666666519E-3</v>
      </c>
      <c r="I965" s="13">
        <f t="shared" si="158"/>
        <v>0.1</v>
      </c>
      <c r="J965" t="s">
        <v>88</v>
      </c>
      <c r="K965" t="s">
        <v>88</v>
      </c>
      <c r="L965">
        <v>1</v>
      </c>
      <c r="M965" s="5">
        <f t="shared" si="159"/>
        <v>10</v>
      </c>
      <c r="O965" t="str">
        <f t="shared" si="160"/>
        <v>No Purpose</v>
      </c>
    </row>
    <row r="966" spans="1:15" x14ac:dyDescent="0.3">
      <c r="A966" t="s">
        <v>1010</v>
      </c>
      <c r="B966" s="2">
        <v>42656</v>
      </c>
      <c r="C966" s="7">
        <v>0.56736111111111109</v>
      </c>
      <c r="D966" t="s">
        <v>1011</v>
      </c>
      <c r="E966" s="2">
        <v>42656</v>
      </c>
      <c r="F966" s="8">
        <v>0.57361111111111118</v>
      </c>
      <c r="G966" t="s">
        <v>7</v>
      </c>
      <c r="H966" s="7">
        <f t="shared" si="157"/>
        <v>6.2500000000000888E-3</v>
      </c>
      <c r="I966" s="13">
        <f t="shared" si="158"/>
        <v>0.15</v>
      </c>
      <c r="J966" t="s">
        <v>88</v>
      </c>
      <c r="K966" t="s">
        <v>88</v>
      </c>
      <c r="L966">
        <v>2.2999999999999998</v>
      </c>
      <c r="M966" s="5">
        <f t="shared" si="159"/>
        <v>15.333333333333332</v>
      </c>
      <c r="O966" t="str">
        <f t="shared" si="160"/>
        <v>No Purpose</v>
      </c>
    </row>
    <row r="967" spans="1:15" x14ac:dyDescent="0.3">
      <c r="A967" t="s">
        <v>1012</v>
      </c>
      <c r="B967" s="2">
        <v>42656</v>
      </c>
      <c r="C967" s="7">
        <v>0.67222222222222217</v>
      </c>
      <c r="D967" t="s">
        <v>1013</v>
      </c>
      <c r="E967" s="2">
        <v>42656</v>
      </c>
      <c r="F967" s="8">
        <v>0.70347222222222217</v>
      </c>
      <c r="G967" t="s">
        <v>7</v>
      </c>
      <c r="H967" s="7">
        <f t="shared" si="157"/>
        <v>3.125E-2</v>
      </c>
      <c r="I967" s="13">
        <f t="shared" si="158"/>
        <v>0.75</v>
      </c>
      <c r="J967" t="s">
        <v>88</v>
      </c>
      <c r="K967" t="s">
        <v>72</v>
      </c>
      <c r="L967">
        <v>10.9</v>
      </c>
      <c r="M967" s="5">
        <f t="shared" si="159"/>
        <v>14.533333333333333</v>
      </c>
      <c r="O967" t="str">
        <f t="shared" si="160"/>
        <v>No Purpose</v>
      </c>
    </row>
    <row r="968" spans="1:15" x14ac:dyDescent="0.3">
      <c r="A968" t="s">
        <v>1014</v>
      </c>
      <c r="B968" s="2">
        <v>42657</v>
      </c>
      <c r="C968" s="7">
        <v>0.36805555555555558</v>
      </c>
      <c r="D968" t="s">
        <v>1015</v>
      </c>
      <c r="E968" s="2">
        <v>42657</v>
      </c>
      <c r="F968" s="8">
        <v>0.4055555555555555</v>
      </c>
      <c r="G968" t="s">
        <v>7</v>
      </c>
      <c r="H968" s="7">
        <f t="shared" si="157"/>
        <v>3.7499999999999922E-2</v>
      </c>
      <c r="I968" s="13">
        <f t="shared" si="158"/>
        <v>0.9</v>
      </c>
      <c r="J968" t="s">
        <v>72</v>
      </c>
      <c r="K968" t="s">
        <v>106</v>
      </c>
      <c r="L968">
        <v>12.7</v>
      </c>
      <c r="M968" s="5">
        <f t="shared" si="159"/>
        <v>14.111111111111111</v>
      </c>
      <c r="O968" t="str">
        <f t="shared" si="160"/>
        <v>No Purpose</v>
      </c>
    </row>
    <row r="969" spans="1:15" x14ac:dyDescent="0.3">
      <c r="A969" t="s">
        <v>1016</v>
      </c>
      <c r="B969" s="2">
        <v>42657</v>
      </c>
      <c r="C969" s="7">
        <v>0.42777777777777781</v>
      </c>
      <c r="D969" t="s">
        <v>1017</v>
      </c>
      <c r="E969" s="2">
        <v>42657</v>
      </c>
      <c r="F969" s="8">
        <v>0.45277777777777778</v>
      </c>
      <c r="G969" t="s">
        <v>7</v>
      </c>
      <c r="H969" s="7">
        <f t="shared" si="157"/>
        <v>2.4999999999999967E-2</v>
      </c>
      <c r="I969" s="13">
        <f t="shared" si="158"/>
        <v>0.6</v>
      </c>
      <c r="J969" t="s">
        <v>106</v>
      </c>
      <c r="K969" t="s">
        <v>72</v>
      </c>
      <c r="L969">
        <v>12.4</v>
      </c>
      <c r="M969" s="5">
        <f t="shared" si="159"/>
        <v>20.666666666666668</v>
      </c>
      <c r="O969" t="str">
        <f t="shared" si="160"/>
        <v>No Purpose</v>
      </c>
    </row>
    <row r="970" spans="1:15" x14ac:dyDescent="0.3">
      <c r="A970" t="s">
        <v>1018</v>
      </c>
      <c r="B970" s="2">
        <v>42657</v>
      </c>
      <c r="C970" s="7">
        <v>0.66388888888888886</v>
      </c>
      <c r="D970" t="s">
        <v>1019</v>
      </c>
      <c r="E970" s="2">
        <v>42657</v>
      </c>
      <c r="F970" s="8">
        <v>0.68055555555555547</v>
      </c>
      <c r="G970" t="s">
        <v>7</v>
      </c>
      <c r="H970" s="7">
        <f t="shared" si="157"/>
        <v>1.6666666666666607E-2</v>
      </c>
      <c r="I970" s="13">
        <f t="shared" si="158"/>
        <v>0.4</v>
      </c>
      <c r="J970" t="s">
        <v>72</v>
      </c>
      <c r="K970" t="s">
        <v>72</v>
      </c>
      <c r="L970">
        <v>3.8</v>
      </c>
      <c r="M970" s="5">
        <f t="shared" si="159"/>
        <v>9.4999999999999982</v>
      </c>
      <c r="O970" t="str">
        <f t="shared" si="160"/>
        <v>No Purpose</v>
      </c>
    </row>
    <row r="971" spans="1:15" x14ac:dyDescent="0.3">
      <c r="A971" t="s">
        <v>1022</v>
      </c>
      <c r="B971" s="2">
        <v>42658</v>
      </c>
      <c r="C971" s="7">
        <v>0.93611111111111101</v>
      </c>
      <c r="D971" t="s">
        <v>1023</v>
      </c>
      <c r="E971" s="2">
        <v>42658</v>
      </c>
      <c r="F971" s="8">
        <v>0.95000000000000007</v>
      </c>
      <c r="G971" t="s">
        <v>7</v>
      </c>
      <c r="H971" s="7">
        <f t="shared" si="157"/>
        <v>1.3888888888889062E-2</v>
      </c>
      <c r="I971" s="13">
        <f t="shared" si="158"/>
        <v>0.33333333333333331</v>
      </c>
      <c r="J971" t="s">
        <v>16</v>
      </c>
      <c r="K971" t="s">
        <v>16</v>
      </c>
      <c r="L971">
        <v>6.2</v>
      </c>
      <c r="M971" s="5">
        <f t="shared" si="159"/>
        <v>18.600000000000001</v>
      </c>
      <c r="O971" t="str">
        <f t="shared" si="160"/>
        <v>No Purpose</v>
      </c>
    </row>
    <row r="972" spans="1:15" x14ac:dyDescent="0.3">
      <c r="A972" t="s">
        <v>1024</v>
      </c>
      <c r="B972" s="2">
        <v>42659</v>
      </c>
      <c r="C972" s="7">
        <v>6.9444444444444447E-4</v>
      </c>
      <c r="D972" t="s">
        <v>1025</v>
      </c>
      <c r="E972" s="2">
        <v>42659</v>
      </c>
      <c r="F972" s="8">
        <v>9.7222222222222224E-3</v>
      </c>
      <c r="G972" t="s">
        <v>7</v>
      </c>
      <c r="H972" s="7">
        <f t="shared" si="157"/>
        <v>9.0277777777777787E-3</v>
      </c>
      <c r="I972" s="13">
        <f t="shared" si="158"/>
        <v>0.21666666666666667</v>
      </c>
      <c r="J972" t="s">
        <v>16</v>
      </c>
      <c r="K972" t="s">
        <v>15</v>
      </c>
      <c r="L972">
        <v>3.1</v>
      </c>
      <c r="M972" s="5">
        <f t="shared" si="159"/>
        <v>14.307692307692308</v>
      </c>
      <c r="O972" t="str">
        <f t="shared" si="160"/>
        <v>No Purpose</v>
      </c>
    </row>
    <row r="973" spans="1:15" x14ac:dyDescent="0.3">
      <c r="A973" t="s">
        <v>1028</v>
      </c>
      <c r="B973" s="2">
        <v>42659</v>
      </c>
      <c r="C973" s="7">
        <v>0.61111111111111105</v>
      </c>
      <c r="D973" t="s">
        <v>1029</v>
      </c>
      <c r="E973" s="2">
        <v>42659</v>
      </c>
      <c r="F973" s="8">
        <v>0.62569444444444444</v>
      </c>
      <c r="G973" t="s">
        <v>7</v>
      </c>
      <c r="H973" s="7">
        <f t="shared" si="157"/>
        <v>1.4583333333333393E-2</v>
      </c>
      <c r="I973" s="13">
        <f t="shared" si="158"/>
        <v>0.35</v>
      </c>
      <c r="J973" t="s">
        <v>36</v>
      </c>
      <c r="K973" t="s">
        <v>16</v>
      </c>
      <c r="L973">
        <v>8.1</v>
      </c>
      <c r="M973" s="5">
        <f t="shared" si="159"/>
        <v>23.142857142857142</v>
      </c>
      <c r="O973" t="str">
        <f t="shared" si="160"/>
        <v>No Purpose</v>
      </c>
    </row>
    <row r="974" spans="1:15" x14ac:dyDescent="0.3">
      <c r="A974" t="s">
        <v>1030</v>
      </c>
      <c r="B974" s="2">
        <v>42659</v>
      </c>
      <c r="C974" s="7">
        <v>0.63194444444444442</v>
      </c>
      <c r="D974" t="s">
        <v>1031</v>
      </c>
      <c r="E974" s="2">
        <v>42659</v>
      </c>
      <c r="F974" s="8">
        <v>0.6381944444444444</v>
      </c>
      <c r="G974" t="s">
        <v>7</v>
      </c>
      <c r="H974" s="7">
        <f t="shared" si="157"/>
        <v>6.2499999999999778E-3</v>
      </c>
      <c r="I974" s="13">
        <f t="shared" si="158"/>
        <v>0.15</v>
      </c>
      <c r="J974" t="s">
        <v>16</v>
      </c>
      <c r="K974" t="s">
        <v>15</v>
      </c>
      <c r="L974">
        <v>3.1</v>
      </c>
      <c r="M974" s="5">
        <f t="shared" si="159"/>
        <v>20.666666666666668</v>
      </c>
      <c r="O974" t="str">
        <f t="shared" si="160"/>
        <v>No Purpose</v>
      </c>
    </row>
    <row r="975" spans="1:15" x14ac:dyDescent="0.3">
      <c r="A975" t="s">
        <v>1034</v>
      </c>
      <c r="B975" s="2">
        <v>42659</v>
      </c>
      <c r="C975" s="7">
        <v>0.85416666666666663</v>
      </c>
      <c r="D975" t="s">
        <v>1035</v>
      </c>
      <c r="E975" s="2">
        <v>42659</v>
      </c>
      <c r="F975" s="8">
        <v>0.86041666666666661</v>
      </c>
      <c r="G975" t="s">
        <v>7</v>
      </c>
      <c r="H975" s="7">
        <f t="shared" si="157"/>
        <v>6.2499999999999778E-3</v>
      </c>
      <c r="I975" s="13">
        <f t="shared" si="158"/>
        <v>0.15</v>
      </c>
      <c r="J975" t="s">
        <v>15</v>
      </c>
      <c r="K975" t="s">
        <v>16</v>
      </c>
      <c r="L975">
        <v>4.3</v>
      </c>
      <c r="M975" s="5">
        <f t="shared" si="159"/>
        <v>28.666666666666668</v>
      </c>
      <c r="O975" t="str">
        <f t="shared" si="160"/>
        <v>No Purpose</v>
      </c>
    </row>
    <row r="976" spans="1:15" x14ac:dyDescent="0.3">
      <c r="A976" t="s">
        <v>1038</v>
      </c>
      <c r="B976" s="2">
        <v>42660</v>
      </c>
      <c r="C976" s="7">
        <v>0.6381944444444444</v>
      </c>
      <c r="D976" t="s">
        <v>1039</v>
      </c>
      <c r="E976" s="2">
        <v>42660</v>
      </c>
      <c r="F976" s="8">
        <v>0.6645833333333333</v>
      </c>
      <c r="G976" t="s">
        <v>7</v>
      </c>
      <c r="H976" s="7">
        <f t="shared" si="157"/>
        <v>2.6388888888888906E-2</v>
      </c>
      <c r="I976" s="13">
        <f t="shared" si="158"/>
        <v>0.6333333333333333</v>
      </c>
      <c r="J976" t="s">
        <v>15</v>
      </c>
      <c r="K976" t="s">
        <v>40</v>
      </c>
      <c r="L976">
        <v>20.6</v>
      </c>
      <c r="M976" s="5">
        <f t="shared" si="159"/>
        <v>32.526315789473685</v>
      </c>
      <c r="O976" t="str">
        <f t="shared" si="160"/>
        <v>No Purpose</v>
      </c>
    </row>
    <row r="977" spans="1:15" x14ac:dyDescent="0.3">
      <c r="A977" t="s">
        <v>1040</v>
      </c>
      <c r="B977" s="2">
        <v>42660</v>
      </c>
      <c r="C977" s="7">
        <v>0.68680555555555556</v>
      </c>
      <c r="D977" t="s">
        <v>1041</v>
      </c>
      <c r="E977" s="2">
        <v>42660</v>
      </c>
      <c r="F977" s="8">
        <v>0.71597222222222223</v>
      </c>
      <c r="G977" t="s">
        <v>7</v>
      </c>
      <c r="H977" s="7">
        <f t="shared" si="157"/>
        <v>2.9166666666666674E-2</v>
      </c>
      <c r="I977" s="13">
        <f t="shared" si="158"/>
        <v>0.7</v>
      </c>
      <c r="J977" t="s">
        <v>40</v>
      </c>
      <c r="K977" t="s">
        <v>15</v>
      </c>
      <c r="L977">
        <v>17.600000000000001</v>
      </c>
      <c r="M977" s="5">
        <f t="shared" si="159"/>
        <v>25.142857142857146</v>
      </c>
      <c r="O977" t="str">
        <f t="shared" si="160"/>
        <v>No Purpose</v>
      </c>
    </row>
    <row r="978" spans="1:15" x14ac:dyDescent="0.3">
      <c r="A978" t="s">
        <v>1042</v>
      </c>
      <c r="B978" s="2">
        <v>42660</v>
      </c>
      <c r="C978" s="7">
        <v>0.75138888888888899</v>
      </c>
      <c r="D978" t="s">
        <v>1043</v>
      </c>
      <c r="E978" s="2">
        <v>42660</v>
      </c>
      <c r="F978" s="8">
        <v>0.76111111111111107</v>
      </c>
      <c r="G978" t="s">
        <v>7</v>
      </c>
      <c r="H978" s="7">
        <f t="shared" si="157"/>
        <v>9.7222222222220767E-3</v>
      </c>
      <c r="I978" s="13">
        <f t="shared" si="158"/>
        <v>0.23333333333333334</v>
      </c>
      <c r="J978" t="s">
        <v>15</v>
      </c>
      <c r="K978" t="s">
        <v>48</v>
      </c>
      <c r="L978">
        <v>5.6</v>
      </c>
      <c r="M978" s="5">
        <f t="shared" si="159"/>
        <v>23.999999999999996</v>
      </c>
      <c r="O978" t="str">
        <f t="shared" si="160"/>
        <v>No Purpose</v>
      </c>
    </row>
    <row r="979" spans="1:15" x14ac:dyDescent="0.3">
      <c r="A979" t="s">
        <v>1044</v>
      </c>
      <c r="B979" s="2">
        <v>42660</v>
      </c>
      <c r="C979" s="7">
        <v>0.7715277777777777</v>
      </c>
      <c r="D979" t="s">
        <v>1045</v>
      </c>
      <c r="E979" s="2">
        <v>42660</v>
      </c>
      <c r="F979" s="8">
        <v>0.78125</v>
      </c>
      <c r="G979" t="s">
        <v>7</v>
      </c>
      <c r="H979" s="7">
        <f t="shared" si="157"/>
        <v>9.7222222222222987E-3</v>
      </c>
      <c r="I979" s="13">
        <f t="shared" si="158"/>
        <v>0.23333333333333334</v>
      </c>
      <c r="J979" t="s">
        <v>48</v>
      </c>
      <c r="K979" t="s">
        <v>48</v>
      </c>
      <c r="L979">
        <v>3.3</v>
      </c>
      <c r="M979" s="5">
        <f t="shared" si="159"/>
        <v>14.142857142857142</v>
      </c>
      <c r="O979" t="str">
        <f t="shared" si="160"/>
        <v>No Purpose</v>
      </c>
    </row>
    <row r="980" spans="1:15" x14ac:dyDescent="0.3">
      <c r="A980" t="s">
        <v>1046</v>
      </c>
      <c r="B980" s="2">
        <v>42660</v>
      </c>
      <c r="C980" s="7">
        <v>0.79722222222222217</v>
      </c>
      <c r="D980" t="s">
        <v>1047</v>
      </c>
      <c r="E980" s="2">
        <v>42660</v>
      </c>
      <c r="F980" s="8">
        <v>0.80902777777777779</v>
      </c>
      <c r="G980" t="s">
        <v>7</v>
      </c>
      <c r="H980" s="7">
        <f t="shared" si="157"/>
        <v>1.1805555555555625E-2</v>
      </c>
      <c r="I980" s="13">
        <f t="shared" si="158"/>
        <v>0.28333333333333333</v>
      </c>
      <c r="J980" t="s">
        <v>48</v>
      </c>
      <c r="K980" t="s">
        <v>15</v>
      </c>
      <c r="L980">
        <v>5.3</v>
      </c>
      <c r="M980" s="5">
        <f t="shared" si="159"/>
        <v>18.705882352941178</v>
      </c>
      <c r="O980" t="str">
        <f t="shared" si="160"/>
        <v>No Purpose</v>
      </c>
    </row>
    <row r="981" spans="1:15" x14ac:dyDescent="0.3">
      <c r="A981" t="s">
        <v>1048</v>
      </c>
      <c r="B981" s="2">
        <v>42661</v>
      </c>
      <c r="C981" s="7">
        <v>0.34166666666666662</v>
      </c>
      <c r="D981" t="s">
        <v>1049</v>
      </c>
      <c r="E981" s="2">
        <v>42661</v>
      </c>
      <c r="F981" s="8">
        <v>0.34861111111111115</v>
      </c>
      <c r="G981" t="s">
        <v>7</v>
      </c>
      <c r="H981" s="7">
        <f t="shared" si="157"/>
        <v>6.9444444444445308E-3</v>
      </c>
      <c r="I981" s="13">
        <f t="shared" si="158"/>
        <v>0.16666666666666666</v>
      </c>
      <c r="J981" t="s">
        <v>38</v>
      </c>
      <c r="K981" t="s">
        <v>54</v>
      </c>
      <c r="L981">
        <v>3.3</v>
      </c>
      <c r="M981" s="5">
        <f t="shared" si="159"/>
        <v>19.8</v>
      </c>
      <c r="O981" t="str">
        <f t="shared" si="160"/>
        <v>No Purpose</v>
      </c>
    </row>
    <row r="982" spans="1:15" x14ac:dyDescent="0.3">
      <c r="A982" t="s">
        <v>1050</v>
      </c>
      <c r="B982" s="2">
        <v>42661</v>
      </c>
      <c r="C982" s="7">
        <v>0.37013888888888885</v>
      </c>
      <c r="D982" t="s">
        <v>1051</v>
      </c>
      <c r="E982" s="2">
        <v>42661</v>
      </c>
      <c r="F982" s="8">
        <v>0.37638888888888888</v>
      </c>
      <c r="G982" t="s">
        <v>7</v>
      </c>
      <c r="H982" s="7">
        <f t="shared" si="157"/>
        <v>6.2500000000000333E-3</v>
      </c>
      <c r="I982" s="13">
        <f t="shared" si="158"/>
        <v>0.15</v>
      </c>
      <c r="J982" t="s">
        <v>54</v>
      </c>
      <c r="K982" t="s">
        <v>38</v>
      </c>
      <c r="L982">
        <v>3.3</v>
      </c>
      <c r="M982" s="5">
        <f t="shared" si="159"/>
        <v>22</v>
      </c>
      <c r="O982" t="str">
        <f t="shared" si="160"/>
        <v>No Purpose</v>
      </c>
    </row>
    <row r="983" spans="1:15" x14ac:dyDescent="0.3">
      <c r="A983" t="s">
        <v>1054</v>
      </c>
      <c r="B983" s="2">
        <v>42661</v>
      </c>
      <c r="C983" s="7">
        <v>0.7583333333333333</v>
      </c>
      <c r="D983" t="s">
        <v>1055</v>
      </c>
      <c r="E983" s="2">
        <v>42661</v>
      </c>
      <c r="F983" s="8">
        <v>0.7729166666666667</v>
      </c>
      <c r="G983" t="s">
        <v>7</v>
      </c>
      <c r="H983" s="7">
        <f t="shared" si="157"/>
        <v>1.4583333333333393E-2</v>
      </c>
      <c r="I983" s="13">
        <f t="shared" si="158"/>
        <v>0.35</v>
      </c>
      <c r="J983" t="s">
        <v>468</v>
      </c>
      <c r="K983" t="s">
        <v>469</v>
      </c>
      <c r="L983">
        <v>13</v>
      </c>
      <c r="M983" s="5">
        <f t="shared" si="159"/>
        <v>37.142857142857146</v>
      </c>
      <c r="O983" t="str">
        <f t="shared" si="160"/>
        <v>No Purpose</v>
      </c>
    </row>
    <row r="984" spans="1:15" x14ac:dyDescent="0.3">
      <c r="A984" t="s">
        <v>1056</v>
      </c>
      <c r="B984" s="2">
        <v>42661</v>
      </c>
      <c r="C984" s="7">
        <v>0.79375000000000007</v>
      </c>
      <c r="D984" t="s">
        <v>1057</v>
      </c>
      <c r="E984" s="2">
        <v>42661</v>
      </c>
      <c r="F984" s="8">
        <v>0.80069444444444438</v>
      </c>
      <c r="G984" t="s">
        <v>7</v>
      </c>
      <c r="H984" s="7">
        <f t="shared" si="157"/>
        <v>6.9444444444443088E-3</v>
      </c>
      <c r="I984" s="13">
        <f t="shared" si="158"/>
        <v>0.16666666666666666</v>
      </c>
      <c r="J984" t="s">
        <v>469</v>
      </c>
      <c r="K984" t="s">
        <v>472</v>
      </c>
      <c r="L984">
        <v>3</v>
      </c>
      <c r="M984" s="5">
        <f t="shared" si="159"/>
        <v>18</v>
      </c>
      <c r="O984" t="str">
        <f t="shared" si="160"/>
        <v>No Purpose</v>
      </c>
    </row>
    <row r="985" spans="1:15" x14ac:dyDescent="0.3">
      <c r="A985" t="s">
        <v>1058</v>
      </c>
      <c r="B985" s="2">
        <v>42661</v>
      </c>
      <c r="C985" s="7">
        <v>0.85486111111111107</v>
      </c>
      <c r="D985" t="s">
        <v>1059</v>
      </c>
      <c r="E985" s="2">
        <v>42661</v>
      </c>
      <c r="F985" s="8">
        <v>0.85902777777777783</v>
      </c>
      <c r="G985" t="s">
        <v>7</v>
      </c>
      <c r="H985" s="7">
        <f t="shared" si="157"/>
        <v>4.1666666666667629E-3</v>
      </c>
      <c r="I985" s="13">
        <f t="shared" si="158"/>
        <v>0.1</v>
      </c>
      <c r="J985" t="s">
        <v>472</v>
      </c>
      <c r="K985" t="s">
        <v>469</v>
      </c>
      <c r="L985">
        <v>3</v>
      </c>
      <c r="M985" s="5">
        <f t="shared" si="159"/>
        <v>30</v>
      </c>
      <c r="O985" t="str">
        <f t="shared" si="160"/>
        <v>No Purpose</v>
      </c>
    </row>
    <row r="986" spans="1:15" x14ac:dyDescent="0.3">
      <c r="A986" t="s">
        <v>1060</v>
      </c>
      <c r="B986" s="2">
        <v>42662</v>
      </c>
      <c r="C986" s="7">
        <v>0.3979166666666667</v>
      </c>
      <c r="D986" t="s">
        <v>1061</v>
      </c>
      <c r="E986" s="2">
        <v>42662</v>
      </c>
      <c r="F986" s="8">
        <v>0.40763888888888888</v>
      </c>
      <c r="G986" t="s">
        <v>7</v>
      </c>
      <c r="H986" s="7">
        <f t="shared" si="157"/>
        <v>9.7222222222221877E-3</v>
      </c>
      <c r="I986" s="13">
        <f t="shared" si="158"/>
        <v>0.23333333333333334</v>
      </c>
      <c r="J986" t="s">
        <v>469</v>
      </c>
      <c r="K986" t="s">
        <v>468</v>
      </c>
      <c r="L986">
        <v>3.8</v>
      </c>
      <c r="M986" s="5">
        <f t="shared" si="159"/>
        <v>16.285714285714285</v>
      </c>
      <c r="O986" t="str">
        <f t="shared" si="160"/>
        <v>No Purpose</v>
      </c>
    </row>
    <row r="987" spans="1:15" x14ac:dyDescent="0.3">
      <c r="A987" t="s">
        <v>1062</v>
      </c>
      <c r="B987" s="2">
        <v>42662</v>
      </c>
      <c r="C987" s="7">
        <v>0.41250000000000003</v>
      </c>
      <c r="D987" t="s">
        <v>1063</v>
      </c>
      <c r="E987" s="2">
        <v>42662</v>
      </c>
      <c r="F987" s="8">
        <v>0.43124999999999997</v>
      </c>
      <c r="G987" t="s">
        <v>7</v>
      </c>
      <c r="H987" s="7">
        <f t="shared" si="157"/>
        <v>1.8749999999999933E-2</v>
      </c>
      <c r="I987" s="13">
        <f t="shared" si="158"/>
        <v>0.45</v>
      </c>
      <c r="J987" t="s">
        <v>468</v>
      </c>
      <c r="K987" t="s">
        <v>396</v>
      </c>
      <c r="L987">
        <v>9.5</v>
      </c>
      <c r="M987" s="5">
        <f t="shared" si="159"/>
        <v>21.111111111111111</v>
      </c>
      <c r="O987" t="str">
        <f t="shared" si="160"/>
        <v>No Purpose</v>
      </c>
    </row>
    <row r="988" spans="1:15" x14ac:dyDescent="0.3">
      <c r="A988" t="s">
        <v>1064</v>
      </c>
      <c r="B988" s="2">
        <v>42662</v>
      </c>
      <c r="C988" s="7">
        <v>0.57291666666666663</v>
      </c>
      <c r="D988" t="s">
        <v>1065</v>
      </c>
      <c r="E988" s="2">
        <v>42662</v>
      </c>
      <c r="F988" s="8">
        <v>0.5805555555555556</v>
      </c>
      <c r="G988" t="s">
        <v>7</v>
      </c>
      <c r="H988" s="7">
        <f t="shared" si="157"/>
        <v>7.6388888888889728E-3</v>
      </c>
      <c r="I988" s="13">
        <f t="shared" si="158"/>
        <v>0.18333333333333332</v>
      </c>
      <c r="J988" t="s">
        <v>1066</v>
      </c>
      <c r="K988" t="s">
        <v>1067</v>
      </c>
      <c r="L988">
        <v>1.7</v>
      </c>
      <c r="M988" s="5">
        <f t="shared" si="159"/>
        <v>9.2727272727272734</v>
      </c>
      <c r="O988" t="str">
        <f t="shared" si="160"/>
        <v>No Purpose</v>
      </c>
    </row>
    <row r="989" spans="1:15" x14ac:dyDescent="0.3">
      <c r="A989" t="s">
        <v>1068</v>
      </c>
      <c r="B989" s="2">
        <v>42662</v>
      </c>
      <c r="C989" s="7">
        <v>0.58472222222222225</v>
      </c>
      <c r="D989" t="s">
        <v>1069</v>
      </c>
      <c r="E989" s="2">
        <v>42662</v>
      </c>
      <c r="F989" s="8">
        <v>0.60486111111111118</v>
      </c>
      <c r="G989" t="s">
        <v>7</v>
      </c>
      <c r="H989" s="7">
        <f t="shared" si="157"/>
        <v>2.0138888888888928E-2</v>
      </c>
      <c r="I989" s="13">
        <f t="shared" si="158"/>
        <v>0.48333333333333334</v>
      </c>
      <c r="J989" t="s">
        <v>396</v>
      </c>
      <c r="K989" t="s">
        <v>472</v>
      </c>
      <c r="L989">
        <v>10.8</v>
      </c>
      <c r="M989" s="5">
        <f t="shared" si="159"/>
        <v>22.344827586206897</v>
      </c>
      <c r="O989" t="str">
        <f t="shared" si="160"/>
        <v>No Purpose</v>
      </c>
    </row>
    <row r="990" spans="1:15" x14ac:dyDescent="0.3">
      <c r="A990" t="s">
        <v>1070</v>
      </c>
      <c r="B990" s="2">
        <v>42662</v>
      </c>
      <c r="C990" s="7">
        <v>0.65555555555555556</v>
      </c>
      <c r="D990" t="s">
        <v>1071</v>
      </c>
      <c r="E990" s="2">
        <v>42662</v>
      </c>
      <c r="F990" s="8">
        <v>0.66805555555555562</v>
      </c>
      <c r="G990" t="s">
        <v>7</v>
      </c>
      <c r="H990" s="7">
        <f t="shared" si="157"/>
        <v>1.2500000000000067E-2</v>
      </c>
      <c r="I990" s="13">
        <f t="shared" si="158"/>
        <v>0.3</v>
      </c>
      <c r="J990" t="s">
        <v>1072</v>
      </c>
      <c r="K990" t="s">
        <v>1073</v>
      </c>
      <c r="L990">
        <v>4.0999999999999996</v>
      </c>
      <c r="M990" s="5">
        <f t="shared" si="159"/>
        <v>13.666666666666666</v>
      </c>
      <c r="O990" t="str">
        <f t="shared" si="160"/>
        <v>No Purpose</v>
      </c>
    </row>
    <row r="991" spans="1:15" x14ac:dyDescent="0.3">
      <c r="A991" t="s">
        <v>1074</v>
      </c>
      <c r="B991" s="2">
        <v>42662</v>
      </c>
      <c r="C991" s="7">
        <v>0.67083333333333339</v>
      </c>
      <c r="D991" t="s">
        <v>1075</v>
      </c>
      <c r="E991" s="2">
        <v>42662</v>
      </c>
      <c r="F991" s="8">
        <v>0.67986111111111114</v>
      </c>
      <c r="G991" t="s">
        <v>7</v>
      </c>
      <c r="H991" s="7">
        <f t="shared" si="157"/>
        <v>9.0277777777777457E-3</v>
      </c>
      <c r="I991" s="13">
        <f t="shared" si="158"/>
        <v>0.21666666666666667</v>
      </c>
      <c r="J991" t="s">
        <v>1073</v>
      </c>
      <c r="K991" t="s">
        <v>1076</v>
      </c>
      <c r="L991">
        <v>2.2000000000000002</v>
      </c>
      <c r="M991" s="5">
        <f t="shared" si="159"/>
        <v>10.153846153846155</v>
      </c>
      <c r="O991" t="str">
        <f t="shared" si="160"/>
        <v>No Purpose</v>
      </c>
    </row>
    <row r="992" spans="1:15" x14ac:dyDescent="0.3">
      <c r="A992" t="s">
        <v>1077</v>
      </c>
      <c r="B992" s="2">
        <v>42662</v>
      </c>
      <c r="C992" s="7">
        <v>0.68958333333333333</v>
      </c>
      <c r="D992" t="s">
        <v>1078</v>
      </c>
      <c r="E992" s="2">
        <v>42662</v>
      </c>
      <c r="F992" s="8">
        <v>0.7090277777777777</v>
      </c>
      <c r="G992" t="s">
        <v>7</v>
      </c>
      <c r="H992" s="7">
        <f t="shared" si="157"/>
        <v>1.9444444444444375E-2</v>
      </c>
      <c r="I992" s="13">
        <f t="shared" si="158"/>
        <v>0.46666666666666667</v>
      </c>
      <c r="J992" t="s">
        <v>472</v>
      </c>
      <c r="K992" t="s">
        <v>469</v>
      </c>
      <c r="L992">
        <v>4.5999999999999996</v>
      </c>
      <c r="M992" s="5">
        <f t="shared" si="159"/>
        <v>9.8571428571428559</v>
      </c>
      <c r="O992" t="str">
        <f t="shared" si="160"/>
        <v>No Purpose</v>
      </c>
    </row>
    <row r="993" spans="1:15" x14ac:dyDescent="0.3">
      <c r="A993" t="s">
        <v>1079</v>
      </c>
      <c r="B993" s="2">
        <v>42663</v>
      </c>
      <c r="C993" s="7">
        <v>0.47638888888888892</v>
      </c>
      <c r="D993" t="s">
        <v>1080</v>
      </c>
      <c r="E993" s="2">
        <v>42663</v>
      </c>
      <c r="F993" s="8">
        <v>0.48194444444444445</v>
      </c>
      <c r="G993" t="s">
        <v>7</v>
      </c>
      <c r="H993" s="7">
        <f t="shared" si="157"/>
        <v>5.5555555555555358E-3</v>
      </c>
      <c r="I993" s="13">
        <f t="shared" si="158"/>
        <v>0.13333333333333333</v>
      </c>
      <c r="J993" t="s">
        <v>469</v>
      </c>
      <c r="K993" t="s">
        <v>472</v>
      </c>
      <c r="L993">
        <v>3.1</v>
      </c>
      <c r="M993" s="5">
        <f t="shared" si="159"/>
        <v>23.25</v>
      </c>
      <c r="O993" t="str">
        <f t="shared" si="160"/>
        <v>No Purpose</v>
      </c>
    </row>
    <row r="994" spans="1:15" x14ac:dyDescent="0.3">
      <c r="A994" t="s">
        <v>1081</v>
      </c>
      <c r="B994" s="2">
        <v>42663</v>
      </c>
      <c r="C994" s="7">
        <v>0.5131944444444444</v>
      </c>
      <c r="D994" t="s">
        <v>1082</v>
      </c>
      <c r="E994" s="2">
        <v>42663</v>
      </c>
      <c r="F994" s="8">
        <v>0.55347222222222225</v>
      </c>
      <c r="G994" t="s">
        <v>7</v>
      </c>
      <c r="H994" s="7">
        <f t="shared" si="157"/>
        <v>4.0277777777777857E-2</v>
      </c>
      <c r="I994" s="13">
        <f t="shared" si="158"/>
        <v>0.96666666666666667</v>
      </c>
      <c r="J994" t="s">
        <v>472</v>
      </c>
      <c r="K994" t="s">
        <v>1083</v>
      </c>
      <c r="L994">
        <v>47.7</v>
      </c>
      <c r="M994" s="5">
        <f t="shared" si="159"/>
        <v>49.344827586206897</v>
      </c>
      <c r="O994" t="str">
        <f t="shared" si="160"/>
        <v>No Purpose</v>
      </c>
    </row>
    <row r="995" spans="1:15" x14ac:dyDescent="0.3">
      <c r="A995" t="s">
        <v>1084</v>
      </c>
      <c r="B995" s="2">
        <v>42663</v>
      </c>
      <c r="C995" s="7">
        <v>0.86388888888888893</v>
      </c>
      <c r="D995" t="s">
        <v>1085</v>
      </c>
      <c r="E995" s="2">
        <v>42663</v>
      </c>
      <c r="F995" s="8">
        <v>0.90069444444444446</v>
      </c>
      <c r="G995" t="s">
        <v>7</v>
      </c>
      <c r="H995" s="7">
        <f t="shared" si="157"/>
        <v>3.6805555555555536E-2</v>
      </c>
      <c r="I995" s="13">
        <f t="shared" si="158"/>
        <v>0.8833333333333333</v>
      </c>
      <c r="J995" t="s">
        <v>1083</v>
      </c>
      <c r="K995" t="s">
        <v>469</v>
      </c>
      <c r="L995">
        <v>44.6</v>
      </c>
      <c r="M995" s="5">
        <f t="shared" si="159"/>
        <v>50.490566037735853</v>
      </c>
      <c r="O995" t="str">
        <f t="shared" si="160"/>
        <v>No Purpose</v>
      </c>
    </row>
    <row r="996" spans="1:15" x14ac:dyDescent="0.3">
      <c r="A996" t="s">
        <v>1086</v>
      </c>
      <c r="B996" s="2">
        <v>42664</v>
      </c>
      <c r="C996" s="7">
        <v>0.42083333333333334</v>
      </c>
      <c r="D996" t="s">
        <v>1087</v>
      </c>
      <c r="E996" s="2">
        <v>42664</v>
      </c>
      <c r="F996" s="8">
        <v>0.43124999999999997</v>
      </c>
      <c r="G996" t="s">
        <v>7</v>
      </c>
      <c r="H996" s="7">
        <f t="shared" si="157"/>
        <v>1.041666666666663E-2</v>
      </c>
      <c r="I996" s="13">
        <f t="shared" si="158"/>
        <v>0.25</v>
      </c>
      <c r="J996" t="s">
        <v>469</v>
      </c>
      <c r="K996" t="s">
        <v>468</v>
      </c>
      <c r="L996">
        <v>13.2</v>
      </c>
      <c r="M996" s="5">
        <f t="shared" si="159"/>
        <v>52.8</v>
      </c>
      <c r="O996" t="str">
        <f t="shared" si="160"/>
        <v>No Purpose</v>
      </c>
    </row>
    <row r="997" spans="1:15" x14ac:dyDescent="0.3">
      <c r="A997" t="s">
        <v>1088</v>
      </c>
      <c r="B997" s="2">
        <v>42665</v>
      </c>
      <c r="C997" s="7">
        <v>3.7499999999999999E-2</v>
      </c>
      <c r="D997" t="s">
        <v>1089</v>
      </c>
      <c r="E997" s="2">
        <v>42665</v>
      </c>
      <c r="F997" s="8">
        <v>4.7916666666666663E-2</v>
      </c>
      <c r="G997" t="s">
        <v>7</v>
      </c>
      <c r="H997" s="7">
        <f t="shared" si="157"/>
        <v>1.0416666666666664E-2</v>
      </c>
      <c r="I997" s="13">
        <f t="shared" si="158"/>
        <v>0.25</v>
      </c>
      <c r="J997" t="s">
        <v>16</v>
      </c>
      <c r="K997" t="s">
        <v>15</v>
      </c>
      <c r="L997">
        <v>8.6999999999999993</v>
      </c>
      <c r="M997" s="5">
        <f t="shared" si="159"/>
        <v>34.799999999999997</v>
      </c>
      <c r="O997" t="str">
        <f t="shared" si="160"/>
        <v>No Purpose</v>
      </c>
    </row>
    <row r="998" spans="1:15" x14ac:dyDescent="0.3">
      <c r="A998" t="s">
        <v>1090</v>
      </c>
      <c r="B998" s="2">
        <v>42665</v>
      </c>
      <c r="C998" s="7">
        <v>0.55972222222222223</v>
      </c>
      <c r="D998" t="s">
        <v>1091</v>
      </c>
      <c r="E998" s="2">
        <v>42665</v>
      </c>
      <c r="F998" s="8">
        <v>0.5854166666666667</v>
      </c>
      <c r="G998" t="s">
        <v>7</v>
      </c>
      <c r="H998" s="7">
        <f t="shared" si="157"/>
        <v>2.5694444444444464E-2</v>
      </c>
      <c r="I998" s="13">
        <f t="shared" si="158"/>
        <v>0.6166666666666667</v>
      </c>
      <c r="J998" t="s">
        <v>15</v>
      </c>
      <c r="K998" t="s">
        <v>40</v>
      </c>
      <c r="L998">
        <v>17.2</v>
      </c>
      <c r="M998" s="5">
        <f t="shared" si="159"/>
        <v>27.891891891891888</v>
      </c>
      <c r="O998" t="str">
        <f t="shared" si="160"/>
        <v>No Purpose</v>
      </c>
    </row>
    <row r="999" spans="1:15" x14ac:dyDescent="0.3">
      <c r="A999" t="s">
        <v>1092</v>
      </c>
      <c r="B999" s="2">
        <v>42665</v>
      </c>
      <c r="C999" s="7">
        <v>0.71388888888888891</v>
      </c>
      <c r="D999" t="s">
        <v>1093</v>
      </c>
      <c r="E999" s="2">
        <v>42665</v>
      </c>
      <c r="F999" s="8">
        <v>0.74652777777777779</v>
      </c>
      <c r="G999" t="s">
        <v>7</v>
      </c>
      <c r="H999" s="7">
        <f t="shared" si="157"/>
        <v>3.2638888888888884E-2</v>
      </c>
      <c r="I999" s="13">
        <f t="shared" si="158"/>
        <v>0.78333333333333333</v>
      </c>
      <c r="J999" t="s">
        <v>40</v>
      </c>
      <c r="K999" t="s">
        <v>15</v>
      </c>
      <c r="L999">
        <v>14</v>
      </c>
      <c r="M999" s="5">
        <f t="shared" si="159"/>
        <v>17.872340425531917</v>
      </c>
      <c r="O999" t="str">
        <f t="shared" si="160"/>
        <v>No Purpose</v>
      </c>
    </row>
    <row r="1000" spans="1:15" x14ac:dyDescent="0.3">
      <c r="A1000" t="s">
        <v>1094</v>
      </c>
      <c r="B1000" s="2">
        <v>42666</v>
      </c>
      <c r="C1000" s="7">
        <v>0.39166666666666666</v>
      </c>
      <c r="D1000" t="s">
        <v>1095</v>
      </c>
      <c r="E1000" s="2">
        <v>42666</v>
      </c>
      <c r="F1000" s="8">
        <v>0.4201388888888889</v>
      </c>
      <c r="G1000" t="s">
        <v>7</v>
      </c>
      <c r="H1000" s="7">
        <f t="shared" si="157"/>
        <v>2.8472222222222232E-2</v>
      </c>
      <c r="I1000" s="13">
        <f t="shared" si="158"/>
        <v>0.68333333333333335</v>
      </c>
      <c r="J1000" t="s">
        <v>15</v>
      </c>
      <c r="K1000" t="s">
        <v>40</v>
      </c>
      <c r="L1000">
        <v>28.1</v>
      </c>
      <c r="M1000" s="5">
        <f t="shared" si="159"/>
        <v>41.121951219512198</v>
      </c>
      <c r="O1000" t="str">
        <f t="shared" si="160"/>
        <v>No Purpose</v>
      </c>
    </row>
    <row r="1001" spans="1:15" x14ac:dyDescent="0.3">
      <c r="A1001" t="s">
        <v>1096</v>
      </c>
      <c r="B1001" s="2">
        <v>42666</v>
      </c>
      <c r="C1001" s="7">
        <v>0.51180555555555551</v>
      </c>
      <c r="D1001" t="s">
        <v>1097</v>
      </c>
      <c r="E1001" s="2">
        <v>42666</v>
      </c>
      <c r="F1001" s="8">
        <v>0.54097222222222219</v>
      </c>
      <c r="G1001" t="s">
        <v>7</v>
      </c>
      <c r="H1001" s="7">
        <f t="shared" si="157"/>
        <v>2.9166666666666674E-2</v>
      </c>
      <c r="I1001" s="13">
        <f t="shared" si="158"/>
        <v>0.7</v>
      </c>
      <c r="J1001" t="s">
        <v>40</v>
      </c>
      <c r="K1001" t="s">
        <v>15</v>
      </c>
      <c r="L1001">
        <v>28.2</v>
      </c>
      <c r="M1001" s="5">
        <f t="shared" si="159"/>
        <v>40.285714285714285</v>
      </c>
      <c r="O1001" t="str">
        <f t="shared" si="160"/>
        <v>No Purpose</v>
      </c>
    </row>
    <row r="1002" spans="1:15" x14ac:dyDescent="0.3">
      <c r="A1002" t="s">
        <v>1102</v>
      </c>
      <c r="B1002" s="2">
        <v>42667</v>
      </c>
      <c r="C1002" s="7">
        <v>0.62291666666666667</v>
      </c>
      <c r="D1002" t="s">
        <v>1103</v>
      </c>
      <c r="E1002" s="2">
        <v>42667</v>
      </c>
      <c r="F1002" s="8">
        <v>0.6430555555555556</v>
      </c>
      <c r="G1002" t="s">
        <v>7</v>
      </c>
      <c r="H1002" s="7">
        <f t="shared" si="157"/>
        <v>2.0138888888888928E-2</v>
      </c>
      <c r="I1002" s="13">
        <f t="shared" si="158"/>
        <v>0.48333333333333334</v>
      </c>
      <c r="J1002" t="s">
        <v>15</v>
      </c>
      <c r="K1002" t="s">
        <v>36</v>
      </c>
      <c r="L1002">
        <v>16.399999999999999</v>
      </c>
      <c r="M1002" s="5">
        <f t="shared" si="159"/>
        <v>33.931034482758619</v>
      </c>
      <c r="O1002" t="str">
        <f t="shared" si="160"/>
        <v>No Purpose</v>
      </c>
    </row>
    <row r="1003" spans="1:15" x14ac:dyDescent="0.3">
      <c r="A1003" t="s">
        <v>1104</v>
      </c>
      <c r="B1003" s="2">
        <v>42667</v>
      </c>
      <c r="C1003" s="7">
        <v>0.6479166666666667</v>
      </c>
      <c r="D1003" t="s">
        <v>1105</v>
      </c>
      <c r="E1003" s="2">
        <v>42667</v>
      </c>
      <c r="F1003" s="8">
        <v>0.67569444444444438</v>
      </c>
      <c r="G1003" t="s">
        <v>7</v>
      </c>
      <c r="H1003" s="7">
        <f t="shared" si="157"/>
        <v>2.7777777777777679E-2</v>
      </c>
      <c r="I1003" s="13">
        <f t="shared" si="158"/>
        <v>0.66666666666666663</v>
      </c>
      <c r="J1003" t="s">
        <v>36</v>
      </c>
      <c r="K1003" t="s">
        <v>16</v>
      </c>
      <c r="L1003">
        <v>15.4</v>
      </c>
      <c r="M1003" s="5">
        <f t="shared" si="159"/>
        <v>23.1</v>
      </c>
      <c r="O1003" t="str">
        <f t="shared" si="160"/>
        <v>No Purpose</v>
      </c>
    </row>
    <row r="1004" spans="1:15" x14ac:dyDescent="0.3">
      <c r="A1004" t="s">
        <v>1106</v>
      </c>
      <c r="B1004" s="2">
        <v>42667</v>
      </c>
      <c r="C1004" s="7">
        <v>0.69027777777777777</v>
      </c>
      <c r="D1004" t="s">
        <v>1107</v>
      </c>
      <c r="E1004" s="2">
        <v>42667</v>
      </c>
      <c r="F1004" s="8">
        <v>0.69513888888888886</v>
      </c>
      <c r="G1004" t="s">
        <v>7</v>
      </c>
      <c r="H1004" s="7">
        <f t="shared" si="157"/>
        <v>4.8611111111110938E-3</v>
      </c>
      <c r="I1004" s="13">
        <f t="shared" si="158"/>
        <v>0.11666666666666667</v>
      </c>
      <c r="J1004" t="s">
        <v>16</v>
      </c>
      <c r="K1004" t="s">
        <v>15</v>
      </c>
      <c r="L1004">
        <v>2.2000000000000002</v>
      </c>
      <c r="M1004" s="5">
        <f t="shared" si="159"/>
        <v>18.857142857142858</v>
      </c>
      <c r="O1004" t="str">
        <f t="shared" si="160"/>
        <v>No Purpose</v>
      </c>
    </row>
    <row r="1005" spans="1:15" x14ac:dyDescent="0.3">
      <c r="A1005" t="s">
        <v>1108</v>
      </c>
      <c r="B1005" s="2">
        <v>42668</v>
      </c>
      <c r="C1005" s="7">
        <v>0.56041666666666667</v>
      </c>
      <c r="D1005" t="s">
        <v>1109</v>
      </c>
      <c r="E1005" s="2">
        <v>42668</v>
      </c>
      <c r="F1005" s="8">
        <v>0.58888888888888891</v>
      </c>
      <c r="G1005" t="s">
        <v>7</v>
      </c>
      <c r="H1005" s="7">
        <f t="shared" si="157"/>
        <v>2.8472222222222232E-2</v>
      </c>
      <c r="I1005" s="13">
        <f t="shared" si="158"/>
        <v>0.68333333333333335</v>
      </c>
      <c r="J1005" t="s">
        <v>15</v>
      </c>
      <c r="K1005" t="s">
        <v>48</v>
      </c>
      <c r="L1005">
        <v>11.2</v>
      </c>
      <c r="M1005" s="5">
        <f t="shared" si="159"/>
        <v>16.390243902439025</v>
      </c>
      <c r="O1005" t="str">
        <f t="shared" si="160"/>
        <v>No Purpose</v>
      </c>
    </row>
    <row r="1006" spans="1:15" x14ac:dyDescent="0.3">
      <c r="A1006" t="s">
        <v>1110</v>
      </c>
      <c r="B1006" s="2">
        <v>42668</v>
      </c>
      <c r="C1006" s="7">
        <v>0.62777777777777777</v>
      </c>
      <c r="D1006" t="s">
        <v>1111</v>
      </c>
      <c r="E1006" s="2">
        <v>42668</v>
      </c>
      <c r="F1006" s="8">
        <v>0.63263888888888886</v>
      </c>
      <c r="G1006" t="s">
        <v>7</v>
      </c>
      <c r="H1006" s="7">
        <f t="shared" si="157"/>
        <v>4.8611111111110938E-3</v>
      </c>
      <c r="I1006" s="13">
        <f t="shared" si="158"/>
        <v>0.11666666666666667</v>
      </c>
      <c r="J1006" t="s">
        <v>48</v>
      </c>
      <c r="K1006" t="s">
        <v>1112</v>
      </c>
      <c r="L1006">
        <v>2.2000000000000002</v>
      </c>
      <c r="M1006" s="5">
        <f t="shared" si="159"/>
        <v>18.857142857142858</v>
      </c>
      <c r="O1006" t="str">
        <f t="shared" si="160"/>
        <v>No Purpose</v>
      </c>
    </row>
    <row r="1007" spans="1:15" x14ac:dyDescent="0.3">
      <c r="A1007" t="s">
        <v>1113</v>
      </c>
      <c r="B1007" s="2">
        <v>42668</v>
      </c>
      <c r="C1007" s="7">
        <v>0.63611111111111118</v>
      </c>
      <c r="D1007" t="s">
        <v>1114</v>
      </c>
      <c r="E1007" s="2">
        <v>42668</v>
      </c>
      <c r="F1007" s="8">
        <v>0.6479166666666667</v>
      </c>
      <c r="G1007" t="s">
        <v>7</v>
      </c>
      <c r="H1007" s="7">
        <f t="shared" si="157"/>
        <v>1.1805555555555514E-2</v>
      </c>
      <c r="I1007" s="13">
        <f t="shared" si="158"/>
        <v>0.28333333333333333</v>
      </c>
      <c r="J1007" t="s">
        <v>1112</v>
      </c>
      <c r="K1007" t="s">
        <v>15</v>
      </c>
      <c r="L1007">
        <v>3.6</v>
      </c>
      <c r="M1007" s="5">
        <f t="shared" si="159"/>
        <v>12.705882352941178</v>
      </c>
      <c r="O1007" t="str">
        <f t="shared" si="160"/>
        <v>No Purpose</v>
      </c>
    </row>
    <row r="1008" spans="1:15" x14ac:dyDescent="0.3">
      <c r="A1008" t="s">
        <v>1117</v>
      </c>
      <c r="B1008" s="2">
        <v>42668</v>
      </c>
      <c r="C1008" s="7">
        <v>0.87083333333333324</v>
      </c>
      <c r="D1008" t="s">
        <v>1118</v>
      </c>
      <c r="E1008" s="2">
        <v>42668</v>
      </c>
      <c r="F1008" s="8">
        <v>0.87708333333333333</v>
      </c>
      <c r="G1008" t="s">
        <v>7</v>
      </c>
      <c r="H1008" s="7">
        <f t="shared" si="157"/>
        <v>6.2500000000000888E-3</v>
      </c>
      <c r="I1008" s="13">
        <f t="shared" si="158"/>
        <v>0.15</v>
      </c>
      <c r="J1008" t="s">
        <v>430</v>
      </c>
      <c r="K1008" t="s">
        <v>389</v>
      </c>
      <c r="L1008">
        <v>4.9000000000000004</v>
      </c>
      <c r="M1008" s="5">
        <f t="shared" si="159"/>
        <v>32.666666666666671</v>
      </c>
      <c r="O1008" t="str">
        <f t="shared" si="160"/>
        <v>No Purpose</v>
      </c>
    </row>
    <row r="1009" spans="1:15" x14ac:dyDescent="0.3">
      <c r="A1009" t="s">
        <v>1123</v>
      </c>
      <c r="B1009" s="2">
        <v>42669</v>
      </c>
      <c r="C1009" s="7">
        <v>0.87013888888888891</v>
      </c>
      <c r="D1009" t="s">
        <v>1124</v>
      </c>
      <c r="E1009" s="2">
        <v>42669</v>
      </c>
      <c r="F1009" s="8">
        <v>0.87708333333333333</v>
      </c>
      <c r="G1009" t="s">
        <v>7</v>
      </c>
      <c r="H1009" s="7">
        <f t="shared" si="157"/>
        <v>6.9444444444444198E-3</v>
      </c>
      <c r="I1009" s="13">
        <f t="shared" si="158"/>
        <v>0.16666666666666666</v>
      </c>
      <c r="J1009" t="s">
        <v>389</v>
      </c>
      <c r="K1009" t="s">
        <v>38</v>
      </c>
      <c r="L1009">
        <v>2.1</v>
      </c>
      <c r="M1009" s="5">
        <f t="shared" si="159"/>
        <v>12.600000000000001</v>
      </c>
      <c r="O1009" t="str">
        <f t="shared" si="160"/>
        <v>No Purpose</v>
      </c>
    </row>
    <row r="1010" spans="1:15" x14ac:dyDescent="0.3">
      <c r="A1010" t="s">
        <v>1127</v>
      </c>
      <c r="B1010" s="2">
        <v>42670</v>
      </c>
      <c r="C1010" s="7">
        <v>0.80555555555555547</v>
      </c>
      <c r="D1010" t="s">
        <v>1128</v>
      </c>
      <c r="E1010" s="2">
        <v>42670</v>
      </c>
      <c r="F1010" s="8">
        <v>0.81597222222222221</v>
      </c>
      <c r="G1010" t="s">
        <v>7</v>
      </c>
      <c r="H1010" s="7">
        <f t="shared" si="157"/>
        <v>1.0416666666666741E-2</v>
      </c>
      <c r="I1010" s="13">
        <f t="shared" si="158"/>
        <v>0.25</v>
      </c>
      <c r="J1010" t="s">
        <v>16</v>
      </c>
      <c r="K1010" t="s">
        <v>16</v>
      </c>
      <c r="L1010">
        <v>5.9</v>
      </c>
      <c r="M1010" s="5">
        <f t="shared" si="159"/>
        <v>23.6</v>
      </c>
      <c r="O1010" t="str">
        <f t="shared" si="160"/>
        <v>No Purpose</v>
      </c>
    </row>
    <row r="1011" spans="1:15" x14ac:dyDescent="0.3">
      <c r="A1011" t="s">
        <v>1129</v>
      </c>
      <c r="B1011" s="2">
        <v>42670</v>
      </c>
      <c r="C1011" s="7">
        <v>0.82777777777777783</v>
      </c>
      <c r="D1011" t="s">
        <v>1130</v>
      </c>
      <c r="E1011" s="2">
        <v>42670</v>
      </c>
      <c r="F1011" s="8">
        <v>0.84791666666666676</v>
      </c>
      <c r="G1011" t="s">
        <v>7</v>
      </c>
      <c r="H1011" s="7">
        <f t="shared" si="157"/>
        <v>2.0138888888888928E-2</v>
      </c>
      <c r="I1011" s="13">
        <f t="shared" si="158"/>
        <v>0.48333333333333334</v>
      </c>
      <c r="J1011" t="s">
        <v>454</v>
      </c>
      <c r="K1011" t="s">
        <v>454</v>
      </c>
      <c r="L1011">
        <v>12.1</v>
      </c>
      <c r="M1011" s="5">
        <f t="shared" si="159"/>
        <v>25.03448275862069</v>
      </c>
      <c r="O1011" t="str">
        <f t="shared" si="160"/>
        <v>No Purpose</v>
      </c>
    </row>
    <row r="1012" spans="1:15" x14ac:dyDescent="0.3">
      <c r="A1012" t="s">
        <v>1131</v>
      </c>
      <c r="B1012" s="2">
        <v>42670</v>
      </c>
      <c r="C1012" s="7">
        <v>0.86597222222222225</v>
      </c>
      <c r="D1012" t="s">
        <v>1132</v>
      </c>
      <c r="E1012" s="2">
        <v>42670</v>
      </c>
      <c r="F1012" s="8">
        <v>0.87083333333333324</v>
      </c>
      <c r="G1012" t="s">
        <v>7</v>
      </c>
      <c r="H1012" s="7">
        <f t="shared" si="157"/>
        <v>4.8611111111109828E-3</v>
      </c>
      <c r="I1012" s="13">
        <f t="shared" si="158"/>
        <v>0.11666666666666667</v>
      </c>
      <c r="J1012" t="s">
        <v>454</v>
      </c>
      <c r="K1012" t="s">
        <v>148</v>
      </c>
      <c r="L1012">
        <v>3.9</v>
      </c>
      <c r="M1012" s="5">
        <f t="shared" si="159"/>
        <v>33.428571428571431</v>
      </c>
      <c r="O1012" t="str">
        <f t="shared" si="160"/>
        <v>No Purpose</v>
      </c>
    </row>
    <row r="1013" spans="1:15" x14ac:dyDescent="0.3">
      <c r="A1013" t="s">
        <v>1133</v>
      </c>
      <c r="B1013" s="2">
        <v>42670</v>
      </c>
      <c r="C1013" s="7">
        <v>0.8930555555555556</v>
      </c>
      <c r="D1013" t="s">
        <v>1134</v>
      </c>
      <c r="E1013" s="2">
        <v>42670</v>
      </c>
      <c r="F1013" s="8">
        <v>0.90833333333333333</v>
      </c>
      <c r="G1013" t="s">
        <v>7</v>
      </c>
      <c r="H1013" s="7">
        <f t="shared" si="157"/>
        <v>1.5277777777777724E-2</v>
      </c>
      <c r="I1013" s="13">
        <f t="shared" si="158"/>
        <v>0.36666666666666664</v>
      </c>
      <c r="J1013" t="s">
        <v>16</v>
      </c>
      <c r="K1013" t="s">
        <v>15</v>
      </c>
      <c r="L1013">
        <v>6.2</v>
      </c>
      <c r="M1013" s="5">
        <f t="shared" si="159"/>
        <v>16.90909090909091</v>
      </c>
      <c r="O1013" t="str">
        <f t="shared" si="160"/>
        <v>No Purpose</v>
      </c>
    </row>
    <row r="1014" spans="1:15" x14ac:dyDescent="0.3">
      <c r="A1014" t="s">
        <v>1151</v>
      </c>
      <c r="B1014" s="2">
        <v>42672</v>
      </c>
      <c r="C1014" s="7">
        <v>0.71736111111111101</v>
      </c>
      <c r="D1014" t="s">
        <v>1152</v>
      </c>
      <c r="E1014" s="2">
        <v>42672</v>
      </c>
      <c r="F1014" s="8">
        <v>0.80486111111111114</v>
      </c>
      <c r="G1014" t="s">
        <v>7</v>
      </c>
      <c r="H1014" s="7">
        <f t="shared" si="157"/>
        <v>8.7500000000000133E-2</v>
      </c>
      <c r="I1014" s="13">
        <f t="shared" si="158"/>
        <v>2.1</v>
      </c>
      <c r="J1014" t="s">
        <v>1150</v>
      </c>
      <c r="K1014" t="s">
        <v>1147</v>
      </c>
      <c r="L1014">
        <v>75.7</v>
      </c>
      <c r="M1014" s="5">
        <f t="shared" si="159"/>
        <v>36.047619047619044</v>
      </c>
      <c r="O1014" t="str">
        <f t="shared" si="160"/>
        <v>No Purpose</v>
      </c>
    </row>
    <row r="1015" spans="1:15" x14ac:dyDescent="0.3">
      <c r="A1015" t="s">
        <v>1153</v>
      </c>
      <c r="B1015" s="2">
        <v>42673</v>
      </c>
      <c r="C1015" s="7">
        <v>0.32569444444444445</v>
      </c>
      <c r="D1015" t="s">
        <v>1154</v>
      </c>
      <c r="E1015" s="2">
        <v>42673</v>
      </c>
      <c r="F1015" s="8">
        <v>0.35416666666666669</v>
      </c>
      <c r="G1015" t="s">
        <v>7</v>
      </c>
      <c r="H1015" s="7">
        <f t="shared" si="157"/>
        <v>2.8472222222222232E-2</v>
      </c>
      <c r="I1015" s="13">
        <f t="shared" si="158"/>
        <v>0.68333333333333335</v>
      </c>
      <c r="J1015" t="s">
        <v>1147</v>
      </c>
      <c r="K1015" t="s">
        <v>1155</v>
      </c>
      <c r="L1015">
        <v>29.8</v>
      </c>
      <c r="M1015" s="5">
        <f t="shared" si="159"/>
        <v>43.609756097560975</v>
      </c>
      <c r="O1015" t="str">
        <f t="shared" si="160"/>
        <v>No Purpose</v>
      </c>
    </row>
    <row r="1016" spans="1:15" x14ac:dyDescent="0.3">
      <c r="A1016" t="s">
        <v>1156</v>
      </c>
      <c r="B1016" s="2">
        <v>42673</v>
      </c>
      <c r="C1016" s="7">
        <v>0.37986111111111115</v>
      </c>
      <c r="D1016" t="s">
        <v>1157</v>
      </c>
      <c r="E1016" s="2">
        <v>42673</v>
      </c>
      <c r="F1016" s="8">
        <v>0.42291666666666666</v>
      </c>
      <c r="G1016" t="s">
        <v>7</v>
      </c>
      <c r="H1016" s="7">
        <f t="shared" si="157"/>
        <v>4.3055555555555514E-2</v>
      </c>
      <c r="I1016" s="13">
        <f t="shared" si="158"/>
        <v>1.0333333333333334</v>
      </c>
      <c r="J1016" t="s">
        <v>1155</v>
      </c>
      <c r="K1016" t="s">
        <v>1155</v>
      </c>
      <c r="L1016">
        <v>16.3</v>
      </c>
      <c r="M1016" s="5">
        <f t="shared" si="159"/>
        <v>15.774193548387096</v>
      </c>
      <c r="O1016" t="str">
        <f t="shared" si="160"/>
        <v>No Purpose</v>
      </c>
    </row>
    <row r="1017" spans="1:15" x14ac:dyDescent="0.3">
      <c r="A1017" t="s">
        <v>1158</v>
      </c>
      <c r="B1017" s="2">
        <v>42673</v>
      </c>
      <c r="C1017" s="7">
        <v>0.42430555555555555</v>
      </c>
      <c r="D1017" t="s">
        <v>1159</v>
      </c>
      <c r="E1017" s="2">
        <v>42673</v>
      </c>
      <c r="F1017" s="8">
        <v>0.44305555555555554</v>
      </c>
      <c r="G1017" t="s">
        <v>7</v>
      </c>
      <c r="H1017" s="7">
        <f t="shared" si="157"/>
        <v>1.8749999999999989E-2</v>
      </c>
      <c r="I1017" s="13">
        <f t="shared" si="158"/>
        <v>0.45</v>
      </c>
      <c r="J1017" t="s">
        <v>1155</v>
      </c>
      <c r="K1017" t="s">
        <v>1155</v>
      </c>
      <c r="L1017">
        <v>6.5</v>
      </c>
      <c r="M1017" s="5">
        <f t="shared" si="159"/>
        <v>14.444444444444445</v>
      </c>
      <c r="O1017" t="str">
        <f t="shared" si="160"/>
        <v>No Purpose</v>
      </c>
    </row>
    <row r="1018" spans="1:15" x14ac:dyDescent="0.3">
      <c r="A1018" t="s">
        <v>1160</v>
      </c>
      <c r="B1018" s="2">
        <v>42673</v>
      </c>
      <c r="C1018" s="7">
        <v>0.45208333333333334</v>
      </c>
      <c r="D1018" t="s">
        <v>1161</v>
      </c>
      <c r="E1018" s="2">
        <v>42673</v>
      </c>
      <c r="F1018" s="8">
        <v>0.47291666666666665</v>
      </c>
      <c r="G1018" t="s">
        <v>7</v>
      </c>
      <c r="H1018" s="7">
        <f t="shared" si="157"/>
        <v>2.0833333333333315E-2</v>
      </c>
      <c r="I1018" s="13">
        <f t="shared" si="158"/>
        <v>0.5</v>
      </c>
      <c r="J1018" t="s">
        <v>1155</v>
      </c>
      <c r="K1018" t="s">
        <v>1155</v>
      </c>
      <c r="L1018">
        <v>6.3</v>
      </c>
      <c r="M1018" s="5">
        <f t="shared" si="159"/>
        <v>12.6</v>
      </c>
      <c r="O1018" t="str">
        <f t="shared" si="160"/>
        <v>No Purpose</v>
      </c>
    </row>
    <row r="1019" spans="1:15" x14ac:dyDescent="0.3">
      <c r="A1019" t="s">
        <v>1162</v>
      </c>
      <c r="B1019" s="2">
        <v>42673</v>
      </c>
      <c r="C1019" s="7">
        <v>0.51666666666666672</v>
      </c>
      <c r="D1019" t="s">
        <v>1163</v>
      </c>
      <c r="E1019" s="2">
        <v>42673</v>
      </c>
      <c r="F1019" s="8">
        <v>0.52430555555555558</v>
      </c>
      <c r="G1019" t="s">
        <v>7</v>
      </c>
      <c r="H1019" s="7">
        <f t="shared" si="157"/>
        <v>7.6388888888888618E-3</v>
      </c>
      <c r="I1019" s="13">
        <f t="shared" si="158"/>
        <v>0.18333333333333332</v>
      </c>
      <c r="J1019" t="s">
        <v>1155</v>
      </c>
      <c r="K1019" t="s">
        <v>1164</v>
      </c>
      <c r="L1019">
        <v>6.6</v>
      </c>
      <c r="M1019" s="5">
        <f t="shared" si="159"/>
        <v>36</v>
      </c>
      <c r="O1019" t="str">
        <f t="shared" si="160"/>
        <v>No Purpose</v>
      </c>
    </row>
    <row r="1020" spans="1:15" x14ac:dyDescent="0.3">
      <c r="A1020" t="s">
        <v>1165</v>
      </c>
      <c r="B1020" s="2">
        <v>42673</v>
      </c>
      <c r="C1020" s="7">
        <v>0.54027777777777775</v>
      </c>
      <c r="D1020" t="s">
        <v>1166</v>
      </c>
      <c r="E1020" s="2">
        <v>42673</v>
      </c>
      <c r="F1020" s="8">
        <v>0.5541666666666667</v>
      </c>
      <c r="G1020" t="s">
        <v>7</v>
      </c>
      <c r="H1020" s="7">
        <f t="shared" si="157"/>
        <v>1.3888888888888951E-2</v>
      </c>
      <c r="I1020" s="13">
        <f t="shared" si="158"/>
        <v>0.33333333333333331</v>
      </c>
      <c r="J1020" t="s">
        <v>1164</v>
      </c>
      <c r="K1020" t="s">
        <v>1155</v>
      </c>
      <c r="L1020">
        <v>15.2</v>
      </c>
      <c r="M1020" s="5">
        <f t="shared" si="159"/>
        <v>45.6</v>
      </c>
      <c r="O1020" t="str">
        <f t="shared" si="160"/>
        <v>No Purpose</v>
      </c>
    </row>
    <row r="1021" spans="1:15" x14ac:dyDescent="0.3">
      <c r="A1021" t="s">
        <v>1167</v>
      </c>
      <c r="B1021" s="2">
        <v>42673</v>
      </c>
      <c r="C1021" s="7">
        <v>0.55833333333333335</v>
      </c>
      <c r="D1021" t="s">
        <v>1168</v>
      </c>
      <c r="E1021" s="2">
        <v>42673</v>
      </c>
      <c r="F1021" s="8">
        <v>0.60902777777777783</v>
      </c>
      <c r="G1021" t="s">
        <v>7</v>
      </c>
      <c r="H1021" s="7">
        <f t="shared" si="157"/>
        <v>5.0694444444444486E-2</v>
      </c>
      <c r="I1021" s="13">
        <f t="shared" si="158"/>
        <v>1.2166666666666666</v>
      </c>
      <c r="J1021" t="s">
        <v>1155</v>
      </c>
      <c r="K1021" t="s">
        <v>1144</v>
      </c>
      <c r="L1021">
        <v>68.400000000000006</v>
      </c>
      <c r="M1021" s="5">
        <f t="shared" si="159"/>
        <v>56.219178082191789</v>
      </c>
      <c r="O1021" t="str">
        <f t="shared" si="160"/>
        <v>No Purpose</v>
      </c>
    </row>
    <row r="1022" spans="1:15" x14ac:dyDescent="0.3">
      <c r="A1022" t="s">
        <v>1169</v>
      </c>
      <c r="B1022" s="2">
        <v>42673</v>
      </c>
      <c r="C1022" s="7">
        <v>0.64027777777777783</v>
      </c>
      <c r="D1022" t="s">
        <v>1170</v>
      </c>
      <c r="E1022" s="2">
        <v>42673</v>
      </c>
      <c r="F1022" s="8">
        <v>0.76597222222222217</v>
      </c>
      <c r="G1022" t="s">
        <v>7</v>
      </c>
      <c r="H1022" s="7">
        <f t="shared" si="157"/>
        <v>0.12569444444444433</v>
      </c>
      <c r="I1022" s="13">
        <f t="shared" si="158"/>
        <v>3.0166666666666666</v>
      </c>
      <c r="J1022" t="s">
        <v>1144</v>
      </c>
      <c r="K1022" t="s">
        <v>1171</v>
      </c>
      <c r="L1022">
        <v>195.9</v>
      </c>
      <c r="M1022" s="5">
        <f t="shared" si="159"/>
        <v>64.939226519337026</v>
      </c>
      <c r="O1022" t="str">
        <f t="shared" si="160"/>
        <v>No Purpose</v>
      </c>
    </row>
    <row r="1023" spans="1:15" x14ac:dyDescent="0.3">
      <c r="A1023" t="s">
        <v>1172</v>
      </c>
      <c r="B1023" s="2">
        <v>42673</v>
      </c>
      <c r="C1023" s="7">
        <v>0.7680555555555556</v>
      </c>
      <c r="D1023" t="s">
        <v>1173</v>
      </c>
      <c r="E1023" s="2">
        <v>42673</v>
      </c>
      <c r="F1023" s="8">
        <v>0.81874999999999998</v>
      </c>
      <c r="G1023" t="s">
        <v>7</v>
      </c>
      <c r="H1023" s="7">
        <f t="shared" si="157"/>
        <v>5.0694444444444375E-2</v>
      </c>
      <c r="I1023" s="13">
        <f t="shared" si="158"/>
        <v>1.2166666666666666</v>
      </c>
      <c r="J1023" t="s">
        <v>1171</v>
      </c>
      <c r="K1023" t="s">
        <v>15</v>
      </c>
      <c r="L1023">
        <v>45.2</v>
      </c>
      <c r="M1023" s="5">
        <f t="shared" si="159"/>
        <v>37.150684931506852</v>
      </c>
      <c r="O1023" t="str">
        <f t="shared" si="160"/>
        <v>No Purpose</v>
      </c>
    </row>
    <row r="1024" spans="1:15" x14ac:dyDescent="0.3">
      <c r="A1024" t="s">
        <v>1174</v>
      </c>
      <c r="B1024" s="2">
        <v>42674</v>
      </c>
      <c r="C1024" s="7">
        <v>0.75763888888888886</v>
      </c>
      <c r="D1024" t="s">
        <v>1175</v>
      </c>
      <c r="E1024" s="2">
        <v>42674</v>
      </c>
      <c r="F1024" s="8">
        <v>0.76388888888888884</v>
      </c>
      <c r="G1024" t="s">
        <v>7</v>
      </c>
      <c r="H1024" s="7">
        <f t="shared" si="157"/>
        <v>6.2499999999999778E-3</v>
      </c>
      <c r="I1024" s="13">
        <f t="shared" si="158"/>
        <v>0.15</v>
      </c>
      <c r="J1024" t="s">
        <v>15</v>
      </c>
      <c r="K1024" t="s">
        <v>16</v>
      </c>
      <c r="L1024">
        <v>3.2</v>
      </c>
      <c r="M1024" s="5">
        <f t="shared" si="159"/>
        <v>21.333333333333336</v>
      </c>
      <c r="O1024" t="str">
        <f t="shared" si="160"/>
        <v>No Purpose</v>
      </c>
    </row>
    <row r="1025" spans="1:15" x14ac:dyDescent="0.3">
      <c r="A1025" t="s">
        <v>1176</v>
      </c>
      <c r="B1025" s="2">
        <v>42674</v>
      </c>
      <c r="C1025" s="7">
        <v>0.78263888888888899</v>
      </c>
      <c r="D1025" t="s">
        <v>1177</v>
      </c>
      <c r="E1025" s="2">
        <v>42674</v>
      </c>
      <c r="F1025" s="8">
        <v>0.8027777777777777</v>
      </c>
      <c r="G1025" t="s">
        <v>7</v>
      </c>
      <c r="H1025" s="7">
        <f t="shared" si="157"/>
        <v>2.0138888888888706E-2</v>
      </c>
      <c r="I1025" s="13">
        <f t="shared" si="158"/>
        <v>0.48333333333333334</v>
      </c>
      <c r="J1025" t="s">
        <v>16</v>
      </c>
      <c r="K1025" t="s">
        <v>40</v>
      </c>
      <c r="L1025">
        <v>10.3</v>
      </c>
      <c r="M1025" s="5">
        <f t="shared" si="159"/>
        <v>21.31034482758621</v>
      </c>
      <c r="O1025" t="str">
        <f t="shared" si="160"/>
        <v>No Purpose</v>
      </c>
    </row>
    <row r="1026" spans="1:15" x14ac:dyDescent="0.3">
      <c r="A1026" t="s">
        <v>1178</v>
      </c>
      <c r="B1026" s="2">
        <v>42674</v>
      </c>
      <c r="C1026" s="7">
        <v>0.84583333333333333</v>
      </c>
      <c r="D1026" t="s">
        <v>1179</v>
      </c>
      <c r="E1026" s="2">
        <v>42674</v>
      </c>
      <c r="F1026" s="8">
        <v>0.86388888888888893</v>
      </c>
      <c r="G1026" t="s">
        <v>7</v>
      </c>
      <c r="H1026" s="7">
        <f t="shared" ref="H1026:H1089" si="161">IF(F1026&gt;C1026,F1026-C1026,F1026-C1026+1)</f>
        <v>1.8055555555555602E-2</v>
      </c>
      <c r="I1026" s="13">
        <f t="shared" ref="I1026:I1089" si="162">(HOUR(H1026)*60+MINUTE(H1026))/60</f>
        <v>0.43333333333333335</v>
      </c>
      <c r="J1026" t="s">
        <v>40</v>
      </c>
      <c r="K1026" t="s">
        <v>15</v>
      </c>
      <c r="L1026">
        <v>13.1</v>
      </c>
      <c r="M1026" s="5">
        <f t="shared" ref="M1026:M1089" si="163">L1026/I1026</f>
        <v>30.23076923076923</v>
      </c>
      <c r="O1026" t="str">
        <f t="shared" ref="O1026:O1089" si="164">IF(ISBLANK($N1026),"No Purpose",$N1026)</f>
        <v>No Purpose</v>
      </c>
    </row>
    <row r="1027" spans="1:15" x14ac:dyDescent="0.3">
      <c r="A1027" s="1">
        <v>42380.493055555555</v>
      </c>
      <c r="B1027" s="6">
        <f t="shared" ref="B1027:B1069" si="165">INT(A1027:A1066)</f>
        <v>42380</v>
      </c>
      <c r="C1027" s="7">
        <f t="shared" ref="C1027:C1069" si="166">(A1027-B1027)</f>
        <v>0.49305555555474712</v>
      </c>
      <c r="D1027" s="1">
        <v>42380.518750000003</v>
      </c>
      <c r="E1027" s="6">
        <f t="shared" ref="E1027:E1069" si="167">INT(D1027)</f>
        <v>42380</v>
      </c>
      <c r="F1027" s="8">
        <f t="shared" ref="F1027:F1069" si="168">D1027-E1027</f>
        <v>0.51875000000291038</v>
      </c>
      <c r="G1027" t="s">
        <v>7</v>
      </c>
      <c r="H1027" s="7">
        <f t="shared" si="161"/>
        <v>2.5694444448163267E-2</v>
      </c>
      <c r="I1027" s="13">
        <f t="shared" si="162"/>
        <v>0.6166666666666667</v>
      </c>
      <c r="J1027" t="s">
        <v>15</v>
      </c>
      <c r="K1027" t="s">
        <v>36</v>
      </c>
      <c r="L1027">
        <v>16.5</v>
      </c>
      <c r="M1027" s="5">
        <f t="shared" si="163"/>
        <v>26.756756756756754</v>
      </c>
      <c r="O1027" t="str">
        <f t="shared" si="164"/>
        <v>No Purpose</v>
      </c>
    </row>
    <row r="1028" spans="1:15" x14ac:dyDescent="0.3">
      <c r="A1028" s="1">
        <v>42380.686805555553</v>
      </c>
      <c r="B1028" s="6">
        <f t="shared" si="165"/>
        <v>42380</v>
      </c>
      <c r="C1028" s="7">
        <f t="shared" si="166"/>
        <v>0.68680555555329192</v>
      </c>
      <c r="D1028" s="1">
        <v>42380.709722222222</v>
      </c>
      <c r="E1028" s="6">
        <f t="shared" si="167"/>
        <v>42380</v>
      </c>
      <c r="F1028" s="8">
        <f t="shared" si="168"/>
        <v>0.70972222222189885</v>
      </c>
      <c r="G1028" t="s">
        <v>7</v>
      </c>
      <c r="H1028" s="7">
        <f t="shared" si="161"/>
        <v>2.2916666668606922E-2</v>
      </c>
      <c r="I1028" s="13">
        <f t="shared" si="162"/>
        <v>0.55000000000000004</v>
      </c>
      <c r="J1028" t="s">
        <v>36</v>
      </c>
      <c r="K1028" t="s">
        <v>15</v>
      </c>
      <c r="L1028">
        <v>12.8</v>
      </c>
      <c r="M1028" s="5">
        <f t="shared" si="163"/>
        <v>23.272727272727273</v>
      </c>
      <c r="O1028" t="str">
        <f t="shared" si="164"/>
        <v>No Purpose</v>
      </c>
    </row>
    <row r="1029" spans="1:15" x14ac:dyDescent="0.3">
      <c r="A1029" s="1">
        <v>42380.732638888891</v>
      </c>
      <c r="B1029" s="6">
        <f t="shared" si="165"/>
        <v>42380</v>
      </c>
      <c r="C1029" s="7">
        <f t="shared" si="166"/>
        <v>0.73263888889050577</v>
      </c>
      <c r="D1029" s="1">
        <v>42380.737500000003</v>
      </c>
      <c r="E1029" s="6">
        <f t="shared" si="167"/>
        <v>42380</v>
      </c>
      <c r="F1029" s="8">
        <f t="shared" si="168"/>
        <v>0.73750000000291038</v>
      </c>
      <c r="G1029" t="s">
        <v>7</v>
      </c>
      <c r="H1029" s="7">
        <f t="shared" si="161"/>
        <v>4.8611111124046147E-3</v>
      </c>
      <c r="I1029" s="13">
        <f t="shared" si="162"/>
        <v>0.11666666666666667</v>
      </c>
      <c r="J1029" t="s">
        <v>38</v>
      </c>
      <c r="K1029" t="s">
        <v>38</v>
      </c>
      <c r="L1029">
        <v>1.2</v>
      </c>
      <c r="M1029" s="5">
        <f t="shared" si="163"/>
        <v>10.285714285714285</v>
      </c>
      <c r="O1029" t="str">
        <f t="shared" si="164"/>
        <v>No Purpose</v>
      </c>
    </row>
    <row r="1030" spans="1:15" x14ac:dyDescent="0.3">
      <c r="A1030" s="1">
        <v>42380.801388888889</v>
      </c>
      <c r="B1030" s="6">
        <f t="shared" si="165"/>
        <v>42380</v>
      </c>
      <c r="C1030" s="7">
        <f t="shared" si="166"/>
        <v>0.80138888888905058</v>
      </c>
      <c r="D1030" s="1">
        <v>42380.805555555555</v>
      </c>
      <c r="E1030" s="6">
        <f t="shared" si="167"/>
        <v>42380</v>
      </c>
      <c r="F1030" s="8">
        <f t="shared" si="168"/>
        <v>0.80555555555474712</v>
      </c>
      <c r="G1030" t="s">
        <v>7</v>
      </c>
      <c r="H1030" s="7">
        <f t="shared" si="161"/>
        <v>4.166666665696539E-3</v>
      </c>
      <c r="I1030" s="13">
        <f t="shared" si="162"/>
        <v>0.1</v>
      </c>
      <c r="J1030" t="s">
        <v>38</v>
      </c>
      <c r="K1030" t="s">
        <v>38</v>
      </c>
      <c r="L1030">
        <v>1</v>
      </c>
      <c r="M1030" s="5">
        <f t="shared" si="163"/>
        <v>10</v>
      </c>
      <c r="O1030" t="str">
        <f t="shared" si="164"/>
        <v>No Purpose</v>
      </c>
    </row>
    <row r="1031" spans="1:15" x14ac:dyDescent="0.3">
      <c r="A1031" s="1">
        <v>42380.832638888889</v>
      </c>
      <c r="B1031" s="6">
        <f t="shared" si="165"/>
        <v>42380</v>
      </c>
      <c r="C1031" s="7">
        <f t="shared" si="166"/>
        <v>0.83263888888905058</v>
      </c>
      <c r="D1031" s="1">
        <v>42380.841666666667</v>
      </c>
      <c r="E1031" s="6">
        <f t="shared" si="167"/>
        <v>42380</v>
      </c>
      <c r="F1031" s="8">
        <f t="shared" si="168"/>
        <v>0.84166666666715173</v>
      </c>
      <c r="G1031" t="s">
        <v>7</v>
      </c>
      <c r="H1031" s="7">
        <f t="shared" si="161"/>
        <v>9.0277777781011537E-3</v>
      </c>
      <c r="I1031" s="13">
        <f t="shared" si="162"/>
        <v>0.21666666666666667</v>
      </c>
      <c r="J1031" t="s">
        <v>38</v>
      </c>
      <c r="K1031" t="s">
        <v>38</v>
      </c>
      <c r="L1031">
        <v>4.0999999999999996</v>
      </c>
      <c r="M1031" s="5">
        <f t="shared" si="163"/>
        <v>18.92307692307692</v>
      </c>
      <c r="O1031" t="str">
        <f t="shared" si="164"/>
        <v>No Purpose</v>
      </c>
    </row>
    <row r="1032" spans="1:15" x14ac:dyDescent="0.3">
      <c r="A1032" s="1">
        <v>42411.631944444445</v>
      </c>
      <c r="B1032" s="6">
        <f t="shared" si="165"/>
        <v>42411</v>
      </c>
      <c r="C1032" s="7">
        <f t="shared" si="166"/>
        <v>0.63194444444525288</v>
      </c>
      <c r="D1032" s="1">
        <v>42411.637499999997</v>
      </c>
      <c r="E1032" s="6">
        <f t="shared" si="167"/>
        <v>42411</v>
      </c>
      <c r="F1032" s="8">
        <f t="shared" si="168"/>
        <v>0.63749999999708962</v>
      </c>
      <c r="G1032" t="s">
        <v>7</v>
      </c>
      <c r="H1032" s="7">
        <f t="shared" si="161"/>
        <v>5.5555555518367328E-3</v>
      </c>
      <c r="I1032" s="13">
        <f t="shared" si="162"/>
        <v>0.13333333333333333</v>
      </c>
      <c r="J1032" t="s">
        <v>38</v>
      </c>
      <c r="K1032" t="s">
        <v>44</v>
      </c>
      <c r="L1032">
        <v>1.4</v>
      </c>
      <c r="M1032" s="5">
        <f t="shared" si="163"/>
        <v>10.5</v>
      </c>
      <c r="O1032" t="str">
        <f t="shared" si="164"/>
        <v>No Purpose</v>
      </c>
    </row>
    <row r="1033" spans="1:15" x14ac:dyDescent="0.3">
      <c r="A1033" s="1">
        <v>42411.65625</v>
      </c>
      <c r="B1033" s="6">
        <f t="shared" si="165"/>
        <v>42411</v>
      </c>
      <c r="C1033" s="7">
        <f t="shared" si="166"/>
        <v>0.65625</v>
      </c>
      <c r="D1033" s="1">
        <v>42411.661111111112</v>
      </c>
      <c r="E1033" s="6">
        <f t="shared" si="167"/>
        <v>42411</v>
      </c>
      <c r="F1033" s="8">
        <f t="shared" si="168"/>
        <v>0.66111111111240461</v>
      </c>
      <c r="G1033" t="s">
        <v>7</v>
      </c>
      <c r="H1033" s="7">
        <f t="shared" si="161"/>
        <v>4.8611111124046147E-3</v>
      </c>
      <c r="I1033" s="13">
        <f t="shared" si="162"/>
        <v>0.11666666666666667</v>
      </c>
      <c r="J1033" t="s">
        <v>44</v>
      </c>
      <c r="K1033" t="s">
        <v>38</v>
      </c>
      <c r="L1033">
        <v>1.8</v>
      </c>
      <c r="M1033" s="5">
        <f t="shared" si="163"/>
        <v>15.428571428571429</v>
      </c>
      <c r="O1033" t="str">
        <f t="shared" si="164"/>
        <v>No Purpose</v>
      </c>
    </row>
    <row r="1034" spans="1:15" x14ac:dyDescent="0.3">
      <c r="A1034" s="1">
        <v>42411.731944444444</v>
      </c>
      <c r="B1034" s="6">
        <f t="shared" si="165"/>
        <v>42411</v>
      </c>
      <c r="C1034" s="7">
        <f t="shared" si="166"/>
        <v>0.73194444444379769</v>
      </c>
      <c r="D1034" s="1">
        <v>42411.742361111108</v>
      </c>
      <c r="E1034" s="6">
        <f t="shared" si="167"/>
        <v>42411</v>
      </c>
      <c r="F1034" s="8">
        <f t="shared" si="168"/>
        <v>0.74236111110803904</v>
      </c>
      <c r="G1034" t="s">
        <v>7</v>
      </c>
      <c r="H1034" s="7">
        <f t="shared" si="161"/>
        <v>1.0416666664241347E-2</v>
      </c>
      <c r="I1034" s="13">
        <f t="shared" si="162"/>
        <v>0.25</v>
      </c>
      <c r="J1034" t="s">
        <v>16</v>
      </c>
      <c r="K1034" t="s">
        <v>16</v>
      </c>
      <c r="L1034">
        <v>5</v>
      </c>
      <c r="M1034" s="5">
        <f t="shared" si="163"/>
        <v>20</v>
      </c>
      <c r="O1034" t="str">
        <f t="shared" si="164"/>
        <v>No Purpose</v>
      </c>
    </row>
    <row r="1035" spans="1:15" x14ac:dyDescent="0.3">
      <c r="A1035" s="1">
        <v>42411.745138888888</v>
      </c>
      <c r="B1035" s="6">
        <f t="shared" si="165"/>
        <v>42411</v>
      </c>
      <c r="C1035" s="7">
        <f t="shared" si="166"/>
        <v>0.74513888888759539</v>
      </c>
      <c r="D1035" s="1">
        <v>42411.75</v>
      </c>
      <c r="E1035" s="6">
        <f t="shared" si="167"/>
        <v>42411</v>
      </c>
      <c r="F1035" s="8">
        <f t="shared" si="168"/>
        <v>0.75</v>
      </c>
      <c r="G1035" t="s">
        <v>7</v>
      </c>
      <c r="H1035" s="7">
        <f t="shared" si="161"/>
        <v>4.8611111124046147E-3</v>
      </c>
      <c r="I1035" s="13">
        <f t="shared" si="162"/>
        <v>0.11666666666666667</v>
      </c>
      <c r="J1035" t="s">
        <v>16</v>
      </c>
      <c r="K1035" t="s">
        <v>15</v>
      </c>
      <c r="L1035">
        <v>3.8</v>
      </c>
      <c r="M1035" s="5">
        <f t="shared" si="163"/>
        <v>32.571428571428569</v>
      </c>
      <c r="O1035" t="str">
        <f t="shared" si="164"/>
        <v>No Purpose</v>
      </c>
    </row>
    <row r="1036" spans="1:15" x14ac:dyDescent="0.3">
      <c r="A1036" s="1">
        <v>42440.477777777778</v>
      </c>
      <c r="B1036" s="6">
        <f t="shared" si="165"/>
        <v>42440</v>
      </c>
      <c r="C1036" s="7">
        <f t="shared" si="166"/>
        <v>0.47777777777810115</v>
      </c>
      <c r="D1036" s="1">
        <v>42440.481944444444</v>
      </c>
      <c r="E1036" s="6">
        <f t="shared" si="167"/>
        <v>42440</v>
      </c>
      <c r="F1036" s="8">
        <f t="shared" si="168"/>
        <v>0.48194444444379769</v>
      </c>
      <c r="G1036" t="s">
        <v>7</v>
      </c>
      <c r="H1036" s="7">
        <f t="shared" si="161"/>
        <v>4.166666665696539E-3</v>
      </c>
      <c r="I1036" s="13">
        <f t="shared" si="162"/>
        <v>0.1</v>
      </c>
      <c r="J1036" t="s">
        <v>38</v>
      </c>
      <c r="K1036" t="s">
        <v>43</v>
      </c>
      <c r="L1036">
        <v>2.5</v>
      </c>
      <c r="M1036" s="5">
        <f t="shared" si="163"/>
        <v>25</v>
      </c>
      <c r="O1036" t="str">
        <f t="shared" si="164"/>
        <v>No Purpose</v>
      </c>
    </row>
    <row r="1037" spans="1:15" x14ac:dyDescent="0.3">
      <c r="A1037" s="1">
        <v>42440.529861111114</v>
      </c>
      <c r="B1037" s="6">
        <f t="shared" si="165"/>
        <v>42440</v>
      </c>
      <c r="C1037" s="7">
        <f t="shared" si="166"/>
        <v>0.52986111111385981</v>
      </c>
      <c r="D1037" s="1">
        <v>42440.53402777778</v>
      </c>
      <c r="E1037" s="6">
        <f t="shared" si="167"/>
        <v>42440</v>
      </c>
      <c r="F1037" s="8">
        <f t="shared" si="168"/>
        <v>0.53402777777955635</v>
      </c>
      <c r="G1037" t="s">
        <v>7</v>
      </c>
      <c r="H1037" s="7">
        <f t="shared" si="161"/>
        <v>4.166666665696539E-3</v>
      </c>
      <c r="I1037" s="13">
        <f t="shared" si="162"/>
        <v>0.1</v>
      </c>
      <c r="J1037" t="s">
        <v>43</v>
      </c>
      <c r="K1037" t="s">
        <v>38</v>
      </c>
      <c r="L1037">
        <v>2.4</v>
      </c>
      <c r="M1037" s="5">
        <f t="shared" si="163"/>
        <v>23.999999999999996</v>
      </c>
      <c r="O1037" t="str">
        <f t="shared" si="164"/>
        <v>No Purpose</v>
      </c>
    </row>
    <row r="1038" spans="1:15" x14ac:dyDescent="0.3">
      <c r="A1038" s="1">
        <v>42440.570833333331</v>
      </c>
      <c r="B1038" s="6">
        <f t="shared" si="165"/>
        <v>42440</v>
      </c>
      <c r="C1038" s="7">
        <f t="shared" si="166"/>
        <v>0.57083333333139308</v>
      </c>
      <c r="D1038" s="1">
        <v>42440.574305555558</v>
      </c>
      <c r="E1038" s="6">
        <f t="shared" si="167"/>
        <v>42440</v>
      </c>
      <c r="F1038" s="8">
        <f t="shared" si="168"/>
        <v>0.5743055555576575</v>
      </c>
      <c r="G1038" t="s">
        <v>7</v>
      </c>
      <c r="H1038" s="7">
        <f t="shared" si="161"/>
        <v>3.4722222262644209E-3</v>
      </c>
      <c r="I1038" s="13">
        <f t="shared" si="162"/>
        <v>8.3333333333333329E-2</v>
      </c>
      <c r="J1038" t="s">
        <v>38</v>
      </c>
      <c r="K1038" t="s">
        <v>44</v>
      </c>
      <c r="L1038">
        <v>1.4</v>
      </c>
      <c r="M1038" s="5">
        <f t="shared" si="163"/>
        <v>16.8</v>
      </c>
      <c r="O1038" t="str">
        <f t="shared" si="164"/>
        <v>No Purpose</v>
      </c>
    </row>
    <row r="1039" spans="1:15" x14ac:dyDescent="0.3">
      <c r="A1039" s="1">
        <v>42440.592361111114</v>
      </c>
      <c r="B1039" s="6">
        <f t="shared" si="165"/>
        <v>42440</v>
      </c>
      <c r="C1039" s="7">
        <f t="shared" si="166"/>
        <v>0.59236111111385981</v>
      </c>
      <c r="D1039" s="1">
        <v>42440.601388888892</v>
      </c>
      <c r="E1039" s="6">
        <f t="shared" si="167"/>
        <v>42440</v>
      </c>
      <c r="F1039" s="8">
        <f t="shared" si="168"/>
        <v>0.60138888889196096</v>
      </c>
      <c r="G1039" t="s">
        <v>7</v>
      </c>
      <c r="H1039" s="7">
        <f t="shared" si="161"/>
        <v>9.0277777781011537E-3</v>
      </c>
      <c r="I1039" s="13">
        <f t="shared" si="162"/>
        <v>0.21666666666666667</v>
      </c>
      <c r="J1039" t="s">
        <v>44</v>
      </c>
      <c r="K1039" t="s">
        <v>38</v>
      </c>
      <c r="L1039">
        <v>1.8</v>
      </c>
      <c r="M1039" s="5">
        <f t="shared" si="163"/>
        <v>8.3076923076923084</v>
      </c>
      <c r="O1039" t="str">
        <f t="shared" si="164"/>
        <v>No Purpose</v>
      </c>
    </row>
    <row r="1040" spans="1:15" x14ac:dyDescent="0.3">
      <c r="A1040" s="1">
        <v>42471.759722222225</v>
      </c>
      <c r="B1040" s="6">
        <f t="shared" si="165"/>
        <v>42471</v>
      </c>
      <c r="C1040" s="7">
        <f t="shared" si="166"/>
        <v>0.75972222222480923</v>
      </c>
      <c r="D1040" s="1">
        <v>42471.76458333333</v>
      </c>
      <c r="E1040" s="6">
        <f t="shared" si="167"/>
        <v>42471</v>
      </c>
      <c r="F1040" s="8">
        <f t="shared" si="168"/>
        <v>0.76458333332993789</v>
      </c>
      <c r="G1040" t="s">
        <v>7</v>
      </c>
      <c r="H1040" s="7">
        <f t="shared" si="161"/>
        <v>4.8611111051286571E-3</v>
      </c>
      <c r="I1040" s="13">
        <f t="shared" si="162"/>
        <v>0.11666666666666667</v>
      </c>
      <c r="J1040" t="s">
        <v>1083</v>
      </c>
      <c r="K1040" t="s">
        <v>1182</v>
      </c>
      <c r="L1040">
        <v>3.8</v>
      </c>
      <c r="M1040" s="5">
        <f t="shared" si="163"/>
        <v>32.571428571428569</v>
      </c>
      <c r="O1040" t="str">
        <f t="shared" si="164"/>
        <v>No Purpose</v>
      </c>
    </row>
    <row r="1041" spans="1:15" x14ac:dyDescent="0.3">
      <c r="A1041" s="1">
        <v>42471.87777777778</v>
      </c>
      <c r="B1041" s="6">
        <f t="shared" si="165"/>
        <v>42471</v>
      </c>
      <c r="C1041" s="7">
        <f t="shared" si="166"/>
        <v>0.87777777777955635</v>
      </c>
      <c r="D1041" s="1">
        <v>42471.888888888891</v>
      </c>
      <c r="E1041" s="6">
        <f t="shared" si="167"/>
        <v>42471</v>
      </c>
      <c r="F1041" s="8">
        <f t="shared" si="168"/>
        <v>0.88888888889050577</v>
      </c>
      <c r="G1041" t="s">
        <v>7</v>
      </c>
      <c r="H1041" s="7">
        <f t="shared" si="161"/>
        <v>1.1111111110949423E-2</v>
      </c>
      <c r="I1041" s="13">
        <f t="shared" si="162"/>
        <v>0.26666666666666666</v>
      </c>
      <c r="J1041" t="s">
        <v>1183</v>
      </c>
      <c r="K1041" t="s">
        <v>1184</v>
      </c>
      <c r="L1041">
        <v>4.3</v>
      </c>
      <c r="M1041" s="5">
        <f t="shared" si="163"/>
        <v>16.125</v>
      </c>
      <c r="O1041" t="str">
        <f t="shared" si="164"/>
        <v>No Purpose</v>
      </c>
    </row>
    <row r="1042" spans="1:15" x14ac:dyDescent="0.3">
      <c r="A1042" s="1">
        <v>42471.925000000003</v>
      </c>
      <c r="B1042" s="6">
        <f t="shared" si="165"/>
        <v>42471</v>
      </c>
      <c r="C1042" s="7">
        <f t="shared" si="166"/>
        <v>0.92500000000291038</v>
      </c>
      <c r="D1042" s="1">
        <v>42471.934027777781</v>
      </c>
      <c r="E1042" s="6">
        <f t="shared" si="167"/>
        <v>42471</v>
      </c>
      <c r="F1042" s="8">
        <f t="shared" si="168"/>
        <v>0.93402777778101154</v>
      </c>
      <c r="G1042" t="s">
        <v>7</v>
      </c>
      <c r="H1042" s="7">
        <f t="shared" si="161"/>
        <v>9.0277777781011537E-3</v>
      </c>
      <c r="I1042" s="13">
        <f t="shared" si="162"/>
        <v>0.21666666666666667</v>
      </c>
      <c r="J1042" t="s">
        <v>1184</v>
      </c>
      <c r="K1042" t="s">
        <v>1183</v>
      </c>
      <c r="L1042">
        <v>3.9</v>
      </c>
      <c r="M1042" s="5">
        <f t="shared" si="163"/>
        <v>18</v>
      </c>
      <c r="O1042" t="str">
        <f t="shared" si="164"/>
        <v>No Purpose</v>
      </c>
    </row>
    <row r="1043" spans="1:15" x14ac:dyDescent="0.3">
      <c r="A1043" s="1">
        <v>42501.356944444444</v>
      </c>
      <c r="B1043" s="6">
        <f t="shared" si="165"/>
        <v>42501</v>
      </c>
      <c r="C1043" s="7">
        <f t="shared" si="166"/>
        <v>0.35694444444379769</v>
      </c>
      <c r="D1043" s="1">
        <v>42501.363194444442</v>
      </c>
      <c r="E1043" s="6">
        <f t="shared" si="167"/>
        <v>42501</v>
      </c>
      <c r="F1043" s="8">
        <f t="shared" si="168"/>
        <v>0.3631944444423425</v>
      </c>
      <c r="G1043" t="s">
        <v>7</v>
      </c>
      <c r="H1043" s="7">
        <f t="shared" si="161"/>
        <v>6.2499999985448085E-3</v>
      </c>
      <c r="I1043" s="13">
        <f t="shared" si="162"/>
        <v>0.15</v>
      </c>
      <c r="J1043" t="s">
        <v>1183</v>
      </c>
      <c r="K1043" t="s">
        <v>1185</v>
      </c>
      <c r="L1043">
        <v>2.2000000000000002</v>
      </c>
      <c r="M1043" s="5">
        <f t="shared" si="163"/>
        <v>14.666666666666668</v>
      </c>
      <c r="O1043" t="str">
        <f t="shared" si="164"/>
        <v>No Purpose</v>
      </c>
    </row>
    <row r="1044" spans="1:15" x14ac:dyDescent="0.3">
      <c r="A1044" s="1">
        <v>42501.728472222225</v>
      </c>
      <c r="B1044" s="6">
        <f t="shared" si="165"/>
        <v>42501</v>
      </c>
      <c r="C1044" s="7">
        <f t="shared" si="166"/>
        <v>0.72847222222480923</v>
      </c>
      <c r="D1044" s="1">
        <v>42501.736111111109</v>
      </c>
      <c r="E1044" s="6">
        <f t="shared" si="167"/>
        <v>42501</v>
      </c>
      <c r="F1044" s="8">
        <f t="shared" si="168"/>
        <v>0.73611111110949423</v>
      </c>
      <c r="G1044" t="s">
        <v>7</v>
      </c>
      <c r="H1044" s="7">
        <f t="shared" si="161"/>
        <v>7.6388888846850023E-3</v>
      </c>
      <c r="I1044" s="13">
        <f t="shared" si="162"/>
        <v>0.18333333333333332</v>
      </c>
      <c r="J1044" t="s">
        <v>1185</v>
      </c>
      <c r="K1044" t="s">
        <v>1183</v>
      </c>
      <c r="L1044">
        <v>2.8</v>
      </c>
      <c r="M1044" s="5">
        <f t="shared" si="163"/>
        <v>15.272727272727273</v>
      </c>
      <c r="O1044" t="str">
        <f t="shared" si="164"/>
        <v>No Purpose</v>
      </c>
    </row>
    <row r="1045" spans="1:15" x14ac:dyDescent="0.3">
      <c r="A1045" s="1">
        <v>42501.805555555555</v>
      </c>
      <c r="B1045" s="6">
        <f t="shared" si="165"/>
        <v>42501</v>
      </c>
      <c r="C1045" s="7">
        <f t="shared" si="166"/>
        <v>0.80555555555474712</v>
      </c>
      <c r="D1045" s="1">
        <v>42501.811111111114</v>
      </c>
      <c r="E1045" s="6">
        <f t="shared" si="167"/>
        <v>42501</v>
      </c>
      <c r="F1045" s="8">
        <f t="shared" si="168"/>
        <v>0.81111111111385981</v>
      </c>
      <c r="G1045" t="s">
        <v>7</v>
      </c>
      <c r="H1045" s="7">
        <f t="shared" si="161"/>
        <v>5.5555555591126904E-3</v>
      </c>
      <c r="I1045" s="13">
        <f t="shared" si="162"/>
        <v>0.13333333333333333</v>
      </c>
      <c r="J1045" t="s">
        <v>1183</v>
      </c>
      <c r="K1045" t="s">
        <v>1183</v>
      </c>
      <c r="L1045">
        <v>2.2000000000000002</v>
      </c>
      <c r="M1045" s="5">
        <f t="shared" si="163"/>
        <v>16.5</v>
      </c>
      <c r="O1045" t="str">
        <f t="shared" si="164"/>
        <v>No Purpose</v>
      </c>
    </row>
    <row r="1046" spans="1:15" x14ac:dyDescent="0.3">
      <c r="A1046" s="1">
        <v>42532.451388888891</v>
      </c>
      <c r="B1046" s="6">
        <f t="shared" si="165"/>
        <v>42532</v>
      </c>
      <c r="C1046" s="7">
        <f t="shared" si="166"/>
        <v>0.45138888889050577</v>
      </c>
      <c r="D1046" s="1">
        <v>42532.461111111108</v>
      </c>
      <c r="E1046" s="6">
        <f t="shared" si="167"/>
        <v>42532</v>
      </c>
      <c r="F1046" s="8">
        <f t="shared" si="168"/>
        <v>0.46111111110803904</v>
      </c>
      <c r="G1046" t="s">
        <v>7</v>
      </c>
      <c r="H1046" s="7">
        <f t="shared" si="161"/>
        <v>9.7222222175332718E-3</v>
      </c>
      <c r="I1046" s="13">
        <f t="shared" si="162"/>
        <v>0.23333333333333334</v>
      </c>
      <c r="J1046" t="s">
        <v>1183</v>
      </c>
      <c r="K1046" t="s">
        <v>1185</v>
      </c>
      <c r="L1046">
        <v>2.4</v>
      </c>
      <c r="M1046" s="5">
        <f t="shared" si="163"/>
        <v>10.285714285714285</v>
      </c>
      <c r="O1046" t="str">
        <f t="shared" si="164"/>
        <v>No Purpose</v>
      </c>
    </row>
    <row r="1047" spans="1:15" x14ac:dyDescent="0.3">
      <c r="A1047" s="1">
        <v>42532.794444444444</v>
      </c>
      <c r="B1047" s="6">
        <f t="shared" si="165"/>
        <v>42532</v>
      </c>
      <c r="C1047" s="7">
        <f t="shared" si="166"/>
        <v>0.79444444444379769</v>
      </c>
      <c r="D1047" s="1">
        <v>42532.800000000003</v>
      </c>
      <c r="E1047" s="6">
        <f t="shared" si="167"/>
        <v>42532</v>
      </c>
      <c r="F1047" s="8">
        <f t="shared" si="168"/>
        <v>0.80000000000291038</v>
      </c>
      <c r="G1047" t="s">
        <v>7</v>
      </c>
      <c r="H1047" s="7">
        <f t="shared" si="161"/>
        <v>5.5555555591126904E-3</v>
      </c>
      <c r="I1047" s="13">
        <f t="shared" si="162"/>
        <v>0.13333333333333333</v>
      </c>
      <c r="J1047" t="s">
        <v>31</v>
      </c>
      <c r="K1047" t="s">
        <v>1072</v>
      </c>
      <c r="L1047">
        <v>1.8</v>
      </c>
      <c r="M1047" s="5">
        <f t="shared" si="163"/>
        <v>13.5</v>
      </c>
      <c r="O1047" t="str">
        <f t="shared" si="164"/>
        <v>No Purpose</v>
      </c>
    </row>
    <row r="1048" spans="1:15" x14ac:dyDescent="0.3">
      <c r="A1048" s="1">
        <v>42532.837500000001</v>
      </c>
      <c r="B1048" s="6">
        <f t="shared" si="165"/>
        <v>42532</v>
      </c>
      <c r="C1048" s="7">
        <f t="shared" si="166"/>
        <v>0.83750000000145519</v>
      </c>
      <c r="D1048" s="1">
        <v>42532.847916666666</v>
      </c>
      <c r="E1048" s="6">
        <f t="shared" si="167"/>
        <v>42532</v>
      </c>
      <c r="F1048" s="8">
        <f t="shared" si="168"/>
        <v>0.84791666666569654</v>
      </c>
      <c r="G1048" t="s">
        <v>7</v>
      </c>
      <c r="H1048" s="7">
        <f t="shared" si="161"/>
        <v>1.0416666664241347E-2</v>
      </c>
      <c r="I1048" s="13">
        <f t="shared" si="162"/>
        <v>0.25</v>
      </c>
      <c r="J1048" t="s">
        <v>1072</v>
      </c>
      <c r="K1048" t="s">
        <v>1186</v>
      </c>
      <c r="L1048">
        <v>3.3</v>
      </c>
      <c r="M1048" s="5">
        <f t="shared" si="163"/>
        <v>13.2</v>
      </c>
      <c r="O1048" t="str">
        <f t="shared" si="164"/>
        <v>No Purpose</v>
      </c>
    </row>
    <row r="1049" spans="1:15" x14ac:dyDescent="0.3">
      <c r="A1049" s="1">
        <v>42593.570138888892</v>
      </c>
      <c r="B1049" s="6">
        <f t="shared" si="165"/>
        <v>42593</v>
      </c>
      <c r="C1049" s="7">
        <f t="shared" si="166"/>
        <v>0.57013888889196096</v>
      </c>
      <c r="D1049" s="1">
        <v>42593.584027777775</v>
      </c>
      <c r="E1049" s="6">
        <f t="shared" si="167"/>
        <v>42593</v>
      </c>
      <c r="F1049" s="8">
        <f t="shared" si="168"/>
        <v>0.58402777777519077</v>
      </c>
      <c r="G1049" t="s">
        <v>7</v>
      </c>
      <c r="H1049" s="7">
        <f t="shared" si="161"/>
        <v>1.3888888883229811E-2</v>
      </c>
      <c r="I1049" s="13">
        <f t="shared" si="162"/>
        <v>0.33333333333333331</v>
      </c>
      <c r="J1049" t="s">
        <v>472</v>
      </c>
      <c r="K1049" t="s">
        <v>469</v>
      </c>
      <c r="L1049">
        <v>3.6</v>
      </c>
      <c r="M1049" s="5">
        <f t="shared" si="163"/>
        <v>10.8</v>
      </c>
      <c r="O1049" t="str">
        <f t="shared" si="164"/>
        <v>No Purpose</v>
      </c>
    </row>
    <row r="1050" spans="1:15" x14ac:dyDescent="0.3">
      <c r="A1050" s="1">
        <v>42593.681250000001</v>
      </c>
      <c r="B1050" s="6">
        <f t="shared" si="165"/>
        <v>42593</v>
      </c>
      <c r="C1050" s="7">
        <f t="shared" si="166"/>
        <v>0.68125000000145519</v>
      </c>
      <c r="D1050" s="1">
        <v>42593.69027777778</v>
      </c>
      <c r="E1050" s="6">
        <f t="shared" si="167"/>
        <v>42593</v>
      </c>
      <c r="F1050" s="8">
        <f t="shared" si="168"/>
        <v>0.69027777777955635</v>
      </c>
      <c r="G1050" t="s">
        <v>7</v>
      </c>
      <c r="H1050" s="7">
        <f t="shared" si="161"/>
        <v>9.0277777781011537E-3</v>
      </c>
      <c r="I1050" s="13">
        <f t="shared" si="162"/>
        <v>0.21666666666666667</v>
      </c>
      <c r="J1050" t="s">
        <v>469</v>
      </c>
      <c r="K1050" t="s">
        <v>472</v>
      </c>
      <c r="L1050">
        <v>3</v>
      </c>
      <c r="M1050" s="5">
        <f t="shared" si="163"/>
        <v>13.846153846153845</v>
      </c>
      <c r="O1050" t="str">
        <f t="shared" si="164"/>
        <v>No Purpose</v>
      </c>
    </row>
    <row r="1051" spans="1:15" x14ac:dyDescent="0.3">
      <c r="A1051" s="1">
        <v>42624.547222222223</v>
      </c>
      <c r="B1051" s="6">
        <f t="shared" si="165"/>
        <v>42624</v>
      </c>
      <c r="C1051" s="7">
        <f t="shared" si="166"/>
        <v>0.54722222222335404</v>
      </c>
      <c r="D1051" s="1">
        <v>42624.570138888892</v>
      </c>
      <c r="E1051" s="6">
        <f t="shared" si="167"/>
        <v>42624</v>
      </c>
      <c r="F1051" s="8">
        <f t="shared" si="168"/>
        <v>0.57013888889196096</v>
      </c>
      <c r="G1051" t="s">
        <v>7</v>
      </c>
      <c r="H1051" s="7">
        <f t="shared" si="161"/>
        <v>2.2916666668606922E-2</v>
      </c>
      <c r="I1051" s="13">
        <f t="shared" si="162"/>
        <v>0.55000000000000004</v>
      </c>
      <c r="J1051" t="s">
        <v>472</v>
      </c>
      <c r="K1051" t="s">
        <v>396</v>
      </c>
      <c r="L1051">
        <v>11.4</v>
      </c>
      <c r="M1051" s="5">
        <f t="shared" si="163"/>
        <v>20.727272727272727</v>
      </c>
      <c r="O1051" t="str">
        <f t="shared" si="164"/>
        <v>No Purpose</v>
      </c>
    </row>
    <row r="1052" spans="1:15" x14ac:dyDescent="0.3">
      <c r="A1052" s="1">
        <v>42624.665277777778</v>
      </c>
      <c r="B1052" s="6">
        <f t="shared" si="165"/>
        <v>42624</v>
      </c>
      <c r="C1052" s="7">
        <f t="shared" si="166"/>
        <v>0.66527777777810115</v>
      </c>
      <c r="D1052" s="1">
        <v>42624.669444444444</v>
      </c>
      <c r="E1052" s="6">
        <f t="shared" si="167"/>
        <v>42624</v>
      </c>
      <c r="F1052" s="8">
        <f t="shared" si="168"/>
        <v>0.66944444444379769</v>
      </c>
      <c r="G1052" t="s">
        <v>7</v>
      </c>
      <c r="H1052" s="7">
        <f t="shared" si="161"/>
        <v>4.166666665696539E-3</v>
      </c>
      <c r="I1052" s="13">
        <f t="shared" si="162"/>
        <v>0.1</v>
      </c>
      <c r="J1052" t="s">
        <v>1187</v>
      </c>
      <c r="K1052" t="s">
        <v>31</v>
      </c>
      <c r="L1052">
        <v>0.9</v>
      </c>
      <c r="M1052" s="5">
        <f t="shared" si="163"/>
        <v>9</v>
      </c>
      <c r="O1052" t="str">
        <f t="shared" si="164"/>
        <v>No Purpose</v>
      </c>
    </row>
    <row r="1053" spans="1:15" x14ac:dyDescent="0.3">
      <c r="A1053" s="1">
        <v>42624.729861111111</v>
      </c>
      <c r="B1053" s="6">
        <f t="shared" si="165"/>
        <v>42624</v>
      </c>
      <c r="C1053" s="7">
        <f t="shared" si="166"/>
        <v>0.72986111111094942</v>
      </c>
      <c r="D1053" s="1">
        <v>42624.752083333333</v>
      </c>
      <c r="E1053" s="6">
        <f t="shared" si="167"/>
        <v>42624</v>
      </c>
      <c r="F1053" s="8">
        <f t="shared" si="168"/>
        <v>0.75208333333284827</v>
      </c>
      <c r="G1053" t="s">
        <v>7</v>
      </c>
      <c r="H1053" s="7">
        <f t="shared" si="161"/>
        <v>2.2222222221898846E-2</v>
      </c>
      <c r="I1053" s="13">
        <f t="shared" si="162"/>
        <v>0.53333333333333333</v>
      </c>
      <c r="J1053" t="s">
        <v>31</v>
      </c>
      <c r="K1053" t="s">
        <v>1188</v>
      </c>
      <c r="L1053">
        <v>6.2</v>
      </c>
      <c r="M1053" s="5">
        <f t="shared" si="163"/>
        <v>11.625</v>
      </c>
      <c r="O1053" t="str">
        <f t="shared" si="164"/>
        <v>No Purpose</v>
      </c>
    </row>
    <row r="1054" spans="1:15" x14ac:dyDescent="0.3">
      <c r="A1054" s="1">
        <v>42624.756249999999</v>
      </c>
      <c r="B1054" s="6">
        <f t="shared" si="165"/>
        <v>42624</v>
      </c>
      <c r="C1054" s="7">
        <f t="shared" si="166"/>
        <v>0.75624999999854481</v>
      </c>
      <c r="D1054" s="1">
        <v>42624.759722222225</v>
      </c>
      <c r="E1054" s="6">
        <f t="shared" si="167"/>
        <v>42624</v>
      </c>
      <c r="F1054" s="8">
        <f t="shared" si="168"/>
        <v>0.75972222222480923</v>
      </c>
      <c r="G1054" t="s">
        <v>7</v>
      </c>
      <c r="H1054" s="7">
        <f t="shared" si="161"/>
        <v>3.4722222262644209E-3</v>
      </c>
      <c r="I1054" s="13">
        <f t="shared" si="162"/>
        <v>8.3333333333333329E-2</v>
      </c>
      <c r="J1054" t="s">
        <v>1188</v>
      </c>
      <c r="K1054" t="s">
        <v>1189</v>
      </c>
      <c r="L1054">
        <v>0.7</v>
      </c>
      <c r="M1054" s="5">
        <f t="shared" si="163"/>
        <v>8.4</v>
      </c>
      <c r="O1054" t="str">
        <f t="shared" si="164"/>
        <v>No Purpose</v>
      </c>
    </row>
    <row r="1055" spans="1:15" x14ac:dyDescent="0.3">
      <c r="A1055" s="1">
        <v>42624.869444444441</v>
      </c>
      <c r="B1055" s="6">
        <f t="shared" si="165"/>
        <v>42624</v>
      </c>
      <c r="C1055" s="7">
        <f t="shared" si="166"/>
        <v>0.86944444444088731</v>
      </c>
      <c r="D1055" s="1">
        <v>42624.876388888886</v>
      </c>
      <c r="E1055" s="6">
        <f t="shared" si="167"/>
        <v>42624</v>
      </c>
      <c r="F1055" s="8">
        <f t="shared" si="168"/>
        <v>0.87638888888614019</v>
      </c>
      <c r="G1055" t="s">
        <v>7</v>
      </c>
      <c r="H1055" s="7">
        <f t="shared" si="161"/>
        <v>6.9444444452528842E-3</v>
      </c>
      <c r="I1055" s="13">
        <f t="shared" si="162"/>
        <v>0.16666666666666666</v>
      </c>
      <c r="J1055" t="s">
        <v>468</v>
      </c>
      <c r="K1055" t="s">
        <v>472</v>
      </c>
      <c r="L1055">
        <v>2.6</v>
      </c>
      <c r="M1055" s="5">
        <f t="shared" si="163"/>
        <v>15.600000000000001</v>
      </c>
      <c r="O1055" t="str">
        <f t="shared" si="164"/>
        <v>No Purpose</v>
      </c>
    </row>
    <row r="1056" spans="1:15" x14ac:dyDescent="0.3">
      <c r="A1056" s="1">
        <v>42624.913888888892</v>
      </c>
      <c r="B1056" s="6">
        <f t="shared" si="165"/>
        <v>42624</v>
      </c>
      <c r="C1056" s="7">
        <f t="shared" si="166"/>
        <v>0.91388888889196096</v>
      </c>
      <c r="D1056" s="1">
        <v>42624.918055555558</v>
      </c>
      <c r="E1056" s="6">
        <f t="shared" si="167"/>
        <v>42624</v>
      </c>
      <c r="F1056" s="8">
        <f t="shared" si="168"/>
        <v>0.9180555555576575</v>
      </c>
      <c r="G1056" t="s">
        <v>7</v>
      </c>
      <c r="H1056" s="7">
        <f t="shared" si="161"/>
        <v>4.166666665696539E-3</v>
      </c>
      <c r="I1056" s="13">
        <f t="shared" si="162"/>
        <v>0.1</v>
      </c>
      <c r="J1056" t="s">
        <v>1186</v>
      </c>
      <c r="K1056" t="s">
        <v>1186</v>
      </c>
      <c r="L1056">
        <v>1.1000000000000001</v>
      </c>
      <c r="M1056" s="5">
        <f t="shared" si="163"/>
        <v>11</v>
      </c>
      <c r="O1056" t="str">
        <f t="shared" si="164"/>
        <v>No Purpose</v>
      </c>
    </row>
    <row r="1057" spans="1:15" x14ac:dyDescent="0.3">
      <c r="A1057" s="1">
        <v>42654.430555555555</v>
      </c>
      <c r="B1057" s="6">
        <f t="shared" si="165"/>
        <v>42654</v>
      </c>
      <c r="C1057" s="7">
        <f t="shared" si="166"/>
        <v>0.43055555555474712</v>
      </c>
      <c r="D1057" s="1">
        <v>42654.438194444447</v>
      </c>
      <c r="E1057" s="6">
        <f t="shared" si="167"/>
        <v>42654</v>
      </c>
      <c r="F1057" s="8">
        <f t="shared" si="168"/>
        <v>0.43819444444670808</v>
      </c>
      <c r="G1057" t="s">
        <v>7</v>
      </c>
      <c r="H1057" s="7">
        <f t="shared" si="161"/>
        <v>7.6388888919609599E-3</v>
      </c>
      <c r="I1057" s="13">
        <f t="shared" si="162"/>
        <v>0.18333333333333332</v>
      </c>
      <c r="J1057" t="s">
        <v>1191</v>
      </c>
      <c r="K1057" t="s">
        <v>1066</v>
      </c>
      <c r="L1057">
        <v>1.2</v>
      </c>
      <c r="M1057" s="5">
        <f t="shared" si="163"/>
        <v>6.5454545454545459</v>
      </c>
      <c r="O1057" t="str">
        <f t="shared" si="164"/>
        <v>No Purpose</v>
      </c>
    </row>
    <row r="1058" spans="1:15" x14ac:dyDescent="0.3">
      <c r="A1058" s="1">
        <v>42654.622916666667</v>
      </c>
      <c r="B1058" s="6">
        <f t="shared" si="165"/>
        <v>42654</v>
      </c>
      <c r="C1058" s="7">
        <f t="shared" si="166"/>
        <v>0.62291666666715173</v>
      </c>
      <c r="D1058" s="1">
        <v>42654.629861111112</v>
      </c>
      <c r="E1058" s="6">
        <f t="shared" si="167"/>
        <v>42654</v>
      </c>
      <c r="F1058" s="8">
        <f t="shared" si="168"/>
        <v>0.62986111111240461</v>
      </c>
      <c r="G1058" t="s">
        <v>7</v>
      </c>
      <c r="H1058" s="7">
        <f t="shared" si="161"/>
        <v>6.9444444452528842E-3</v>
      </c>
      <c r="I1058" s="13">
        <f t="shared" si="162"/>
        <v>0.16666666666666666</v>
      </c>
      <c r="J1058" t="s">
        <v>1066</v>
      </c>
      <c r="K1058" t="s">
        <v>1191</v>
      </c>
      <c r="L1058">
        <v>1.1000000000000001</v>
      </c>
      <c r="M1058" s="5">
        <f t="shared" si="163"/>
        <v>6.6000000000000005</v>
      </c>
      <c r="O1058" t="str">
        <f t="shared" si="164"/>
        <v>No Purpose</v>
      </c>
    </row>
    <row r="1059" spans="1:15" x14ac:dyDescent="0.3">
      <c r="A1059" s="1">
        <v>42654.804166666669</v>
      </c>
      <c r="B1059" s="6">
        <f t="shared" si="165"/>
        <v>42654</v>
      </c>
      <c r="C1059" s="7">
        <f t="shared" si="166"/>
        <v>0.80416666666860692</v>
      </c>
      <c r="D1059" s="1">
        <v>42654.806250000001</v>
      </c>
      <c r="E1059" s="6">
        <f t="shared" si="167"/>
        <v>42654</v>
      </c>
      <c r="F1059" s="8">
        <f t="shared" si="168"/>
        <v>0.80625000000145519</v>
      </c>
      <c r="G1059" t="s">
        <v>7</v>
      </c>
      <c r="H1059" s="7">
        <f t="shared" si="161"/>
        <v>2.0833333328482695E-3</v>
      </c>
      <c r="I1059" s="13">
        <f t="shared" si="162"/>
        <v>0.05</v>
      </c>
      <c r="J1059" t="s">
        <v>1072</v>
      </c>
      <c r="K1059" t="s">
        <v>1186</v>
      </c>
      <c r="L1059">
        <v>0.8</v>
      </c>
      <c r="M1059" s="5">
        <f t="shared" si="163"/>
        <v>16</v>
      </c>
      <c r="O1059" t="str">
        <f t="shared" si="164"/>
        <v>No Purpose</v>
      </c>
    </row>
    <row r="1060" spans="1:15" x14ac:dyDescent="0.3">
      <c r="A1060" s="1">
        <v>42685.540277777778</v>
      </c>
      <c r="B1060" s="6">
        <f t="shared" si="165"/>
        <v>42685</v>
      </c>
      <c r="C1060" s="7">
        <f t="shared" si="166"/>
        <v>0.54027777777810115</v>
      </c>
      <c r="D1060" s="1">
        <v>42685.550694444442</v>
      </c>
      <c r="E1060" s="6">
        <f t="shared" si="167"/>
        <v>42685</v>
      </c>
      <c r="F1060" s="8">
        <f t="shared" si="168"/>
        <v>0.5506944444423425</v>
      </c>
      <c r="G1060" t="s">
        <v>7</v>
      </c>
      <c r="H1060" s="7">
        <f t="shared" si="161"/>
        <v>1.0416666664241347E-2</v>
      </c>
      <c r="I1060" s="13">
        <f t="shared" si="162"/>
        <v>0.25</v>
      </c>
      <c r="J1060" t="s">
        <v>400</v>
      </c>
      <c r="K1060" t="s">
        <v>397</v>
      </c>
      <c r="L1060">
        <v>4</v>
      </c>
      <c r="M1060" s="5">
        <f t="shared" si="163"/>
        <v>16</v>
      </c>
      <c r="O1060" t="str">
        <f t="shared" si="164"/>
        <v>No Purpose</v>
      </c>
    </row>
    <row r="1061" spans="1:15" x14ac:dyDescent="0.3">
      <c r="A1061" s="1">
        <v>42685.597222222219</v>
      </c>
      <c r="B1061" s="6">
        <f t="shared" si="165"/>
        <v>42685</v>
      </c>
      <c r="C1061" s="7">
        <f t="shared" si="166"/>
        <v>0.59722222221898846</v>
      </c>
      <c r="D1061" s="1">
        <v>42685.605555555558</v>
      </c>
      <c r="E1061" s="6">
        <f t="shared" si="167"/>
        <v>42685</v>
      </c>
      <c r="F1061" s="8">
        <f t="shared" si="168"/>
        <v>0.6055555555576575</v>
      </c>
      <c r="G1061" t="s">
        <v>7</v>
      </c>
      <c r="H1061" s="7">
        <f t="shared" si="161"/>
        <v>8.3333333386690356E-3</v>
      </c>
      <c r="I1061" s="13">
        <f t="shared" si="162"/>
        <v>0.2</v>
      </c>
      <c r="J1061" t="s">
        <v>397</v>
      </c>
      <c r="K1061" t="s">
        <v>400</v>
      </c>
      <c r="L1061">
        <v>2.5</v>
      </c>
      <c r="M1061" s="5">
        <f t="shared" si="163"/>
        <v>12.5</v>
      </c>
      <c r="O1061" t="str">
        <f t="shared" si="164"/>
        <v>No Purpose</v>
      </c>
    </row>
    <row r="1062" spans="1:15" x14ac:dyDescent="0.3">
      <c r="A1062" s="1">
        <v>42685.770833333336</v>
      </c>
      <c r="B1062" s="6">
        <f t="shared" si="165"/>
        <v>42685</v>
      </c>
      <c r="C1062" s="7">
        <f t="shared" si="166"/>
        <v>0.77083333333575865</v>
      </c>
      <c r="D1062" s="1">
        <v>42685.779861111114</v>
      </c>
      <c r="E1062" s="6">
        <f t="shared" si="167"/>
        <v>42685</v>
      </c>
      <c r="F1062" s="8">
        <f t="shared" si="168"/>
        <v>0.77986111111385981</v>
      </c>
      <c r="G1062" t="s">
        <v>7</v>
      </c>
      <c r="H1062" s="7">
        <f t="shared" si="161"/>
        <v>9.0277777781011537E-3</v>
      </c>
      <c r="I1062" s="13">
        <f t="shared" si="162"/>
        <v>0.21666666666666667</v>
      </c>
      <c r="J1062" t="s">
        <v>1186</v>
      </c>
      <c r="K1062" t="s">
        <v>1192</v>
      </c>
      <c r="L1062">
        <v>2.9</v>
      </c>
      <c r="M1062" s="5">
        <f t="shared" si="163"/>
        <v>13.384615384615383</v>
      </c>
      <c r="O1062" t="str">
        <f t="shared" si="164"/>
        <v>No Purpose</v>
      </c>
    </row>
    <row r="1063" spans="1:15" x14ac:dyDescent="0.3">
      <c r="A1063" s="1">
        <v>42685.880555555559</v>
      </c>
      <c r="B1063" s="6">
        <f t="shared" si="165"/>
        <v>42685</v>
      </c>
      <c r="C1063" s="7">
        <f t="shared" si="166"/>
        <v>0.88055555555911269</v>
      </c>
      <c r="D1063" s="1">
        <v>42685.887499999997</v>
      </c>
      <c r="E1063" s="6">
        <f t="shared" si="167"/>
        <v>42685</v>
      </c>
      <c r="F1063" s="8">
        <f t="shared" si="168"/>
        <v>0.88749999999708962</v>
      </c>
      <c r="G1063" t="s">
        <v>7</v>
      </c>
      <c r="H1063" s="7">
        <f t="shared" si="161"/>
        <v>6.9444444379769266E-3</v>
      </c>
      <c r="I1063" s="13">
        <f t="shared" si="162"/>
        <v>0.16666666666666666</v>
      </c>
      <c r="J1063" t="s">
        <v>1192</v>
      </c>
      <c r="K1063" t="s">
        <v>1186</v>
      </c>
      <c r="L1063">
        <v>2.6</v>
      </c>
      <c r="M1063" s="5">
        <f t="shared" si="163"/>
        <v>15.600000000000001</v>
      </c>
      <c r="O1063" t="str">
        <f t="shared" si="164"/>
        <v>No Purpose</v>
      </c>
    </row>
    <row r="1064" spans="1:15" x14ac:dyDescent="0.3">
      <c r="A1064" s="1">
        <v>42715.438888888886</v>
      </c>
      <c r="B1064" s="6">
        <f t="shared" si="165"/>
        <v>42715</v>
      </c>
      <c r="C1064" s="7">
        <f t="shared" si="166"/>
        <v>0.43888888888614019</v>
      </c>
      <c r="D1064" s="1">
        <v>42715.452777777777</v>
      </c>
      <c r="E1064" s="6">
        <f t="shared" si="167"/>
        <v>42715</v>
      </c>
      <c r="F1064" s="8">
        <f t="shared" si="168"/>
        <v>0.45277777777664596</v>
      </c>
      <c r="G1064" t="s">
        <v>7</v>
      </c>
      <c r="H1064" s="7">
        <f t="shared" si="161"/>
        <v>1.3888888890505768E-2</v>
      </c>
      <c r="I1064" s="13">
        <f t="shared" si="162"/>
        <v>0.33333333333333331</v>
      </c>
      <c r="J1064" t="s">
        <v>1186</v>
      </c>
      <c r="K1064" t="s">
        <v>1193</v>
      </c>
      <c r="L1064">
        <v>2.2999999999999998</v>
      </c>
      <c r="M1064" s="5">
        <f t="shared" si="163"/>
        <v>6.8999999999999995</v>
      </c>
      <c r="O1064" t="str">
        <f t="shared" si="164"/>
        <v>No Purpose</v>
      </c>
    </row>
    <row r="1065" spans="1:15" x14ac:dyDescent="0.3">
      <c r="A1065" s="1">
        <v>42715.454861111109</v>
      </c>
      <c r="B1065" s="6">
        <f t="shared" si="165"/>
        <v>42715</v>
      </c>
      <c r="C1065" s="7">
        <f t="shared" si="166"/>
        <v>0.45486111110949423</v>
      </c>
      <c r="D1065" s="1">
        <v>42715.475694444445</v>
      </c>
      <c r="E1065" s="6">
        <f t="shared" si="167"/>
        <v>42715</v>
      </c>
      <c r="F1065" s="8">
        <f t="shared" si="168"/>
        <v>0.47569444444525288</v>
      </c>
      <c r="G1065" t="s">
        <v>7</v>
      </c>
      <c r="H1065" s="7">
        <f t="shared" si="161"/>
        <v>2.0833333335758653E-2</v>
      </c>
      <c r="I1065" s="13">
        <f t="shared" si="162"/>
        <v>0.5</v>
      </c>
      <c r="J1065" t="s">
        <v>1193</v>
      </c>
      <c r="K1065" t="s">
        <v>31</v>
      </c>
      <c r="L1065">
        <v>6.4</v>
      </c>
      <c r="M1065" s="5">
        <f t="shared" si="163"/>
        <v>12.8</v>
      </c>
      <c r="O1065" t="str">
        <f t="shared" si="164"/>
        <v>No Purpose</v>
      </c>
    </row>
    <row r="1066" spans="1:15" x14ac:dyDescent="0.3">
      <c r="A1066" s="1">
        <v>42715.546527777777</v>
      </c>
      <c r="B1066" s="6">
        <f t="shared" si="165"/>
        <v>42715</v>
      </c>
      <c r="C1066" s="7">
        <f t="shared" si="166"/>
        <v>0.54652777777664596</v>
      </c>
      <c r="D1066" s="1">
        <v>42715.552083333336</v>
      </c>
      <c r="E1066" s="6">
        <f t="shared" si="167"/>
        <v>42715</v>
      </c>
      <c r="F1066" s="8">
        <f t="shared" si="168"/>
        <v>0.55208333333575865</v>
      </c>
      <c r="G1066" t="s">
        <v>7</v>
      </c>
      <c r="H1066" s="7">
        <f t="shared" si="161"/>
        <v>5.5555555591126904E-3</v>
      </c>
      <c r="I1066" s="13">
        <f t="shared" si="162"/>
        <v>0.13333333333333333</v>
      </c>
      <c r="J1066" t="s">
        <v>31</v>
      </c>
      <c r="K1066" t="s">
        <v>1186</v>
      </c>
      <c r="L1066">
        <v>1.4</v>
      </c>
      <c r="M1066" s="5">
        <f t="shared" si="163"/>
        <v>10.5</v>
      </c>
      <c r="O1066" t="str">
        <f t="shared" si="164"/>
        <v>No Purpose</v>
      </c>
    </row>
    <row r="1067" spans="1:15" x14ac:dyDescent="0.3">
      <c r="A1067" s="1">
        <v>42715.573611111111</v>
      </c>
      <c r="B1067" s="6">
        <f t="shared" si="165"/>
        <v>42715</v>
      </c>
      <c r="C1067" s="7">
        <f t="shared" si="166"/>
        <v>0.57361111111094942</v>
      </c>
      <c r="D1067" s="1">
        <v>42715.576388888891</v>
      </c>
      <c r="E1067" s="6">
        <f t="shared" si="167"/>
        <v>42715</v>
      </c>
      <c r="F1067" s="8">
        <f t="shared" si="168"/>
        <v>0.57638888889050577</v>
      </c>
      <c r="G1067" t="s">
        <v>7</v>
      </c>
      <c r="H1067" s="7">
        <f t="shared" si="161"/>
        <v>2.7777777795563452E-3</v>
      </c>
      <c r="I1067" s="13">
        <f t="shared" si="162"/>
        <v>6.6666666666666666E-2</v>
      </c>
      <c r="J1067" t="s">
        <v>1186</v>
      </c>
      <c r="K1067" t="s">
        <v>1072</v>
      </c>
      <c r="L1067">
        <v>0.6</v>
      </c>
      <c r="M1067" s="5">
        <f t="shared" si="163"/>
        <v>9</v>
      </c>
      <c r="O1067" t="str">
        <f t="shared" si="164"/>
        <v>No Purpose</v>
      </c>
    </row>
    <row r="1068" spans="1:15" x14ac:dyDescent="0.3">
      <c r="A1068" s="1">
        <v>42715.634722222225</v>
      </c>
      <c r="B1068" s="6">
        <f t="shared" si="165"/>
        <v>42715</v>
      </c>
      <c r="C1068" s="7">
        <f t="shared" si="166"/>
        <v>0.63472222222480923</v>
      </c>
      <c r="D1068" s="1">
        <v>42715.63958333333</v>
      </c>
      <c r="E1068" s="6">
        <f t="shared" si="167"/>
        <v>42715</v>
      </c>
      <c r="F1068" s="8">
        <f t="shared" si="168"/>
        <v>0.63958333332993789</v>
      </c>
      <c r="G1068" t="s">
        <v>7</v>
      </c>
      <c r="H1068" s="7">
        <f t="shared" si="161"/>
        <v>4.8611111051286571E-3</v>
      </c>
      <c r="I1068" s="13">
        <f t="shared" si="162"/>
        <v>0.11666666666666667</v>
      </c>
      <c r="J1068" t="s">
        <v>1193</v>
      </c>
      <c r="K1068" t="s">
        <v>1194</v>
      </c>
      <c r="L1068">
        <v>0.8</v>
      </c>
      <c r="M1068" s="5">
        <f t="shared" si="163"/>
        <v>6.8571428571428577</v>
      </c>
      <c r="O1068" t="str">
        <f t="shared" si="164"/>
        <v>No Purpose</v>
      </c>
    </row>
    <row r="1069" spans="1:15" x14ac:dyDescent="0.3">
      <c r="A1069" s="1">
        <v>42715.642361111109</v>
      </c>
      <c r="B1069" s="6">
        <f t="shared" si="165"/>
        <v>42715</v>
      </c>
      <c r="C1069" s="7">
        <f t="shared" si="166"/>
        <v>0.64236111110949423</v>
      </c>
      <c r="D1069" s="1">
        <v>42715.65</v>
      </c>
      <c r="E1069" s="6">
        <f t="shared" si="167"/>
        <v>42715</v>
      </c>
      <c r="F1069" s="8">
        <f t="shared" si="168"/>
        <v>0.65000000000145519</v>
      </c>
      <c r="G1069" t="s">
        <v>7</v>
      </c>
      <c r="H1069" s="7">
        <f t="shared" si="161"/>
        <v>7.6388888919609599E-3</v>
      </c>
      <c r="I1069" s="13">
        <f t="shared" si="162"/>
        <v>0.18333333333333332</v>
      </c>
      <c r="J1069" t="s">
        <v>472</v>
      </c>
      <c r="K1069" t="s">
        <v>469</v>
      </c>
      <c r="L1069">
        <v>1.3</v>
      </c>
      <c r="M1069" s="5">
        <f t="shared" si="163"/>
        <v>7.0909090909090917</v>
      </c>
      <c r="O1069" t="str">
        <f t="shared" si="164"/>
        <v>No Purpose</v>
      </c>
    </row>
    <row r="1070" spans="1:15" x14ac:dyDescent="0.3">
      <c r="A1070" t="s">
        <v>1195</v>
      </c>
      <c r="B1070" s="2">
        <v>42687</v>
      </c>
      <c r="C1070" s="7">
        <v>0.37083333333333335</v>
      </c>
      <c r="D1070" t="s">
        <v>1196</v>
      </c>
      <c r="E1070" s="2">
        <v>42687</v>
      </c>
      <c r="F1070" s="8">
        <v>0.37638888888888888</v>
      </c>
      <c r="G1070" t="s">
        <v>7</v>
      </c>
      <c r="H1070" s="7">
        <f t="shared" si="161"/>
        <v>5.5555555555555358E-3</v>
      </c>
      <c r="I1070" s="13">
        <f t="shared" si="162"/>
        <v>0.13333333333333333</v>
      </c>
      <c r="J1070" t="s">
        <v>1186</v>
      </c>
      <c r="K1070" t="s">
        <v>1186</v>
      </c>
      <c r="L1070">
        <v>2.2999999999999998</v>
      </c>
      <c r="M1070" s="5">
        <f t="shared" si="163"/>
        <v>17.25</v>
      </c>
      <c r="O1070" t="str">
        <f t="shared" si="164"/>
        <v>No Purpose</v>
      </c>
    </row>
    <row r="1071" spans="1:15" x14ac:dyDescent="0.3">
      <c r="A1071" t="s">
        <v>1197</v>
      </c>
      <c r="B1071" s="2">
        <v>42687</v>
      </c>
      <c r="C1071" s="7">
        <v>0.39374999999999999</v>
      </c>
      <c r="D1071" t="s">
        <v>1198</v>
      </c>
      <c r="E1071" s="2">
        <v>42687</v>
      </c>
      <c r="F1071" s="8">
        <v>0.41180555555555554</v>
      </c>
      <c r="G1071" t="s">
        <v>7</v>
      </c>
      <c r="H1071" s="7">
        <f t="shared" si="161"/>
        <v>1.8055555555555547E-2</v>
      </c>
      <c r="I1071" s="13">
        <f t="shared" si="162"/>
        <v>0.43333333333333335</v>
      </c>
      <c r="J1071" t="s">
        <v>1186</v>
      </c>
      <c r="K1071" t="s">
        <v>1186</v>
      </c>
      <c r="L1071">
        <v>2.6</v>
      </c>
      <c r="M1071" s="5">
        <f t="shared" si="163"/>
        <v>6</v>
      </c>
      <c r="O1071" t="str">
        <f t="shared" si="164"/>
        <v>No Purpose</v>
      </c>
    </row>
    <row r="1072" spans="1:15" x14ac:dyDescent="0.3">
      <c r="A1072" t="s">
        <v>1199</v>
      </c>
      <c r="B1072" s="2">
        <v>42687</v>
      </c>
      <c r="C1072" s="7">
        <v>0.4381944444444445</v>
      </c>
      <c r="D1072" t="s">
        <v>1200</v>
      </c>
      <c r="E1072" s="2">
        <v>42687</v>
      </c>
      <c r="F1072" s="8">
        <v>0.44236111111111115</v>
      </c>
      <c r="G1072" t="s">
        <v>7</v>
      </c>
      <c r="H1072" s="7">
        <f t="shared" si="161"/>
        <v>4.1666666666666519E-3</v>
      </c>
      <c r="I1072" s="13">
        <f t="shared" si="162"/>
        <v>0.1</v>
      </c>
      <c r="J1072" t="s">
        <v>1186</v>
      </c>
      <c r="K1072" t="s">
        <v>1076</v>
      </c>
      <c r="L1072">
        <v>1.9</v>
      </c>
      <c r="M1072" s="5">
        <f t="shared" si="163"/>
        <v>18.999999999999996</v>
      </c>
      <c r="O1072" t="str">
        <f t="shared" si="164"/>
        <v>No Purpose</v>
      </c>
    </row>
    <row r="1073" spans="1:15" x14ac:dyDescent="0.3">
      <c r="A1073" t="s">
        <v>1201</v>
      </c>
      <c r="B1073" s="2">
        <v>42687</v>
      </c>
      <c r="C1073" s="7">
        <v>0.46111111111111108</v>
      </c>
      <c r="D1073" t="s">
        <v>1202</v>
      </c>
      <c r="E1073" s="2">
        <v>42687</v>
      </c>
      <c r="F1073" s="8">
        <v>0.4694444444444445</v>
      </c>
      <c r="G1073" t="s">
        <v>7</v>
      </c>
      <c r="H1073" s="7">
        <f t="shared" si="161"/>
        <v>8.3333333333334147E-3</v>
      </c>
      <c r="I1073" s="13">
        <f t="shared" si="162"/>
        <v>0.2</v>
      </c>
      <c r="J1073" t="s">
        <v>1076</v>
      </c>
      <c r="K1073" t="s">
        <v>1072</v>
      </c>
      <c r="L1073">
        <v>2.1</v>
      </c>
      <c r="M1073" s="5">
        <f t="shared" si="163"/>
        <v>10.5</v>
      </c>
      <c r="O1073" t="str">
        <f t="shared" si="164"/>
        <v>No Purpose</v>
      </c>
    </row>
    <row r="1074" spans="1:15" x14ac:dyDescent="0.3">
      <c r="A1074" t="s">
        <v>1205</v>
      </c>
      <c r="B1074" s="2">
        <v>42687</v>
      </c>
      <c r="C1074" s="7">
        <v>0.54513888888888895</v>
      </c>
      <c r="D1074" t="s">
        <v>1206</v>
      </c>
      <c r="E1074" s="2">
        <v>42687</v>
      </c>
      <c r="F1074" s="8">
        <v>0.5493055555555556</v>
      </c>
      <c r="G1074" t="s">
        <v>7</v>
      </c>
      <c r="H1074" s="7">
        <f t="shared" si="161"/>
        <v>4.1666666666666519E-3</v>
      </c>
      <c r="I1074" s="13">
        <f t="shared" si="162"/>
        <v>0.1</v>
      </c>
      <c r="J1074" t="s">
        <v>1076</v>
      </c>
      <c r="K1074" t="s">
        <v>1207</v>
      </c>
      <c r="L1074">
        <v>0.9</v>
      </c>
      <c r="M1074" s="5">
        <f t="shared" si="163"/>
        <v>9</v>
      </c>
      <c r="O1074" t="str">
        <f t="shared" si="164"/>
        <v>No Purpose</v>
      </c>
    </row>
    <row r="1075" spans="1:15" x14ac:dyDescent="0.3">
      <c r="A1075" t="s">
        <v>1208</v>
      </c>
      <c r="B1075" s="2">
        <v>42687</v>
      </c>
      <c r="C1075" s="7">
        <v>0.55138888888888882</v>
      </c>
      <c r="D1075" t="s">
        <v>1209</v>
      </c>
      <c r="E1075" s="2">
        <v>42687</v>
      </c>
      <c r="F1075" s="8">
        <v>0.5541666666666667</v>
      </c>
      <c r="G1075" t="s">
        <v>7</v>
      </c>
      <c r="H1075" s="7">
        <f t="shared" si="161"/>
        <v>2.7777777777778789E-3</v>
      </c>
      <c r="I1075" s="13">
        <f t="shared" si="162"/>
        <v>6.6666666666666666E-2</v>
      </c>
      <c r="J1075" t="s">
        <v>1207</v>
      </c>
      <c r="K1075" t="s">
        <v>1076</v>
      </c>
      <c r="L1075">
        <v>0.9</v>
      </c>
      <c r="M1075" s="5">
        <f t="shared" si="163"/>
        <v>13.5</v>
      </c>
      <c r="O1075" t="str">
        <f t="shared" si="164"/>
        <v>No Purpose</v>
      </c>
    </row>
    <row r="1076" spans="1:15" x14ac:dyDescent="0.3">
      <c r="A1076" t="s">
        <v>1210</v>
      </c>
      <c r="B1076" s="2">
        <v>42687</v>
      </c>
      <c r="C1076" s="7">
        <v>0.60763888888888895</v>
      </c>
      <c r="D1076" t="s">
        <v>1211</v>
      </c>
      <c r="E1076" s="2">
        <v>42687</v>
      </c>
      <c r="F1076" s="8">
        <v>0.61527777777777781</v>
      </c>
      <c r="G1076" t="s">
        <v>7</v>
      </c>
      <c r="H1076" s="7">
        <f t="shared" si="161"/>
        <v>7.6388888888888618E-3</v>
      </c>
      <c r="I1076" s="13">
        <f t="shared" si="162"/>
        <v>0.18333333333333332</v>
      </c>
      <c r="J1076" t="s">
        <v>1076</v>
      </c>
      <c r="K1076" t="s">
        <v>1186</v>
      </c>
      <c r="L1076">
        <v>2.4</v>
      </c>
      <c r="M1076" s="5">
        <f t="shared" si="163"/>
        <v>13.090909090909092</v>
      </c>
      <c r="O1076" t="str">
        <f t="shared" si="164"/>
        <v>No Purpose</v>
      </c>
    </row>
    <row r="1077" spans="1:15" x14ac:dyDescent="0.3">
      <c r="A1077" t="s">
        <v>1212</v>
      </c>
      <c r="B1077" s="2">
        <v>42687</v>
      </c>
      <c r="C1077" s="7">
        <v>0.63472222222222219</v>
      </c>
      <c r="D1077" t="s">
        <v>1213</v>
      </c>
      <c r="E1077" s="2">
        <v>42687</v>
      </c>
      <c r="F1077" s="8">
        <v>0.64166666666666672</v>
      </c>
      <c r="G1077" t="s">
        <v>7</v>
      </c>
      <c r="H1077" s="7">
        <f t="shared" si="161"/>
        <v>6.9444444444445308E-3</v>
      </c>
      <c r="I1077" s="13">
        <f t="shared" si="162"/>
        <v>0.16666666666666666</v>
      </c>
      <c r="J1077" t="s">
        <v>1186</v>
      </c>
      <c r="K1077" t="s">
        <v>1076</v>
      </c>
      <c r="L1077">
        <v>1.9</v>
      </c>
      <c r="M1077" s="5">
        <f t="shared" si="163"/>
        <v>11.4</v>
      </c>
      <c r="O1077" t="str">
        <f t="shared" si="164"/>
        <v>No Purpose</v>
      </c>
    </row>
    <row r="1078" spans="1:15" x14ac:dyDescent="0.3">
      <c r="A1078" t="s">
        <v>1214</v>
      </c>
      <c r="B1078" s="2">
        <v>42687</v>
      </c>
      <c r="C1078" s="7">
        <v>0.65763888888888888</v>
      </c>
      <c r="D1078" t="s">
        <v>1215</v>
      </c>
      <c r="E1078" s="2">
        <v>42687</v>
      </c>
      <c r="F1078" s="8">
        <v>0.66597222222222219</v>
      </c>
      <c r="G1078" t="s">
        <v>7</v>
      </c>
      <c r="H1078" s="7">
        <f t="shared" si="161"/>
        <v>8.3333333333333037E-3</v>
      </c>
      <c r="I1078" s="13">
        <f t="shared" si="162"/>
        <v>0.2</v>
      </c>
      <c r="J1078" t="s">
        <v>1076</v>
      </c>
      <c r="K1078" t="s">
        <v>1186</v>
      </c>
      <c r="L1078">
        <v>1.9</v>
      </c>
      <c r="M1078" s="5">
        <f t="shared" si="163"/>
        <v>9.4999999999999982</v>
      </c>
      <c r="O1078" t="str">
        <f t="shared" si="164"/>
        <v>No Purpose</v>
      </c>
    </row>
    <row r="1079" spans="1:15" x14ac:dyDescent="0.3">
      <c r="A1079" t="s">
        <v>1221</v>
      </c>
      <c r="B1079" s="2">
        <v>42688</v>
      </c>
      <c r="C1079" s="7">
        <v>0.64374999999999993</v>
      </c>
      <c r="D1079" t="s">
        <v>1222</v>
      </c>
      <c r="E1079" s="2">
        <v>42688</v>
      </c>
      <c r="F1079" s="8">
        <v>0.65</v>
      </c>
      <c r="G1079" t="s">
        <v>7</v>
      </c>
      <c r="H1079" s="7">
        <f t="shared" si="161"/>
        <v>6.2500000000000888E-3</v>
      </c>
      <c r="I1079" s="13">
        <f t="shared" si="162"/>
        <v>0.15</v>
      </c>
      <c r="J1079" t="s">
        <v>472</v>
      </c>
      <c r="K1079" t="s">
        <v>469</v>
      </c>
      <c r="L1079">
        <v>2.5</v>
      </c>
      <c r="M1079" s="5">
        <f t="shared" si="163"/>
        <v>16.666666666666668</v>
      </c>
      <c r="O1079" t="str">
        <f t="shared" si="164"/>
        <v>No Purpose</v>
      </c>
    </row>
    <row r="1080" spans="1:15" x14ac:dyDescent="0.3">
      <c r="A1080" t="s">
        <v>1225</v>
      </c>
      <c r="B1080" s="2">
        <v>42689</v>
      </c>
      <c r="C1080" s="7">
        <v>0.58263888888888882</v>
      </c>
      <c r="D1080" t="s">
        <v>1226</v>
      </c>
      <c r="E1080" s="2">
        <v>42689</v>
      </c>
      <c r="F1080" s="8">
        <v>0.58750000000000002</v>
      </c>
      <c r="G1080" t="s">
        <v>7</v>
      </c>
      <c r="H1080" s="7">
        <f t="shared" si="161"/>
        <v>4.8611111111112049E-3</v>
      </c>
      <c r="I1080" s="13">
        <f t="shared" si="162"/>
        <v>0.11666666666666667</v>
      </c>
      <c r="J1080" t="s">
        <v>472</v>
      </c>
      <c r="K1080" t="s">
        <v>468</v>
      </c>
      <c r="L1080">
        <v>5.0999999999999996</v>
      </c>
      <c r="M1080" s="5">
        <f t="shared" si="163"/>
        <v>43.714285714285708</v>
      </c>
      <c r="O1080" t="str">
        <f t="shared" si="164"/>
        <v>No Purpose</v>
      </c>
    </row>
    <row r="1081" spans="1:15" x14ac:dyDescent="0.3">
      <c r="A1081" t="s">
        <v>1249</v>
      </c>
      <c r="B1081" s="2">
        <v>42693</v>
      </c>
      <c r="C1081" s="7">
        <v>0.66736111111111107</v>
      </c>
      <c r="D1081" t="s">
        <v>1250</v>
      </c>
      <c r="E1081" s="2">
        <v>42693</v>
      </c>
      <c r="F1081" s="8">
        <v>0.67083333333333339</v>
      </c>
      <c r="G1081" t="s">
        <v>7</v>
      </c>
      <c r="H1081" s="7">
        <f t="shared" si="161"/>
        <v>3.4722222222223209E-3</v>
      </c>
      <c r="I1081" s="13">
        <f t="shared" si="162"/>
        <v>8.3333333333333329E-2</v>
      </c>
      <c r="J1081" t="s">
        <v>15</v>
      </c>
      <c r="K1081" t="s">
        <v>15</v>
      </c>
      <c r="L1081">
        <v>1.5</v>
      </c>
      <c r="M1081" s="5">
        <f t="shared" si="163"/>
        <v>18</v>
      </c>
      <c r="O1081" t="str">
        <f t="shared" si="164"/>
        <v>No Purpose</v>
      </c>
    </row>
    <row r="1082" spans="1:15" x14ac:dyDescent="0.3">
      <c r="A1082" t="s">
        <v>1251</v>
      </c>
      <c r="B1082" s="2">
        <v>42693</v>
      </c>
      <c r="C1082" s="7">
        <v>0.68541666666666667</v>
      </c>
      <c r="D1082" t="s">
        <v>1252</v>
      </c>
      <c r="E1082" s="2">
        <v>42693</v>
      </c>
      <c r="F1082" s="8">
        <v>0.69513888888888886</v>
      </c>
      <c r="G1082" t="s">
        <v>7</v>
      </c>
      <c r="H1082" s="7">
        <f t="shared" si="161"/>
        <v>9.7222222222221877E-3</v>
      </c>
      <c r="I1082" s="13">
        <f t="shared" si="162"/>
        <v>0.23333333333333334</v>
      </c>
      <c r="J1082" t="s">
        <v>15</v>
      </c>
      <c r="K1082" t="s">
        <v>15</v>
      </c>
      <c r="L1082">
        <v>1.8</v>
      </c>
      <c r="M1082" s="5">
        <f t="shared" si="163"/>
        <v>7.7142857142857144</v>
      </c>
      <c r="O1082" t="str">
        <f t="shared" si="164"/>
        <v>No Purpose</v>
      </c>
    </row>
    <row r="1083" spans="1:15" x14ac:dyDescent="0.3">
      <c r="A1083" t="s">
        <v>1287</v>
      </c>
      <c r="B1083" s="2">
        <v>42697</v>
      </c>
      <c r="C1083" s="7">
        <v>0.6791666666666667</v>
      </c>
      <c r="D1083" t="s">
        <v>1288</v>
      </c>
      <c r="E1083" s="2">
        <v>42697</v>
      </c>
      <c r="F1083" s="8">
        <v>0.68680555555555556</v>
      </c>
      <c r="G1083" t="s">
        <v>7</v>
      </c>
      <c r="H1083" s="7">
        <f t="shared" si="161"/>
        <v>7.6388888888888618E-3</v>
      </c>
      <c r="I1083" s="13">
        <f t="shared" si="162"/>
        <v>0.18333333333333332</v>
      </c>
      <c r="J1083" t="s">
        <v>15</v>
      </c>
      <c r="K1083" t="s">
        <v>15</v>
      </c>
      <c r="L1083">
        <v>1.9</v>
      </c>
      <c r="M1083" s="5">
        <f t="shared" si="163"/>
        <v>10.363636363636363</v>
      </c>
      <c r="O1083" t="str">
        <f t="shared" si="164"/>
        <v>No Purpose</v>
      </c>
    </row>
    <row r="1084" spans="1:15" x14ac:dyDescent="0.3">
      <c r="A1084" t="s">
        <v>1289</v>
      </c>
      <c r="B1084" s="2">
        <v>42697</v>
      </c>
      <c r="C1084" s="7">
        <v>0.7006944444444444</v>
      </c>
      <c r="D1084" t="s">
        <v>1290</v>
      </c>
      <c r="E1084" s="2">
        <v>42697</v>
      </c>
      <c r="F1084" s="8">
        <v>0.70833333333333337</v>
      </c>
      <c r="G1084" t="s">
        <v>7</v>
      </c>
      <c r="H1084" s="7">
        <f t="shared" si="161"/>
        <v>7.6388888888889728E-3</v>
      </c>
      <c r="I1084" s="13">
        <f t="shared" si="162"/>
        <v>0.18333333333333332</v>
      </c>
      <c r="J1084" t="s">
        <v>15</v>
      </c>
      <c r="K1084" t="s">
        <v>15</v>
      </c>
      <c r="L1084">
        <v>3.3</v>
      </c>
      <c r="M1084" s="5">
        <f t="shared" si="163"/>
        <v>18</v>
      </c>
      <c r="O1084" t="str">
        <f t="shared" si="164"/>
        <v>No Purpose</v>
      </c>
    </row>
    <row r="1085" spans="1:15" x14ac:dyDescent="0.3">
      <c r="A1085" t="s">
        <v>1291</v>
      </c>
      <c r="B1085" s="2">
        <v>42697</v>
      </c>
      <c r="C1085" s="7">
        <v>0.77569444444444446</v>
      </c>
      <c r="D1085" t="s">
        <v>1292</v>
      </c>
      <c r="E1085" s="2">
        <v>42697</v>
      </c>
      <c r="F1085" s="8">
        <v>0.78263888888888899</v>
      </c>
      <c r="G1085" t="s">
        <v>7</v>
      </c>
      <c r="H1085" s="7">
        <f t="shared" si="161"/>
        <v>6.9444444444445308E-3</v>
      </c>
      <c r="I1085" s="13">
        <f t="shared" si="162"/>
        <v>0.16666666666666666</v>
      </c>
      <c r="J1085" t="s">
        <v>15</v>
      </c>
      <c r="K1085" t="s">
        <v>15</v>
      </c>
      <c r="L1085">
        <v>1.3</v>
      </c>
      <c r="M1085" s="5">
        <f t="shared" si="163"/>
        <v>7.8000000000000007</v>
      </c>
      <c r="O1085" t="str">
        <f t="shared" si="164"/>
        <v>No Purpose</v>
      </c>
    </row>
    <row r="1086" spans="1:15" x14ac:dyDescent="0.3">
      <c r="A1086" t="s">
        <v>1297</v>
      </c>
      <c r="B1086" s="2">
        <v>42700</v>
      </c>
      <c r="C1086" s="7">
        <v>0.66249999999999998</v>
      </c>
      <c r="D1086" t="s">
        <v>1298</v>
      </c>
      <c r="E1086" s="2">
        <v>42700</v>
      </c>
      <c r="F1086" s="8">
        <v>0.66597222222222219</v>
      </c>
      <c r="G1086" t="s">
        <v>7</v>
      </c>
      <c r="H1086" s="7">
        <f t="shared" si="161"/>
        <v>3.4722222222222099E-3</v>
      </c>
      <c r="I1086" s="13">
        <f t="shared" si="162"/>
        <v>8.3333333333333329E-2</v>
      </c>
      <c r="J1086" t="s">
        <v>15</v>
      </c>
      <c r="K1086" t="s">
        <v>15</v>
      </c>
      <c r="L1086">
        <v>1.4</v>
      </c>
      <c r="M1086" s="5">
        <f t="shared" si="163"/>
        <v>16.8</v>
      </c>
      <c r="O1086" t="str">
        <f t="shared" si="164"/>
        <v>No Purpose</v>
      </c>
    </row>
    <row r="1087" spans="1:15" x14ac:dyDescent="0.3">
      <c r="A1087" t="s">
        <v>1309</v>
      </c>
      <c r="B1087" s="2">
        <v>42701</v>
      </c>
      <c r="C1087" s="7">
        <v>0.78819444444444453</v>
      </c>
      <c r="D1087" t="s">
        <v>1310</v>
      </c>
      <c r="E1087" s="2">
        <v>42701</v>
      </c>
      <c r="F1087" s="8">
        <v>0.79791666666666661</v>
      </c>
      <c r="G1087" t="s">
        <v>7</v>
      </c>
      <c r="H1087" s="7">
        <f t="shared" si="161"/>
        <v>9.7222222222220767E-3</v>
      </c>
      <c r="I1087" s="13">
        <f t="shared" si="162"/>
        <v>0.23333333333333334</v>
      </c>
      <c r="J1087" t="s">
        <v>16</v>
      </c>
      <c r="K1087" t="s">
        <v>15</v>
      </c>
      <c r="L1087">
        <v>2.9</v>
      </c>
      <c r="M1087" s="5">
        <f t="shared" si="163"/>
        <v>12.428571428571429</v>
      </c>
      <c r="O1087" t="str">
        <f t="shared" si="164"/>
        <v>No Purpose</v>
      </c>
    </row>
    <row r="1088" spans="1:15" x14ac:dyDescent="0.3">
      <c r="A1088" t="s">
        <v>1315</v>
      </c>
      <c r="B1088" s="2">
        <v>42704</v>
      </c>
      <c r="C1088" s="7">
        <v>0.52986111111111112</v>
      </c>
      <c r="D1088" t="s">
        <v>1316</v>
      </c>
      <c r="E1088" s="2">
        <v>42704</v>
      </c>
      <c r="F1088" s="8">
        <v>0.53680555555555554</v>
      </c>
      <c r="G1088" t="s">
        <v>7</v>
      </c>
      <c r="H1088" s="7">
        <f t="shared" si="161"/>
        <v>6.9444444444444198E-3</v>
      </c>
      <c r="I1088" s="13">
        <f t="shared" si="162"/>
        <v>0.16666666666666666</v>
      </c>
      <c r="J1088" t="s">
        <v>16</v>
      </c>
      <c r="K1088" t="s">
        <v>15</v>
      </c>
      <c r="L1088">
        <v>3.1</v>
      </c>
      <c r="M1088" s="5">
        <f t="shared" si="163"/>
        <v>18.600000000000001</v>
      </c>
      <c r="O1088" t="str">
        <f t="shared" si="164"/>
        <v>No Purpose</v>
      </c>
    </row>
    <row r="1089" spans="1:15" x14ac:dyDescent="0.3">
      <c r="A1089" s="1">
        <v>42441.797222222223</v>
      </c>
      <c r="B1089" s="6">
        <f>INT(A1089:A1128)</f>
        <v>42441</v>
      </c>
      <c r="C1089" s="7">
        <f>(A1089-B1089)</f>
        <v>0.79722222222335404</v>
      </c>
      <c r="D1089" s="1">
        <v>42441.802083333336</v>
      </c>
      <c r="E1089" s="6">
        <f>INT(D1089)</f>
        <v>42441</v>
      </c>
      <c r="F1089" s="8">
        <f>D1089-E1089</f>
        <v>0.80208333333575865</v>
      </c>
      <c r="G1089" t="s">
        <v>7</v>
      </c>
      <c r="H1089" s="7">
        <f t="shared" si="161"/>
        <v>4.8611111124046147E-3</v>
      </c>
      <c r="I1089" s="13">
        <f t="shared" si="162"/>
        <v>0.11666666666666667</v>
      </c>
      <c r="J1089" t="s">
        <v>1317</v>
      </c>
      <c r="K1089" t="s">
        <v>16</v>
      </c>
      <c r="L1089">
        <v>1.8</v>
      </c>
      <c r="M1089" s="5">
        <f t="shared" si="163"/>
        <v>15.428571428571429</v>
      </c>
      <c r="O1089" t="str">
        <f t="shared" si="164"/>
        <v>No Purpose</v>
      </c>
    </row>
    <row r="1090" spans="1:15" x14ac:dyDescent="0.3">
      <c r="A1090" s="1">
        <v>42502.75277777778</v>
      </c>
      <c r="B1090" s="6">
        <f>INT(A1090:A1129)</f>
        <v>42502</v>
      </c>
      <c r="C1090" s="7">
        <f>(A1090-B1090)</f>
        <v>0.75277777777955635</v>
      </c>
      <c r="D1090" s="1">
        <v>42502.761805555558</v>
      </c>
      <c r="E1090" s="6">
        <f>INT(D1090)</f>
        <v>42502</v>
      </c>
      <c r="F1090" s="8">
        <f>D1090-E1090</f>
        <v>0.7618055555576575</v>
      </c>
      <c r="G1090" t="s">
        <v>7</v>
      </c>
      <c r="H1090" s="7">
        <f t="shared" ref="H1090:H1150" si="169">IF(F1090&gt;C1090,F1090-C1090,F1090-C1090+1)</f>
        <v>9.0277777781011537E-3</v>
      </c>
      <c r="I1090" s="13">
        <f t="shared" ref="I1090:I1150" si="170">(HOUR(H1090)*60+MINUTE(H1090))/60</f>
        <v>0.21666666666666667</v>
      </c>
      <c r="J1090" t="s">
        <v>15</v>
      </c>
      <c r="K1090" t="s">
        <v>15</v>
      </c>
      <c r="L1090">
        <v>4.0999999999999996</v>
      </c>
      <c r="M1090" s="5">
        <f t="shared" ref="M1090:M1150" si="171">L1090/I1090</f>
        <v>18.92307692307692</v>
      </c>
      <c r="O1090" t="str">
        <f t="shared" ref="O1090:O1150" si="172">IF(ISBLANK($N1090),"No Purpose",$N1090)</f>
        <v>No Purpose</v>
      </c>
    </row>
    <row r="1091" spans="1:15" x14ac:dyDescent="0.3">
      <c r="A1091" t="s">
        <v>1323</v>
      </c>
      <c r="B1091" s="2">
        <v>42718</v>
      </c>
      <c r="C1091" s="7">
        <v>0.70277777777777783</v>
      </c>
      <c r="D1091" t="s">
        <v>1324</v>
      </c>
      <c r="E1091" s="2">
        <v>42718</v>
      </c>
      <c r="F1091" s="8">
        <v>0.71527777777777779</v>
      </c>
      <c r="G1091" t="s">
        <v>7</v>
      </c>
      <c r="H1091" s="7">
        <f t="shared" si="169"/>
        <v>1.2499999999999956E-2</v>
      </c>
      <c r="I1091" s="13">
        <f t="shared" si="170"/>
        <v>0.3</v>
      </c>
      <c r="J1091" t="s">
        <v>15</v>
      </c>
      <c r="K1091" t="s">
        <v>15</v>
      </c>
      <c r="L1091">
        <v>3.4</v>
      </c>
      <c r="M1091" s="5">
        <f t="shared" si="171"/>
        <v>11.333333333333334</v>
      </c>
      <c r="O1091" t="str">
        <f t="shared" si="172"/>
        <v>No Purpose</v>
      </c>
    </row>
    <row r="1092" spans="1:15" x14ac:dyDescent="0.3">
      <c r="A1092" t="s">
        <v>1325</v>
      </c>
      <c r="B1092" s="2">
        <v>42718</v>
      </c>
      <c r="C1092" s="7">
        <v>0.72361111111111109</v>
      </c>
      <c r="D1092" t="s">
        <v>1326</v>
      </c>
      <c r="E1092" s="2">
        <v>42718</v>
      </c>
      <c r="F1092" s="8">
        <v>0.7319444444444444</v>
      </c>
      <c r="G1092" t="s">
        <v>7</v>
      </c>
      <c r="H1092" s="7">
        <f t="shared" si="169"/>
        <v>8.3333333333333037E-3</v>
      </c>
      <c r="I1092" s="13">
        <f t="shared" si="170"/>
        <v>0.2</v>
      </c>
      <c r="J1092" t="s">
        <v>15</v>
      </c>
      <c r="K1092" t="s">
        <v>15</v>
      </c>
      <c r="L1092">
        <v>3.3</v>
      </c>
      <c r="M1092" s="5">
        <f t="shared" si="171"/>
        <v>16.499999999999996</v>
      </c>
      <c r="O1092" t="str">
        <f t="shared" si="172"/>
        <v>No Purpose</v>
      </c>
    </row>
    <row r="1093" spans="1:15" x14ac:dyDescent="0.3">
      <c r="A1093" t="s">
        <v>1341</v>
      </c>
      <c r="B1093" s="2">
        <v>42722</v>
      </c>
      <c r="C1093" s="7">
        <v>0.85763888888888884</v>
      </c>
      <c r="D1093" t="s">
        <v>1342</v>
      </c>
      <c r="E1093" s="2">
        <v>42722</v>
      </c>
      <c r="F1093" s="8">
        <v>0.87777777777777777</v>
      </c>
      <c r="G1093" t="s">
        <v>7</v>
      </c>
      <c r="H1093" s="7">
        <f t="shared" si="169"/>
        <v>2.0138888888888928E-2</v>
      </c>
      <c r="I1093" s="13">
        <f t="shared" si="170"/>
        <v>0.48333333333333334</v>
      </c>
      <c r="J1093" t="s">
        <v>72</v>
      </c>
      <c r="K1093" t="s">
        <v>72</v>
      </c>
      <c r="L1093">
        <v>9.1999999999999993</v>
      </c>
      <c r="M1093" s="5">
        <f t="shared" si="171"/>
        <v>19.034482758620687</v>
      </c>
      <c r="O1093" t="str">
        <f t="shared" si="172"/>
        <v>No Purpose</v>
      </c>
    </row>
    <row r="1094" spans="1:15" x14ac:dyDescent="0.3">
      <c r="A1094" t="s">
        <v>1350</v>
      </c>
      <c r="B1094" s="2">
        <v>42723</v>
      </c>
      <c r="C1094" s="7">
        <v>0.55833333333333335</v>
      </c>
      <c r="D1094" t="s">
        <v>1351</v>
      </c>
      <c r="E1094" s="2">
        <v>42723</v>
      </c>
      <c r="F1094" s="8">
        <v>0.56597222222222221</v>
      </c>
      <c r="G1094" t="s">
        <v>7</v>
      </c>
      <c r="H1094" s="7">
        <f t="shared" si="169"/>
        <v>7.6388888888888618E-3</v>
      </c>
      <c r="I1094" s="13">
        <f t="shared" si="170"/>
        <v>0.18333333333333332</v>
      </c>
      <c r="J1094" t="s">
        <v>72</v>
      </c>
      <c r="K1094" t="s">
        <v>72</v>
      </c>
      <c r="L1094">
        <v>1.3</v>
      </c>
      <c r="M1094" s="5">
        <f t="shared" si="171"/>
        <v>7.0909090909090917</v>
      </c>
      <c r="O1094" t="str">
        <f t="shared" si="172"/>
        <v>No Purpose</v>
      </c>
    </row>
    <row r="1095" spans="1:15" x14ac:dyDescent="0.3">
      <c r="A1095" t="s">
        <v>1352</v>
      </c>
      <c r="B1095" s="2">
        <v>42723</v>
      </c>
      <c r="C1095" s="7">
        <v>0.58819444444444446</v>
      </c>
      <c r="D1095" t="s">
        <v>1353</v>
      </c>
      <c r="E1095" s="2">
        <v>42723</v>
      </c>
      <c r="F1095" s="8">
        <v>0.59375</v>
      </c>
      <c r="G1095" t="s">
        <v>7</v>
      </c>
      <c r="H1095" s="7">
        <f t="shared" si="169"/>
        <v>5.5555555555555358E-3</v>
      </c>
      <c r="I1095" s="13">
        <f t="shared" si="170"/>
        <v>0.13333333333333333</v>
      </c>
      <c r="J1095" t="s">
        <v>72</v>
      </c>
      <c r="K1095" t="s">
        <v>72</v>
      </c>
      <c r="L1095">
        <v>2.5</v>
      </c>
      <c r="M1095" s="5">
        <f t="shared" si="171"/>
        <v>18.75</v>
      </c>
      <c r="O1095" t="str">
        <f t="shared" si="172"/>
        <v>No Purpose</v>
      </c>
    </row>
    <row r="1096" spans="1:15" x14ac:dyDescent="0.3">
      <c r="A1096" t="s">
        <v>1354</v>
      </c>
      <c r="B1096" s="2">
        <v>42723</v>
      </c>
      <c r="C1096" s="7">
        <v>0.59583333333333333</v>
      </c>
      <c r="D1096" t="s">
        <v>1355</v>
      </c>
      <c r="E1096" s="2">
        <v>42723</v>
      </c>
      <c r="F1096" s="8">
        <v>0.60555555555555551</v>
      </c>
      <c r="G1096" t="s">
        <v>7</v>
      </c>
      <c r="H1096" s="7">
        <f t="shared" si="169"/>
        <v>9.7222222222221877E-3</v>
      </c>
      <c r="I1096" s="13">
        <f t="shared" si="170"/>
        <v>0.23333333333333334</v>
      </c>
      <c r="J1096" t="s">
        <v>72</v>
      </c>
      <c r="K1096" t="s">
        <v>72</v>
      </c>
      <c r="L1096">
        <v>5.3</v>
      </c>
      <c r="M1096" s="5">
        <f t="shared" si="171"/>
        <v>22.714285714285712</v>
      </c>
      <c r="O1096" t="str">
        <f t="shared" si="172"/>
        <v>No Purpose</v>
      </c>
    </row>
    <row r="1097" spans="1:15" x14ac:dyDescent="0.3">
      <c r="A1097" t="s">
        <v>1356</v>
      </c>
      <c r="B1097" s="2">
        <v>42723</v>
      </c>
      <c r="C1097" s="7">
        <v>0.60902777777777783</v>
      </c>
      <c r="D1097" t="s">
        <v>1357</v>
      </c>
      <c r="E1097" s="2">
        <v>42723</v>
      </c>
      <c r="F1097" s="8">
        <v>0.61805555555555558</v>
      </c>
      <c r="G1097" t="s">
        <v>7</v>
      </c>
      <c r="H1097" s="7">
        <f t="shared" si="169"/>
        <v>9.0277777777777457E-3</v>
      </c>
      <c r="I1097" s="13">
        <f t="shared" si="170"/>
        <v>0.21666666666666667</v>
      </c>
      <c r="J1097" t="s">
        <v>72</v>
      </c>
      <c r="K1097" t="s">
        <v>72</v>
      </c>
      <c r="L1097">
        <v>5.4</v>
      </c>
      <c r="M1097" s="5">
        <f t="shared" si="171"/>
        <v>24.923076923076923</v>
      </c>
      <c r="O1097" t="str">
        <f t="shared" si="172"/>
        <v>No Purpose</v>
      </c>
    </row>
    <row r="1098" spans="1:15" x14ac:dyDescent="0.3">
      <c r="A1098" t="s">
        <v>1362</v>
      </c>
      <c r="B1098" s="2">
        <v>42723</v>
      </c>
      <c r="C1098" s="7">
        <v>0.79513888888888884</v>
      </c>
      <c r="D1098" t="s">
        <v>1363</v>
      </c>
      <c r="E1098" s="2">
        <v>42723</v>
      </c>
      <c r="F1098" s="8">
        <v>0.80347222222222225</v>
      </c>
      <c r="G1098" t="s">
        <v>7</v>
      </c>
      <c r="H1098" s="7">
        <f t="shared" si="169"/>
        <v>8.3333333333334147E-3</v>
      </c>
      <c r="I1098" s="13">
        <f t="shared" si="170"/>
        <v>0.2</v>
      </c>
      <c r="J1098" t="s">
        <v>88</v>
      </c>
      <c r="K1098" t="s">
        <v>72</v>
      </c>
      <c r="L1098">
        <v>2.2000000000000002</v>
      </c>
      <c r="M1098" s="5">
        <f t="shared" si="171"/>
        <v>11</v>
      </c>
      <c r="O1098" t="str">
        <f t="shared" si="172"/>
        <v>No Purpose</v>
      </c>
    </row>
    <row r="1099" spans="1:15" x14ac:dyDescent="0.3">
      <c r="A1099" t="s">
        <v>1366</v>
      </c>
      <c r="B1099" s="2">
        <v>42724</v>
      </c>
      <c r="C1099" s="7">
        <v>0.36736111111111108</v>
      </c>
      <c r="D1099" t="s">
        <v>1367</v>
      </c>
      <c r="E1099" s="2">
        <v>42724</v>
      </c>
      <c r="F1099" s="8">
        <v>0.39166666666666666</v>
      </c>
      <c r="G1099" t="s">
        <v>7</v>
      </c>
      <c r="H1099" s="7">
        <f t="shared" si="169"/>
        <v>2.430555555555558E-2</v>
      </c>
      <c r="I1099" s="13">
        <f t="shared" si="170"/>
        <v>0.58333333333333337</v>
      </c>
      <c r="J1099" t="s">
        <v>72</v>
      </c>
      <c r="K1099" t="s">
        <v>1347</v>
      </c>
      <c r="L1099">
        <v>12</v>
      </c>
      <c r="M1099" s="5">
        <f t="shared" si="171"/>
        <v>20.571428571428569</v>
      </c>
      <c r="O1099" t="str">
        <f t="shared" si="172"/>
        <v>No Purpose</v>
      </c>
    </row>
    <row r="1100" spans="1:15" x14ac:dyDescent="0.3">
      <c r="A1100" t="s">
        <v>1511</v>
      </c>
      <c r="B1100" s="2">
        <v>42733</v>
      </c>
      <c r="C1100" s="7">
        <v>0.87013888888888891</v>
      </c>
      <c r="D1100" t="s">
        <v>1512</v>
      </c>
      <c r="E1100" s="2">
        <v>42733</v>
      </c>
      <c r="F1100" s="8">
        <v>0.90416666666666667</v>
      </c>
      <c r="G1100" t="s">
        <v>7</v>
      </c>
      <c r="H1100" s="7">
        <f t="shared" si="169"/>
        <v>3.4027777777777768E-2</v>
      </c>
      <c r="I1100" s="13">
        <f t="shared" si="170"/>
        <v>0.81666666666666665</v>
      </c>
      <c r="J1100" t="s">
        <v>1464</v>
      </c>
      <c r="K1100" t="s">
        <v>72</v>
      </c>
      <c r="L1100">
        <v>6.4</v>
      </c>
      <c r="M1100" s="5">
        <f t="shared" si="171"/>
        <v>7.8367346938775517</v>
      </c>
      <c r="O1100" t="str">
        <f t="shared" si="172"/>
        <v>No Purpose</v>
      </c>
    </row>
    <row r="1101" spans="1:15" x14ac:dyDescent="0.3">
      <c r="A1101" s="1">
        <v>42675.371527777781</v>
      </c>
      <c r="B1101" s="6">
        <f>INT(A1101)</f>
        <v>42675</v>
      </c>
      <c r="C1101" s="7">
        <f>(A1101-B1101)</f>
        <v>0.37152777778101154</v>
      </c>
      <c r="D1101" s="1">
        <v>42675.38958333333</v>
      </c>
      <c r="E1101" s="6">
        <f>INT(D1101)</f>
        <v>42675</v>
      </c>
      <c r="F1101" s="8">
        <f>D1101-E1101</f>
        <v>0.38958333332993789</v>
      </c>
      <c r="G1101" t="s">
        <v>7</v>
      </c>
      <c r="H1101" s="7">
        <f t="shared" si="169"/>
        <v>1.805555554892635E-2</v>
      </c>
      <c r="I1101" s="13">
        <f t="shared" si="170"/>
        <v>0.43333333333333335</v>
      </c>
      <c r="J1101" t="s">
        <v>22</v>
      </c>
      <c r="K1101" t="s">
        <v>23</v>
      </c>
      <c r="L1101">
        <v>6.4</v>
      </c>
      <c r="M1101" s="5">
        <f t="shared" si="171"/>
        <v>14.76923076923077</v>
      </c>
      <c r="N1101" t="s">
        <v>24</v>
      </c>
      <c r="O1101" t="str">
        <f t="shared" si="172"/>
        <v>Temporary Site</v>
      </c>
    </row>
    <row r="1102" spans="1:15" x14ac:dyDescent="0.3">
      <c r="B1102" s="2">
        <v>42388</v>
      </c>
      <c r="C1102" s="7">
        <v>0.4548611111111111</v>
      </c>
      <c r="E1102" s="2">
        <v>42388</v>
      </c>
      <c r="F1102" s="8">
        <v>0.46458333333333335</v>
      </c>
      <c r="G1102" t="s">
        <v>7</v>
      </c>
      <c r="H1102" s="7">
        <f t="shared" si="169"/>
        <v>9.7222222222222432E-3</v>
      </c>
      <c r="I1102" s="13">
        <f t="shared" si="170"/>
        <v>0.23333333333333334</v>
      </c>
      <c r="J1102" t="s">
        <v>39</v>
      </c>
      <c r="K1102" t="s">
        <v>38</v>
      </c>
      <c r="L1102">
        <v>7.6</v>
      </c>
      <c r="M1102" s="5">
        <f t="shared" si="171"/>
        <v>32.571428571428569</v>
      </c>
      <c r="N1102" t="s">
        <v>24</v>
      </c>
      <c r="O1102" t="str">
        <f t="shared" si="172"/>
        <v>Temporary Site</v>
      </c>
    </row>
    <row r="1103" spans="1:15" x14ac:dyDescent="0.3">
      <c r="B1103" s="2">
        <v>42397</v>
      </c>
      <c r="C1103" s="7">
        <v>0.51944444444444449</v>
      </c>
      <c r="E1103" s="2">
        <v>42397</v>
      </c>
      <c r="F1103" s="8">
        <v>0.54166666666666663</v>
      </c>
      <c r="G1103" t="s">
        <v>7</v>
      </c>
      <c r="H1103" s="7">
        <f t="shared" si="169"/>
        <v>2.2222222222222143E-2</v>
      </c>
      <c r="I1103" s="13">
        <f t="shared" si="170"/>
        <v>0.53333333333333333</v>
      </c>
      <c r="J1103" t="s">
        <v>15</v>
      </c>
      <c r="K1103" t="s">
        <v>40</v>
      </c>
      <c r="L1103">
        <v>19</v>
      </c>
      <c r="M1103" s="5">
        <f t="shared" si="171"/>
        <v>35.625</v>
      </c>
      <c r="N1103" t="s">
        <v>24</v>
      </c>
      <c r="O1103" t="str">
        <f t="shared" si="172"/>
        <v>Temporary Site</v>
      </c>
    </row>
    <row r="1104" spans="1:15" x14ac:dyDescent="0.3">
      <c r="A1104" s="1">
        <v>42553.777083333334</v>
      </c>
      <c r="B1104" s="6">
        <f>INT(A1104:A1141)</f>
        <v>42553</v>
      </c>
      <c r="C1104" s="7">
        <f>(A1104-B1104)</f>
        <v>0.77708333333430346</v>
      </c>
      <c r="D1104" s="1">
        <v>42553.786805555559</v>
      </c>
      <c r="E1104" s="6">
        <f>INT(D1104:D1141)</f>
        <v>42553</v>
      </c>
      <c r="F1104" s="8">
        <f>(D1104-E1104)</f>
        <v>0.78680555555911269</v>
      </c>
      <c r="G1104" t="s">
        <v>7</v>
      </c>
      <c r="H1104" s="7">
        <f t="shared" si="169"/>
        <v>9.7222222248092294E-3</v>
      </c>
      <c r="I1104" s="13">
        <f t="shared" si="170"/>
        <v>0.23333333333333334</v>
      </c>
      <c r="J1104" t="s">
        <v>15</v>
      </c>
      <c r="K1104" t="s">
        <v>16</v>
      </c>
      <c r="L1104">
        <v>6.1</v>
      </c>
      <c r="M1104" s="5">
        <f t="shared" si="171"/>
        <v>26.142857142857142</v>
      </c>
      <c r="N1104" t="s">
        <v>24</v>
      </c>
      <c r="O1104" t="str">
        <f t="shared" si="172"/>
        <v>Temporary Site</v>
      </c>
    </row>
    <row r="1105" spans="1:15" x14ac:dyDescent="0.3">
      <c r="A1105" s="1">
        <v>42676.76666666667</v>
      </c>
      <c r="B1105" s="6">
        <f>INT(A1105:A1142)</f>
        <v>42676</v>
      </c>
      <c r="C1105" s="7">
        <f>(A1105-B1105)</f>
        <v>0.76666666667006211</v>
      </c>
      <c r="D1105" s="1">
        <v>42676.781944444447</v>
      </c>
      <c r="E1105" s="6">
        <f>INT(D1105:D1142)</f>
        <v>42676</v>
      </c>
      <c r="F1105" s="8">
        <f>(D1105-E1105)</f>
        <v>0.78194444444670808</v>
      </c>
      <c r="G1105" t="s">
        <v>7</v>
      </c>
      <c r="H1105" s="7">
        <f t="shared" si="169"/>
        <v>1.5277777776645962E-2</v>
      </c>
      <c r="I1105" s="13">
        <f t="shared" si="170"/>
        <v>0.36666666666666664</v>
      </c>
      <c r="J1105" t="s">
        <v>40</v>
      </c>
      <c r="K1105" t="s">
        <v>16</v>
      </c>
      <c r="L1105">
        <v>13.5</v>
      </c>
      <c r="M1105" s="5">
        <f t="shared" si="171"/>
        <v>36.81818181818182</v>
      </c>
      <c r="N1105" t="s">
        <v>24</v>
      </c>
      <c r="O1105" t="str">
        <f t="shared" si="172"/>
        <v>Temporary Site</v>
      </c>
    </row>
    <row r="1106" spans="1:15" x14ac:dyDescent="0.3">
      <c r="A1106" s="1">
        <v>42676.85833333333</v>
      </c>
      <c r="B1106" s="6">
        <f>INT(A1106:A1143)</f>
        <v>42676</v>
      </c>
      <c r="C1106" s="7">
        <f>(A1106-B1106)</f>
        <v>0.85833333332993789</v>
      </c>
      <c r="D1106" s="1">
        <v>42676.868750000001</v>
      </c>
      <c r="E1106" s="6">
        <f>INT(D1106:D1143)</f>
        <v>42676</v>
      </c>
      <c r="F1106" s="8">
        <f>(D1106-E1106)</f>
        <v>0.86875000000145519</v>
      </c>
      <c r="G1106" t="s">
        <v>7</v>
      </c>
      <c r="H1106" s="7">
        <f t="shared" si="169"/>
        <v>1.0416666671517305E-2</v>
      </c>
      <c r="I1106" s="13">
        <f t="shared" si="170"/>
        <v>0.25</v>
      </c>
      <c r="J1106" t="s">
        <v>16</v>
      </c>
      <c r="K1106" t="s">
        <v>15</v>
      </c>
      <c r="L1106">
        <v>6.1</v>
      </c>
      <c r="M1106" s="5">
        <f t="shared" si="171"/>
        <v>24.4</v>
      </c>
      <c r="N1106" t="s">
        <v>24</v>
      </c>
      <c r="O1106" t="str">
        <f t="shared" si="172"/>
        <v>Temporary Site</v>
      </c>
    </row>
    <row r="1107" spans="1:15" x14ac:dyDescent="0.3">
      <c r="A1107" s="1">
        <v>42706.347916666666</v>
      </c>
      <c r="B1107" s="6">
        <f>INT(A1107:A1144)</f>
        <v>42706</v>
      </c>
      <c r="C1107" s="7">
        <f>(A1107-B1107)</f>
        <v>0.34791666666569654</v>
      </c>
      <c r="D1107" s="1">
        <v>42706.362500000003</v>
      </c>
      <c r="E1107" s="6">
        <f>INT(D1107:D1144)</f>
        <v>42706</v>
      </c>
      <c r="F1107" s="8">
        <f>(D1107-E1107)</f>
        <v>0.36250000000291038</v>
      </c>
      <c r="G1107" t="s">
        <v>7</v>
      </c>
      <c r="H1107" s="7">
        <f t="shared" si="169"/>
        <v>1.4583333337213844E-2</v>
      </c>
      <c r="I1107" s="13">
        <f t="shared" si="170"/>
        <v>0.35</v>
      </c>
      <c r="J1107" t="s">
        <v>15</v>
      </c>
      <c r="K1107" t="s">
        <v>36</v>
      </c>
      <c r="L1107">
        <v>8.5</v>
      </c>
      <c r="M1107" s="5">
        <f t="shared" si="171"/>
        <v>24.285714285714288</v>
      </c>
      <c r="N1107" t="s">
        <v>24</v>
      </c>
      <c r="O1107" t="str">
        <f t="shared" si="172"/>
        <v>Temporary Site</v>
      </c>
    </row>
    <row r="1108" spans="1:15" x14ac:dyDescent="0.3">
      <c r="A1108" s="1">
        <v>42706.447916666664</v>
      </c>
      <c r="B1108" s="6">
        <f>INT(A1108:A1145)</f>
        <v>42706</v>
      </c>
      <c r="C1108" s="7">
        <f>(A1108-B1108)</f>
        <v>0.44791666666424135</v>
      </c>
      <c r="D1108" s="1">
        <v>42706.452777777777</v>
      </c>
      <c r="E1108" s="6">
        <f>INT(D1108:D1145)</f>
        <v>42706</v>
      </c>
      <c r="F1108" s="8">
        <f>(D1108-E1108)</f>
        <v>0.45277777777664596</v>
      </c>
      <c r="G1108" t="s">
        <v>7</v>
      </c>
      <c r="H1108" s="7">
        <f t="shared" si="169"/>
        <v>4.8611111124046147E-3</v>
      </c>
      <c r="I1108" s="13">
        <f t="shared" si="170"/>
        <v>0.11666666666666667</v>
      </c>
      <c r="J1108" t="s">
        <v>36</v>
      </c>
      <c r="K1108" t="s">
        <v>16</v>
      </c>
      <c r="L1108">
        <v>2.6</v>
      </c>
      <c r="M1108" s="5">
        <f t="shared" si="171"/>
        <v>22.285714285714285</v>
      </c>
      <c r="N1108" t="s">
        <v>24</v>
      </c>
      <c r="O1108" t="str">
        <f t="shared" si="172"/>
        <v>Temporary Site</v>
      </c>
    </row>
    <row r="1109" spans="1:15" x14ac:dyDescent="0.3">
      <c r="B1109" s="2">
        <v>42416</v>
      </c>
      <c r="C1109" s="7">
        <v>0.57152777777777775</v>
      </c>
      <c r="D1109" t="s">
        <v>77</v>
      </c>
      <c r="E1109" s="2">
        <v>42416</v>
      </c>
      <c r="F1109" s="8">
        <v>0.57986111111111105</v>
      </c>
      <c r="G1109" t="s">
        <v>7</v>
      </c>
      <c r="H1109" s="7">
        <f t="shared" si="169"/>
        <v>8.3333333333333037E-3</v>
      </c>
      <c r="I1109" s="13">
        <f t="shared" si="170"/>
        <v>0.2</v>
      </c>
      <c r="J1109" t="s">
        <v>74</v>
      </c>
      <c r="K1109" t="s">
        <v>74</v>
      </c>
      <c r="L1109">
        <v>1.8</v>
      </c>
      <c r="M1109" s="5">
        <f t="shared" si="171"/>
        <v>9</v>
      </c>
      <c r="N1109" t="s">
        <v>24</v>
      </c>
      <c r="O1109" t="str">
        <f t="shared" si="172"/>
        <v>Temporary Site</v>
      </c>
    </row>
    <row r="1110" spans="1:15" x14ac:dyDescent="0.3">
      <c r="B1110" s="2">
        <v>42417</v>
      </c>
      <c r="C1110" s="7">
        <v>0.5541666666666667</v>
      </c>
      <c r="D1110" t="s">
        <v>82</v>
      </c>
      <c r="E1110" s="2">
        <v>42417</v>
      </c>
      <c r="F1110" s="8">
        <v>0.58611111111111114</v>
      </c>
      <c r="G1110" t="s">
        <v>7</v>
      </c>
      <c r="H1110" s="7">
        <f t="shared" si="169"/>
        <v>3.1944444444444442E-2</v>
      </c>
      <c r="I1110" s="13">
        <f t="shared" si="170"/>
        <v>0.76666666666666672</v>
      </c>
      <c r="J1110" t="s">
        <v>72</v>
      </c>
      <c r="K1110" t="s">
        <v>74</v>
      </c>
      <c r="L1110">
        <v>14.7</v>
      </c>
      <c r="M1110" s="5">
        <f t="shared" si="171"/>
        <v>19.173913043478258</v>
      </c>
      <c r="N1110" t="s">
        <v>24</v>
      </c>
      <c r="O1110" t="str">
        <f t="shared" si="172"/>
        <v>Temporary Site</v>
      </c>
    </row>
    <row r="1111" spans="1:15" x14ac:dyDescent="0.3">
      <c r="B1111" s="2">
        <v>42417</v>
      </c>
      <c r="C1111" s="7">
        <v>0.6479166666666667</v>
      </c>
      <c r="D1111" t="s">
        <v>84</v>
      </c>
      <c r="E1111" s="2">
        <v>42417</v>
      </c>
      <c r="F1111" s="8">
        <v>0.67847222222222225</v>
      </c>
      <c r="G1111" t="s">
        <v>7</v>
      </c>
      <c r="H1111" s="7">
        <f t="shared" si="169"/>
        <v>3.0555555555555558E-2</v>
      </c>
      <c r="I1111" s="13">
        <f t="shared" si="170"/>
        <v>0.73333333333333328</v>
      </c>
      <c r="J1111" t="s">
        <v>74</v>
      </c>
      <c r="K1111" t="s">
        <v>71</v>
      </c>
      <c r="L1111">
        <v>21.4</v>
      </c>
      <c r="M1111" s="5">
        <f t="shared" si="171"/>
        <v>29.181818181818183</v>
      </c>
      <c r="N1111" t="s">
        <v>24</v>
      </c>
      <c r="O1111" t="str">
        <f t="shared" si="172"/>
        <v>Temporary Site</v>
      </c>
    </row>
    <row r="1112" spans="1:15" x14ac:dyDescent="0.3">
      <c r="B1112" s="2">
        <v>42418</v>
      </c>
      <c r="C1112" s="7">
        <v>0.34652777777777777</v>
      </c>
      <c r="D1112" t="s">
        <v>86</v>
      </c>
      <c r="E1112" s="2">
        <v>42418</v>
      </c>
      <c r="F1112" s="8">
        <v>0.3520833333333333</v>
      </c>
      <c r="G1112" t="s">
        <v>7</v>
      </c>
      <c r="H1112" s="7">
        <f t="shared" si="169"/>
        <v>5.5555555555555358E-3</v>
      </c>
      <c r="I1112" s="13">
        <f t="shared" si="170"/>
        <v>0.13333333333333333</v>
      </c>
      <c r="J1112" t="s">
        <v>72</v>
      </c>
      <c r="K1112" t="s">
        <v>72</v>
      </c>
      <c r="L1112">
        <v>23.5</v>
      </c>
      <c r="M1112" s="5">
        <f t="shared" si="171"/>
        <v>176.25</v>
      </c>
      <c r="N1112" t="s">
        <v>24</v>
      </c>
      <c r="O1112" t="str">
        <f t="shared" si="172"/>
        <v>Temporary Site</v>
      </c>
    </row>
    <row r="1113" spans="1:15" x14ac:dyDescent="0.3">
      <c r="B1113" s="2">
        <v>42418</v>
      </c>
      <c r="C1113" s="7">
        <v>0.5854166666666667</v>
      </c>
      <c r="D1113" t="s">
        <v>87</v>
      </c>
      <c r="E1113" s="2">
        <v>42418</v>
      </c>
      <c r="F1113" s="8">
        <v>0.61458333333333337</v>
      </c>
      <c r="G1113" t="s">
        <v>7</v>
      </c>
      <c r="H1113" s="7">
        <f t="shared" si="169"/>
        <v>2.9166666666666674E-2</v>
      </c>
      <c r="I1113" s="13">
        <f t="shared" si="170"/>
        <v>0.7</v>
      </c>
      <c r="J1113" t="s">
        <v>72</v>
      </c>
      <c r="K1113" t="s">
        <v>88</v>
      </c>
      <c r="L1113">
        <v>12.7</v>
      </c>
      <c r="M1113" s="5">
        <f t="shared" si="171"/>
        <v>18.142857142857142</v>
      </c>
      <c r="N1113" t="s">
        <v>24</v>
      </c>
      <c r="O1113" t="str">
        <f t="shared" si="172"/>
        <v>Temporary Site</v>
      </c>
    </row>
    <row r="1114" spans="1:15" x14ac:dyDescent="0.3">
      <c r="B1114" s="2">
        <v>42418</v>
      </c>
      <c r="C1114" s="7">
        <v>0.63611111111111118</v>
      </c>
      <c r="D1114" t="s">
        <v>89</v>
      </c>
      <c r="E1114" s="2">
        <v>42418</v>
      </c>
      <c r="F1114" s="8">
        <v>0.64652777777777781</v>
      </c>
      <c r="G1114" t="s">
        <v>7</v>
      </c>
      <c r="H1114" s="7">
        <f t="shared" si="169"/>
        <v>1.041666666666663E-2</v>
      </c>
      <c r="I1114" s="13">
        <f t="shared" si="170"/>
        <v>0.25</v>
      </c>
      <c r="J1114" t="s">
        <v>88</v>
      </c>
      <c r="K1114" t="s">
        <v>72</v>
      </c>
      <c r="L1114">
        <v>6</v>
      </c>
      <c r="M1114" s="5">
        <f t="shared" si="171"/>
        <v>24</v>
      </c>
      <c r="N1114" t="s">
        <v>24</v>
      </c>
      <c r="O1114" t="str">
        <f t="shared" si="172"/>
        <v>Temporary Site</v>
      </c>
    </row>
    <row r="1115" spans="1:15" x14ac:dyDescent="0.3">
      <c r="B1115" s="2">
        <v>42419</v>
      </c>
      <c r="C1115" s="7">
        <v>0.50624999999999998</v>
      </c>
      <c r="D1115" t="s">
        <v>97</v>
      </c>
      <c r="E1115" s="2">
        <v>42419</v>
      </c>
      <c r="F1115" s="8">
        <v>0.51874999999999993</v>
      </c>
      <c r="G1115" t="s">
        <v>7</v>
      </c>
      <c r="H1115" s="7">
        <f t="shared" si="169"/>
        <v>1.2499999999999956E-2</v>
      </c>
      <c r="I1115" s="13">
        <f t="shared" si="170"/>
        <v>0.3</v>
      </c>
      <c r="J1115" t="s">
        <v>88</v>
      </c>
      <c r="K1115" t="s">
        <v>72</v>
      </c>
      <c r="L1115">
        <v>7.3</v>
      </c>
      <c r="M1115" s="5">
        <f t="shared" si="171"/>
        <v>24.333333333333332</v>
      </c>
      <c r="N1115" t="s">
        <v>24</v>
      </c>
      <c r="O1115" t="str">
        <f t="shared" si="172"/>
        <v>Temporary Site</v>
      </c>
    </row>
    <row r="1116" spans="1:15" x14ac:dyDescent="0.3">
      <c r="B1116" s="2">
        <v>42421</v>
      </c>
      <c r="C1116" s="7">
        <v>0.53541666666666665</v>
      </c>
      <c r="D1116" t="s">
        <v>115</v>
      </c>
      <c r="E1116" s="2">
        <v>42421</v>
      </c>
      <c r="F1116" s="8">
        <v>0.54999999999999993</v>
      </c>
      <c r="G1116" t="s">
        <v>7</v>
      </c>
      <c r="H1116" s="7">
        <f t="shared" si="169"/>
        <v>1.4583333333333282E-2</v>
      </c>
      <c r="I1116" s="13">
        <f t="shared" si="170"/>
        <v>0.35</v>
      </c>
      <c r="J1116" t="s">
        <v>72</v>
      </c>
      <c r="K1116" t="s">
        <v>72</v>
      </c>
      <c r="L1116">
        <v>8.3000000000000007</v>
      </c>
      <c r="M1116" s="5">
        <f t="shared" si="171"/>
        <v>23.714285714285719</v>
      </c>
      <c r="N1116" t="s">
        <v>24</v>
      </c>
      <c r="O1116" t="str">
        <f t="shared" si="172"/>
        <v>Temporary Site</v>
      </c>
    </row>
    <row r="1117" spans="1:15" x14ac:dyDescent="0.3">
      <c r="B1117" s="2">
        <v>42421</v>
      </c>
      <c r="C1117" s="7">
        <v>0.56458333333333333</v>
      </c>
      <c r="D1117" t="s">
        <v>116</v>
      </c>
      <c r="E1117" s="2">
        <v>42421</v>
      </c>
      <c r="F1117" s="8">
        <v>0.60416666666666663</v>
      </c>
      <c r="G1117" t="s">
        <v>7</v>
      </c>
      <c r="H1117" s="7">
        <f t="shared" si="169"/>
        <v>3.9583333333333304E-2</v>
      </c>
      <c r="I1117" s="13">
        <f t="shared" si="170"/>
        <v>0.95</v>
      </c>
      <c r="J1117" t="s">
        <v>72</v>
      </c>
      <c r="K1117" t="s">
        <v>72</v>
      </c>
      <c r="L1117">
        <v>22.7</v>
      </c>
      <c r="M1117" s="5">
        <f t="shared" si="171"/>
        <v>23.894736842105264</v>
      </c>
      <c r="N1117" t="s">
        <v>24</v>
      </c>
      <c r="O1117" t="str">
        <f t="shared" si="172"/>
        <v>Temporary Site</v>
      </c>
    </row>
    <row r="1118" spans="1:15" x14ac:dyDescent="0.3">
      <c r="B1118" s="2">
        <v>42421</v>
      </c>
      <c r="C1118" s="7">
        <v>0.60833333333333328</v>
      </c>
      <c r="D1118" t="s">
        <v>117</v>
      </c>
      <c r="E1118" s="2">
        <v>42421</v>
      </c>
      <c r="F1118" s="8">
        <v>0.62708333333333333</v>
      </c>
      <c r="G1118" t="s">
        <v>7</v>
      </c>
      <c r="H1118" s="7">
        <f t="shared" si="169"/>
        <v>1.8750000000000044E-2</v>
      </c>
      <c r="I1118" s="13">
        <f t="shared" si="170"/>
        <v>0.45</v>
      </c>
      <c r="J1118" t="s">
        <v>72</v>
      </c>
      <c r="K1118" t="s">
        <v>88</v>
      </c>
      <c r="L1118">
        <v>13</v>
      </c>
      <c r="M1118" s="5">
        <f t="shared" si="171"/>
        <v>28.888888888888889</v>
      </c>
      <c r="N1118" t="s">
        <v>24</v>
      </c>
      <c r="O1118" t="str">
        <f t="shared" si="172"/>
        <v>Temporary Site</v>
      </c>
    </row>
    <row r="1119" spans="1:15" x14ac:dyDescent="0.3">
      <c r="B1119" s="2">
        <v>42421</v>
      </c>
      <c r="C1119" s="7">
        <v>0.63472222222222219</v>
      </c>
      <c r="D1119" t="s">
        <v>118</v>
      </c>
      <c r="E1119" s="2">
        <v>42421</v>
      </c>
      <c r="F1119" s="8">
        <v>0.64652777777777781</v>
      </c>
      <c r="G1119" t="s">
        <v>7</v>
      </c>
      <c r="H1119" s="7">
        <f t="shared" si="169"/>
        <v>1.1805555555555625E-2</v>
      </c>
      <c r="I1119" s="13">
        <f t="shared" si="170"/>
        <v>0.28333333333333333</v>
      </c>
      <c r="J1119" t="s">
        <v>88</v>
      </c>
      <c r="K1119" t="s">
        <v>119</v>
      </c>
      <c r="L1119">
        <v>8.1</v>
      </c>
      <c r="M1119" s="5">
        <f t="shared" si="171"/>
        <v>28.588235294117645</v>
      </c>
      <c r="N1119" t="s">
        <v>24</v>
      </c>
      <c r="O1119" t="str">
        <f t="shared" si="172"/>
        <v>Temporary Site</v>
      </c>
    </row>
    <row r="1120" spans="1:15" x14ac:dyDescent="0.3">
      <c r="A1120" s="1">
        <v>42463.793055555558</v>
      </c>
      <c r="B1120" s="6">
        <f>INT(A1120:A1159)</f>
        <v>42463</v>
      </c>
      <c r="C1120" s="7">
        <f>(A1120-B1120)</f>
        <v>0.7930555555576575</v>
      </c>
      <c r="D1120" s="1">
        <v>42463.797222222223</v>
      </c>
      <c r="E1120" s="6">
        <f>INT(D1120)</f>
        <v>42463</v>
      </c>
      <c r="F1120" s="8">
        <f>D1120-E1120</f>
        <v>0.79722222222335404</v>
      </c>
      <c r="G1120" t="s">
        <v>7</v>
      </c>
      <c r="H1120" s="7">
        <f t="shared" si="169"/>
        <v>4.166666665696539E-3</v>
      </c>
      <c r="I1120" s="13">
        <f t="shared" si="170"/>
        <v>0.1</v>
      </c>
      <c r="J1120" t="s">
        <v>15</v>
      </c>
      <c r="K1120" t="s">
        <v>16</v>
      </c>
      <c r="L1120">
        <v>1.9</v>
      </c>
      <c r="M1120" s="5">
        <f t="shared" si="171"/>
        <v>18.999999999999996</v>
      </c>
      <c r="N1120" t="s">
        <v>24</v>
      </c>
      <c r="O1120" t="str">
        <f t="shared" si="172"/>
        <v>Temporary Site</v>
      </c>
    </row>
    <row r="1121" spans="1:15" x14ac:dyDescent="0.3">
      <c r="A1121" t="s">
        <v>318</v>
      </c>
      <c r="B1121" s="2">
        <v>42460</v>
      </c>
      <c r="C1121" s="7">
        <v>0.53263888888888888</v>
      </c>
      <c r="D1121" t="s">
        <v>319</v>
      </c>
      <c r="E1121" s="2">
        <v>42460</v>
      </c>
      <c r="F1121" s="8">
        <v>0.55694444444444446</v>
      </c>
      <c r="G1121" t="s">
        <v>7</v>
      </c>
      <c r="H1121" s="7">
        <f t="shared" si="169"/>
        <v>2.430555555555558E-2</v>
      </c>
      <c r="I1121" s="13">
        <f t="shared" si="170"/>
        <v>0.58333333333333337</v>
      </c>
      <c r="J1121" t="s">
        <v>278</v>
      </c>
      <c r="K1121" t="s">
        <v>285</v>
      </c>
      <c r="L1121">
        <v>16.100000000000001</v>
      </c>
      <c r="M1121" s="5">
        <f t="shared" si="171"/>
        <v>27.6</v>
      </c>
      <c r="N1121" t="s">
        <v>24</v>
      </c>
      <c r="O1121" t="str">
        <f t="shared" si="172"/>
        <v>Temporary Site</v>
      </c>
    </row>
    <row r="1122" spans="1:15" x14ac:dyDescent="0.3">
      <c r="A1122" t="s">
        <v>327</v>
      </c>
      <c r="B1122" s="2">
        <v>42474</v>
      </c>
      <c r="C1122" s="7">
        <v>0.31180555555555556</v>
      </c>
      <c r="D1122" t="s">
        <v>328</v>
      </c>
      <c r="E1122" s="2">
        <v>42474</v>
      </c>
      <c r="F1122" s="8">
        <v>0.33958333333333335</v>
      </c>
      <c r="G1122" t="s">
        <v>7</v>
      </c>
      <c r="H1122" s="7">
        <f t="shared" si="169"/>
        <v>2.777777777777779E-2</v>
      </c>
      <c r="I1122" s="13">
        <f t="shared" si="170"/>
        <v>0.66666666666666663</v>
      </c>
      <c r="J1122" t="s">
        <v>15</v>
      </c>
      <c r="K1122" t="s">
        <v>329</v>
      </c>
      <c r="L1122">
        <v>15.3</v>
      </c>
      <c r="M1122" s="5">
        <f t="shared" si="171"/>
        <v>22.950000000000003</v>
      </c>
      <c r="N1122" t="s">
        <v>24</v>
      </c>
      <c r="O1122" t="str">
        <f t="shared" si="172"/>
        <v>Temporary Site</v>
      </c>
    </row>
    <row r="1123" spans="1:15" x14ac:dyDescent="0.3">
      <c r="A1123" t="s">
        <v>330</v>
      </c>
      <c r="B1123" s="2">
        <v>42474</v>
      </c>
      <c r="C1123" s="7">
        <v>0.66666666666666663</v>
      </c>
      <c r="D1123" t="s">
        <v>331</v>
      </c>
      <c r="E1123" s="2">
        <v>42474</v>
      </c>
      <c r="F1123" s="8">
        <v>0.69652777777777775</v>
      </c>
      <c r="G1123" t="s">
        <v>7</v>
      </c>
      <c r="H1123" s="7">
        <f t="shared" si="169"/>
        <v>2.9861111111111116E-2</v>
      </c>
      <c r="I1123" s="13">
        <f t="shared" si="170"/>
        <v>0.71666666666666667</v>
      </c>
      <c r="J1123" t="s">
        <v>329</v>
      </c>
      <c r="K1123" t="s">
        <v>15</v>
      </c>
      <c r="L1123">
        <v>13.7</v>
      </c>
      <c r="M1123" s="5">
        <f t="shared" si="171"/>
        <v>19.11627906976744</v>
      </c>
      <c r="N1123" t="s">
        <v>24</v>
      </c>
      <c r="O1123" t="str">
        <f t="shared" si="172"/>
        <v>Temporary Site</v>
      </c>
    </row>
    <row r="1124" spans="1:15" x14ac:dyDescent="0.3">
      <c r="A1124" t="s">
        <v>332</v>
      </c>
      <c r="B1124" s="2">
        <v>42475</v>
      </c>
      <c r="C1124" s="7">
        <v>0.48333333333333334</v>
      </c>
      <c r="D1124" t="s">
        <v>333</v>
      </c>
      <c r="E1124" s="2">
        <v>42475</v>
      </c>
      <c r="F1124" s="8">
        <v>0.50486111111111109</v>
      </c>
      <c r="G1124" t="s">
        <v>7</v>
      </c>
      <c r="H1124" s="7">
        <f t="shared" si="169"/>
        <v>2.1527777777777757E-2</v>
      </c>
      <c r="I1124" s="13">
        <f t="shared" si="170"/>
        <v>0.51666666666666672</v>
      </c>
      <c r="J1124" t="s">
        <v>15</v>
      </c>
      <c r="K1124" t="s">
        <v>40</v>
      </c>
      <c r="L1124">
        <v>11.9</v>
      </c>
      <c r="M1124" s="5">
        <f t="shared" si="171"/>
        <v>23.032258064516128</v>
      </c>
      <c r="N1124" t="s">
        <v>24</v>
      </c>
      <c r="O1124" t="str">
        <f t="shared" si="172"/>
        <v>Temporary Site</v>
      </c>
    </row>
    <row r="1125" spans="1:15" x14ac:dyDescent="0.3">
      <c r="A1125" t="s">
        <v>536</v>
      </c>
      <c r="B1125" s="2">
        <v>42545</v>
      </c>
      <c r="C1125" s="7">
        <v>0.58402777777777781</v>
      </c>
      <c r="D1125" t="s">
        <v>537</v>
      </c>
      <c r="E1125" s="2">
        <v>42545</v>
      </c>
      <c r="F1125" s="8">
        <v>0.59722222222222221</v>
      </c>
      <c r="G1125" t="s">
        <v>7</v>
      </c>
      <c r="H1125" s="7">
        <f t="shared" si="169"/>
        <v>1.3194444444444398E-2</v>
      </c>
      <c r="I1125" s="13">
        <f t="shared" si="170"/>
        <v>0.31666666666666665</v>
      </c>
      <c r="J1125" t="s">
        <v>15</v>
      </c>
      <c r="K1125" t="s">
        <v>16</v>
      </c>
      <c r="L1125">
        <v>8.4</v>
      </c>
      <c r="M1125" s="5">
        <f t="shared" si="171"/>
        <v>26.526315789473685</v>
      </c>
      <c r="N1125" t="s">
        <v>24</v>
      </c>
      <c r="O1125" t="str">
        <f t="shared" si="172"/>
        <v>Temporary Site</v>
      </c>
    </row>
    <row r="1126" spans="1:15" x14ac:dyDescent="0.3">
      <c r="A1126" s="1">
        <v>42467.765972222223</v>
      </c>
      <c r="B1126" s="6">
        <f>INT(A1126:A1165)</f>
        <v>42467</v>
      </c>
      <c r="C1126" s="7">
        <f>(A1126-B1126)</f>
        <v>0.76597222222335404</v>
      </c>
      <c r="D1126" s="1">
        <v>42467.78402777778</v>
      </c>
      <c r="E1126" s="6">
        <f>INT(D1126)</f>
        <v>42467</v>
      </c>
      <c r="F1126" s="8">
        <f>D1126-E1126</f>
        <v>0.78402777777955635</v>
      </c>
      <c r="G1126" t="s">
        <v>7</v>
      </c>
      <c r="H1126" s="7">
        <f t="shared" si="169"/>
        <v>1.8055555556202307E-2</v>
      </c>
      <c r="I1126" s="13">
        <f t="shared" si="170"/>
        <v>0.43333333333333335</v>
      </c>
      <c r="J1126" t="s">
        <v>613</v>
      </c>
      <c r="K1126" t="s">
        <v>38</v>
      </c>
      <c r="L1126">
        <v>8.6999999999999993</v>
      </c>
      <c r="M1126" s="5">
        <f t="shared" si="171"/>
        <v>20.076923076923073</v>
      </c>
      <c r="N1126" t="s">
        <v>24</v>
      </c>
      <c r="O1126" t="str">
        <f t="shared" si="172"/>
        <v>Temporary Site</v>
      </c>
    </row>
    <row r="1127" spans="1:15" x14ac:dyDescent="0.3">
      <c r="A1127" s="1">
        <v>42558.348611111112</v>
      </c>
      <c r="B1127" s="6">
        <f>INT(A1127:A1166)</f>
        <v>42558</v>
      </c>
      <c r="C1127" s="7">
        <f>(A1127-B1127)</f>
        <v>0.34861111111240461</v>
      </c>
      <c r="D1127" s="1">
        <v>42558.368055555555</v>
      </c>
      <c r="E1127" s="6">
        <f>INT(D1127)</f>
        <v>42558</v>
      </c>
      <c r="F1127" s="8">
        <f>D1127-E1127</f>
        <v>0.36805555555474712</v>
      </c>
      <c r="G1127" t="s">
        <v>7</v>
      </c>
      <c r="H1127" s="7">
        <f t="shared" si="169"/>
        <v>1.9444444442342501E-2</v>
      </c>
      <c r="I1127" s="13">
        <f t="shared" si="170"/>
        <v>0.46666666666666667</v>
      </c>
      <c r="J1127" t="s">
        <v>15</v>
      </c>
      <c r="K1127" t="s">
        <v>16</v>
      </c>
      <c r="L1127">
        <v>7.9</v>
      </c>
      <c r="M1127" s="5">
        <f t="shared" si="171"/>
        <v>16.928571428571431</v>
      </c>
      <c r="N1127" t="s">
        <v>24</v>
      </c>
      <c r="O1127" t="str">
        <f t="shared" si="172"/>
        <v>Temporary Site</v>
      </c>
    </row>
    <row r="1128" spans="1:15" x14ac:dyDescent="0.3">
      <c r="A1128" t="s">
        <v>787</v>
      </c>
      <c r="B1128" s="2">
        <v>42597</v>
      </c>
      <c r="C1128" s="7">
        <v>0.79722222222222217</v>
      </c>
      <c r="D1128" t="s">
        <v>788</v>
      </c>
      <c r="E1128" s="2">
        <v>42597</v>
      </c>
      <c r="F1128" s="8">
        <v>0.85416666666666663</v>
      </c>
      <c r="G1128" t="s">
        <v>7</v>
      </c>
      <c r="H1128" s="7">
        <f t="shared" si="169"/>
        <v>5.6944444444444464E-2</v>
      </c>
      <c r="I1128" s="13">
        <f t="shared" si="170"/>
        <v>1.3666666666666667</v>
      </c>
      <c r="J1128" t="s">
        <v>72</v>
      </c>
      <c r="K1128" t="s">
        <v>72</v>
      </c>
      <c r="L1128">
        <v>25.9</v>
      </c>
      <c r="M1128" s="5">
        <f t="shared" si="171"/>
        <v>18.95121951219512</v>
      </c>
      <c r="N1128" t="s">
        <v>24</v>
      </c>
      <c r="O1128" t="str">
        <f t="shared" si="172"/>
        <v>Temporary Site</v>
      </c>
    </row>
    <row r="1129" spans="1:15" x14ac:dyDescent="0.3">
      <c r="A1129" t="s">
        <v>799</v>
      </c>
      <c r="B1129" s="2">
        <v>42598</v>
      </c>
      <c r="C1129" s="7">
        <v>0.4909722222222222</v>
      </c>
      <c r="D1129" t="s">
        <v>800</v>
      </c>
      <c r="E1129" s="2">
        <v>42598</v>
      </c>
      <c r="F1129" s="8">
        <v>0.50208333333333333</v>
      </c>
      <c r="G1129" t="s">
        <v>7</v>
      </c>
      <c r="H1129" s="7">
        <f t="shared" si="169"/>
        <v>1.1111111111111127E-2</v>
      </c>
      <c r="I1129" s="13">
        <f t="shared" si="170"/>
        <v>0.26666666666666666</v>
      </c>
      <c r="J1129" t="s">
        <v>88</v>
      </c>
      <c r="K1129" t="s">
        <v>72</v>
      </c>
      <c r="L1129">
        <v>5.7</v>
      </c>
      <c r="M1129" s="5">
        <f t="shared" si="171"/>
        <v>21.375</v>
      </c>
      <c r="N1129" t="s">
        <v>24</v>
      </c>
      <c r="O1129" t="str">
        <f t="shared" si="172"/>
        <v>Temporary Site</v>
      </c>
    </row>
    <row r="1130" spans="1:15" x14ac:dyDescent="0.3">
      <c r="A1130" t="s">
        <v>817</v>
      </c>
      <c r="B1130" s="2">
        <v>42599</v>
      </c>
      <c r="C1130" s="7">
        <v>0.77638888888888891</v>
      </c>
      <c r="D1130" t="s">
        <v>818</v>
      </c>
      <c r="E1130" s="2">
        <v>42599</v>
      </c>
      <c r="F1130" s="8">
        <v>0.7895833333333333</v>
      </c>
      <c r="G1130" t="s">
        <v>7</v>
      </c>
      <c r="H1130" s="7">
        <f t="shared" si="169"/>
        <v>1.3194444444444398E-2</v>
      </c>
      <c r="I1130" s="13">
        <f t="shared" si="170"/>
        <v>0.31666666666666665</v>
      </c>
      <c r="J1130" t="s">
        <v>72</v>
      </c>
      <c r="K1130" t="s">
        <v>72</v>
      </c>
      <c r="L1130">
        <v>7.7</v>
      </c>
      <c r="M1130" s="5">
        <f t="shared" si="171"/>
        <v>24.315789473684212</v>
      </c>
      <c r="N1130" t="s">
        <v>24</v>
      </c>
      <c r="O1130" t="str">
        <f t="shared" si="172"/>
        <v>Temporary Site</v>
      </c>
    </row>
    <row r="1131" spans="1:15" x14ac:dyDescent="0.3">
      <c r="A1131" t="s">
        <v>819</v>
      </c>
      <c r="B1131" s="2">
        <v>42600</v>
      </c>
      <c r="C1131" s="7">
        <v>0.77777777777777779</v>
      </c>
      <c r="D1131" t="s">
        <v>820</v>
      </c>
      <c r="E1131" s="2">
        <v>42600</v>
      </c>
      <c r="F1131" s="8">
        <v>0.79652777777777783</v>
      </c>
      <c r="G1131" t="s">
        <v>7</v>
      </c>
      <c r="H1131" s="7">
        <f t="shared" si="169"/>
        <v>1.8750000000000044E-2</v>
      </c>
      <c r="I1131" s="13">
        <f t="shared" si="170"/>
        <v>0.45</v>
      </c>
      <c r="J1131" t="s">
        <v>72</v>
      </c>
      <c r="K1131" t="s">
        <v>72</v>
      </c>
      <c r="L1131">
        <v>7.6</v>
      </c>
      <c r="M1131" s="5">
        <f t="shared" si="171"/>
        <v>16.888888888888889</v>
      </c>
      <c r="N1131" t="s">
        <v>24</v>
      </c>
      <c r="O1131" t="str">
        <f t="shared" si="172"/>
        <v>Temporary Site</v>
      </c>
    </row>
    <row r="1132" spans="1:15" x14ac:dyDescent="0.3">
      <c r="A1132" t="s">
        <v>941</v>
      </c>
      <c r="B1132" s="2">
        <v>42611</v>
      </c>
      <c r="C1132" s="7">
        <v>0.61736111111111114</v>
      </c>
      <c r="D1132" t="s">
        <v>942</v>
      </c>
      <c r="E1132" s="2">
        <v>42611</v>
      </c>
      <c r="F1132" s="8">
        <v>0.62777777777777777</v>
      </c>
      <c r="G1132" t="s">
        <v>7</v>
      </c>
      <c r="H1132" s="7">
        <f t="shared" si="169"/>
        <v>1.041666666666663E-2</v>
      </c>
      <c r="I1132" s="13">
        <f t="shared" si="170"/>
        <v>0.25</v>
      </c>
      <c r="J1132" t="s">
        <v>88</v>
      </c>
      <c r="K1132" t="s">
        <v>72</v>
      </c>
      <c r="L1132">
        <v>5.7</v>
      </c>
      <c r="M1132" s="5">
        <f t="shared" si="171"/>
        <v>22.8</v>
      </c>
      <c r="N1132" t="s">
        <v>24</v>
      </c>
      <c r="O1132" t="str">
        <f t="shared" si="172"/>
        <v>Temporary Site</v>
      </c>
    </row>
    <row r="1133" spans="1:15" x14ac:dyDescent="0.3">
      <c r="A1133" s="1">
        <v>42623.586111111108</v>
      </c>
      <c r="B1133" s="6">
        <f>INT(A1133:A1171)</f>
        <v>42623</v>
      </c>
      <c r="C1133" s="7">
        <f>(A1133-B1133)</f>
        <v>0.58611111110803904</v>
      </c>
      <c r="D1133" s="1">
        <v>42623.599305555559</v>
      </c>
      <c r="E1133" s="6">
        <f>INT(D1133)</f>
        <v>42623</v>
      </c>
      <c r="F1133" s="8">
        <f>D1133-E1133</f>
        <v>0.59930555555911269</v>
      </c>
      <c r="G1133" t="s">
        <v>7</v>
      </c>
      <c r="H1133" s="7">
        <f t="shared" si="169"/>
        <v>1.319444445107365E-2</v>
      </c>
      <c r="I1133" s="13">
        <f t="shared" si="170"/>
        <v>0.31666666666666665</v>
      </c>
      <c r="J1133" t="s">
        <v>72</v>
      </c>
      <c r="K1133" t="s">
        <v>72</v>
      </c>
      <c r="L1133">
        <v>7.7</v>
      </c>
      <c r="M1133" s="5">
        <f t="shared" si="171"/>
        <v>24.315789473684212</v>
      </c>
      <c r="N1133" t="s">
        <v>24</v>
      </c>
      <c r="O1133" t="str">
        <f t="shared" si="172"/>
        <v>Temporary Site</v>
      </c>
    </row>
    <row r="1134" spans="1:15" x14ac:dyDescent="0.3">
      <c r="A1134" t="s">
        <v>1052</v>
      </c>
      <c r="B1134" s="2">
        <v>42661</v>
      </c>
      <c r="C1134" s="7">
        <v>0.44513888888888892</v>
      </c>
      <c r="D1134" t="s">
        <v>1053</v>
      </c>
      <c r="E1134" s="2">
        <v>42661</v>
      </c>
      <c r="F1134" s="8">
        <v>0.46458333333333335</v>
      </c>
      <c r="G1134" t="s">
        <v>7</v>
      </c>
      <c r="H1134" s="7">
        <f t="shared" si="169"/>
        <v>1.9444444444444431E-2</v>
      </c>
      <c r="I1134" s="13">
        <f t="shared" si="170"/>
        <v>0.46666666666666667</v>
      </c>
      <c r="J1134" t="s">
        <v>15</v>
      </c>
      <c r="K1134" t="s">
        <v>16</v>
      </c>
      <c r="L1134">
        <v>7.9</v>
      </c>
      <c r="M1134" s="5">
        <f t="shared" si="171"/>
        <v>16.928571428571431</v>
      </c>
      <c r="N1134" t="s">
        <v>24</v>
      </c>
      <c r="O1134" t="str">
        <f t="shared" si="172"/>
        <v>Temporary Site</v>
      </c>
    </row>
    <row r="1135" spans="1:15" x14ac:dyDescent="0.3">
      <c r="A1135" s="1">
        <v>42471.418055555558</v>
      </c>
      <c r="B1135" s="6">
        <f>INT(A1135:A1174)</f>
        <v>42471</v>
      </c>
      <c r="C1135" s="7">
        <f>(A1135-B1135)</f>
        <v>0.4180555555576575</v>
      </c>
      <c r="D1135" s="1">
        <v>42471.429166666669</v>
      </c>
      <c r="E1135" s="6">
        <f>INT(D1135)</f>
        <v>42471</v>
      </c>
      <c r="F1135" s="8">
        <f>D1135-E1135</f>
        <v>0.42916666666860692</v>
      </c>
      <c r="G1135" t="s">
        <v>7</v>
      </c>
      <c r="H1135" s="7">
        <f t="shared" si="169"/>
        <v>1.1111111110949423E-2</v>
      </c>
      <c r="I1135" s="13">
        <f t="shared" si="170"/>
        <v>0.26666666666666666</v>
      </c>
      <c r="J1135" t="s">
        <v>15</v>
      </c>
      <c r="K1135" t="s">
        <v>16</v>
      </c>
      <c r="L1135">
        <v>7.9</v>
      </c>
      <c r="M1135" s="5">
        <f t="shared" si="171"/>
        <v>29.625</v>
      </c>
      <c r="N1135" t="s">
        <v>24</v>
      </c>
      <c r="O1135" t="str">
        <f t="shared" si="172"/>
        <v>Temporary Site</v>
      </c>
    </row>
    <row r="1136" spans="1:15" x14ac:dyDescent="0.3">
      <c r="A1136" s="1">
        <v>42654.406944444447</v>
      </c>
      <c r="B1136" s="6">
        <f>INT(A1136:A1175)</f>
        <v>42654</v>
      </c>
      <c r="C1136" s="7">
        <f>(A1136-B1136)</f>
        <v>0.40694444444670808</v>
      </c>
      <c r="D1136" s="1">
        <v>42654.427083333336</v>
      </c>
      <c r="E1136" s="6">
        <f>INT(D1136)</f>
        <v>42654</v>
      </c>
      <c r="F1136" s="8">
        <f>D1136-E1136</f>
        <v>0.42708333333575865</v>
      </c>
      <c r="G1136" t="s">
        <v>7</v>
      </c>
      <c r="H1136" s="7">
        <f t="shared" si="169"/>
        <v>2.0138888889050577E-2</v>
      </c>
      <c r="I1136" s="13">
        <f t="shared" si="170"/>
        <v>0.48333333333333334</v>
      </c>
      <c r="J1136" t="s">
        <v>472</v>
      </c>
      <c r="K1136" t="s">
        <v>396</v>
      </c>
      <c r="L1136">
        <v>12.6</v>
      </c>
      <c r="M1136" s="5">
        <f t="shared" si="171"/>
        <v>26.068965517241377</v>
      </c>
      <c r="N1136" t="s">
        <v>24</v>
      </c>
      <c r="O1136" t="str">
        <f t="shared" si="172"/>
        <v>Temporary Site</v>
      </c>
    </row>
    <row r="1137" spans="1:15" x14ac:dyDescent="0.3">
      <c r="A1137" s="1">
        <v>42654.636805555558</v>
      </c>
      <c r="B1137" s="6">
        <f>INT(A1137:A1176)</f>
        <v>42654</v>
      </c>
      <c r="C1137" s="7">
        <f>(A1137-B1137)</f>
        <v>0.6368055555576575</v>
      </c>
      <c r="D1137" s="1">
        <v>42654.640277777777</v>
      </c>
      <c r="E1137" s="6">
        <f>INT(D1137)</f>
        <v>42654</v>
      </c>
      <c r="F1137" s="8">
        <f>D1137-E1137</f>
        <v>0.64027777777664596</v>
      </c>
      <c r="G1137" t="s">
        <v>7</v>
      </c>
      <c r="H1137" s="7">
        <f t="shared" si="169"/>
        <v>3.4722222189884633E-3</v>
      </c>
      <c r="I1137" s="13">
        <f t="shared" si="170"/>
        <v>8.3333333333333329E-2</v>
      </c>
      <c r="J1137" t="s">
        <v>396</v>
      </c>
      <c r="K1137" t="s">
        <v>468</v>
      </c>
      <c r="L1137">
        <v>9.9</v>
      </c>
      <c r="M1137" s="5">
        <f t="shared" si="171"/>
        <v>118.80000000000001</v>
      </c>
      <c r="N1137" t="s">
        <v>24</v>
      </c>
      <c r="O1137" t="str">
        <f t="shared" si="172"/>
        <v>Temporary Site</v>
      </c>
    </row>
    <row r="1138" spans="1:15" x14ac:dyDescent="0.3">
      <c r="A1138" t="s">
        <v>1227</v>
      </c>
      <c r="B1138" s="2">
        <v>42689</v>
      </c>
      <c r="C1138" s="7">
        <v>0.58958333333333335</v>
      </c>
      <c r="D1138" t="s">
        <v>1228</v>
      </c>
      <c r="E1138" s="2">
        <v>42689</v>
      </c>
      <c r="F1138" s="8">
        <v>0.60138888888888886</v>
      </c>
      <c r="G1138" t="s">
        <v>7</v>
      </c>
      <c r="H1138" s="7">
        <f t="shared" si="169"/>
        <v>1.1805555555555514E-2</v>
      </c>
      <c r="I1138" s="13">
        <f t="shared" si="170"/>
        <v>0.28333333333333333</v>
      </c>
      <c r="J1138" t="s">
        <v>468</v>
      </c>
      <c r="K1138" t="s">
        <v>396</v>
      </c>
      <c r="L1138">
        <v>9.6999999999999993</v>
      </c>
      <c r="M1138" s="5">
        <f t="shared" si="171"/>
        <v>34.235294117647058</v>
      </c>
      <c r="N1138" t="s">
        <v>24</v>
      </c>
      <c r="O1138" t="str">
        <f t="shared" si="172"/>
        <v>Temporary Site</v>
      </c>
    </row>
    <row r="1139" spans="1:15" x14ac:dyDescent="0.3">
      <c r="A1139" t="s">
        <v>1229</v>
      </c>
      <c r="B1139" s="2">
        <v>42689</v>
      </c>
      <c r="C1139" s="7">
        <v>0.86388888888888893</v>
      </c>
      <c r="D1139" t="s">
        <v>1230</v>
      </c>
      <c r="E1139" s="2">
        <v>42689</v>
      </c>
      <c r="F1139" s="8">
        <v>0.875</v>
      </c>
      <c r="G1139" t="s">
        <v>7</v>
      </c>
      <c r="H1139" s="7">
        <f t="shared" si="169"/>
        <v>1.1111111111111072E-2</v>
      </c>
      <c r="I1139" s="13">
        <f t="shared" si="170"/>
        <v>0.26666666666666666</v>
      </c>
      <c r="J1139" t="s">
        <v>396</v>
      </c>
      <c r="K1139" t="s">
        <v>472</v>
      </c>
      <c r="L1139">
        <v>11.8</v>
      </c>
      <c r="M1139" s="5">
        <f t="shared" si="171"/>
        <v>44.25</v>
      </c>
      <c r="N1139" t="s">
        <v>24</v>
      </c>
      <c r="O1139" t="str">
        <f t="shared" si="172"/>
        <v>Temporary Site</v>
      </c>
    </row>
    <row r="1140" spans="1:15" x14ac:dyDescent="0.3">
      <c r="A1140" t="s">
        <v>1231</v>
      </c>
      <c r="B1140" s="2">
        <v>42690</v>
      </c>
      <c r="C1140" s="7">
        <v>0.84791666666666676</v>
      </c>
      <c r="D1140" t="s">
        <v>1232</v>
      </c>
      <c r="E1140" s="2">
        <v>42690</v>
      </c>
      <c r="F1140" s="8">
        <v>0.8520833333333333</v>
      </c>
      <c r="G1140" t="s">
        <v>7</v>
      </c>
      <c r="H1140" s="7">
        <f t="shared" si="169"/>
        <v>4.1666666666665408E-3</v>
      </c>
      <c r="I1140" s="13">
        <f t="shared" si="170"/>
        <v>0.1</v>
      </c>
      <c r="J1140" t="s">
        <v>472</v>
      </c>
      <c r="K1140" t="s">
        <v>1233</v>
      </c>
      <c r="L1140">
        <v>2.2999999999999998</v>
      </c>
      <c r="M1140" s="5">
        <f t="shared" si="171"/>
        <v>22.999999999999996</v>
      </c>
      <c r="N1140" t="s">
        <v>24</v>
      </c>
      <c r="O1140" t="str">
        <f t="shared" si="172"/>
        <v>Temporary Site</v>
      </c>
    </row>
    <row r="1141" spans="1:15" x14ac:dyDescent="0.3">
      <c r="A1141" t="s">
        <v>1313</v>
      </c>
      <c r="B1141" s="2">
        <v>42704</v>
      </c>
      <c r="C1141" s="7">
        <v>0.49513888888888885</v>
      </c>
      <c r="D1141" t="s">
        <v>1314</v>
      </c>
      <c r="E1141" s="2">
        <v>42704</v>
      </c>
      <c r="F1141" s="8">
        <v>0.52430555555555558</v>
      </c>
      <c r="G1141" t="s">
        <v>7</v>
      </c>
      <c r="H1141" s="7">
        <f t="shared" si="169"/>
        <v>2.916666666666673E-2</v>
      </c>
      <c r="I1141" s="13">
        <f t="shared" si="170"/>
        <v>0.7</v>
      </c>
      <c r="J1141" t="s">
        <v>40</v>
      </c>
      <c r="K1141" t="s">
        <v>16</v>
      </c>
      <c r="L1141">
        <v>6.7</v>
      </c>
      <c r="M1141" s="5">
        <f t="shared" si="171"/>
        <v>9.571428571428573</v>
      </c>
      <c r="N1141" t="s">
        <v>24</v>
      </c>
      <c r="O1141" t="str">
        <f t="shared" si="172"/>
        <v>Temporary Site</v>
      </c>
    </row>
    <row r="1142" spans="1:15" x14ac:dyDescent="0.3">
      <c r="A1142" s="1">
        <v>42625.552083333336</v>
      </c>
      <c r="B1142" s="6">
        <f>INT(A1142:A1181)</f>
        <v>42625</v>
      </c>
      <c r="C1142" s="7">
        <f>(A1142-B1142)</f>
        <v>0.55208333333575865</v>
      </c>
      <c r="D1142" s="1">
        <v>42625.571527777778</v>
      </c>
      <c r="E1142" s="6">
        <f>INT(D1142)</f>
        <v>42625</v>
      </c>
      <c r="F1142" s="8">
        <f>D1142-E1142</f>
        <v>0.57152777777810115</v>
      </c>
      <c r="G1142" t="s">
        <v>7</v>
      </c>
      <c r="H1142" s="7">
        <f t="shared" si="169"/>
        <v>1.9444444442342501E-2</v>
      </c>
      <c r="I1142" s="13">
        <f t="shared" si="170"/>
        <v>0.46666666666666667</v>
      </c>
      <c r="J1142" t="s">
        <v>48</v>
      </c>
      <c r="K1142" t="s">
        <v>15</v>
      </c>
      <c r="L1142">
        <v>8.8000000000000007</v>
      </c>
      <c r="M1142" s="5">
        <f t="shared" si="171"/>
        <v>18.857142857142858</v>
      </c>
      <c r="N1142" t="s">
        <v>24</v>
      </c>
      <c r="O1142" t="str">
        <f t="shared" si="172"/>
        <v>Temporary Site</v>
      </c>
    </row>
    <row r="1143" spans="1:15" x14ac:dyDescent="0.3">
      <c r="A1143" t="s">
        <v>1335</v>
      </c>
      <c r="B1143" s="2">
        <v>42721</v>
      </c>
      <c r="C1143" s="7">
        <v>0.72152777777777777</v>
      </c>
      <c r="D1143" t="s">
        <v>1336</v>
      </c>
      <c r="E1143" s="2">
        <v>42721</v>
      </c>
      <c r="F1143" s="8">
        <v>0.74930555555555556</v>
      </c>
      <c r="G1143" t="s">
        <v>7</v>
      </c>
      <c r="H1143" s="7">
        <f t="shared" si="169"/>
        <v>2.777777777777779E-2</v>
      </c>
      <c r="I1143" s="13">
        <f t="shared" si="170"/>
        <v>0.66666666666666663</v>
      </c>
      <c r="J1143" t="s">
        <v>72</v>
      </c>
      <c r="K1143" t="s">
        <v>72</v>
      </c>
      <c r="L1143">
        <v>5.3</v>
      </c>
      <c r="M1143" s="5">
        <f t="shared" si="171"/>
        <v>7.95</v>
      </c>
      <c r="N1143" t="s">
        <v>24</v>
      </c>
      <c r="O1143" t="str">
        <f t="shared" si="172"/>
        <v>Temporary Site</v>
      </c>
    </row>
    <row r="1144" spans="1:15" x14ac:dyDescent="0.3">
      <c r="A1144" t="s">
        <v>1345</v>
      </c>
      <c r="B1144" s="2">
        <v>42723</v>
      </c>
      <c r="C1144" s="7">
        <v>0.42708333333333331</v>
      </c>
      <c r="D1144" t="s">
        <v>1346</v>
      </c>
      <c r="E1144" s="2">
        <v>42723</v>
      </c>
      <c r="F1144" s="8">
        <v>0.44027777777777777</v>
      </c>
      <c r="G1144" t="s">
        <v>7</v>
      </c>
      <c r="H1144" s="7">
        <f t="shared" si="169"/>
        <v>1.3194444444444453E-2</v>
      </c>
      <c r="I1144" s="13">
        <f t="shared" si="170"/>
        <v>0.31666666666666665</v>
      </c>
      <c r="J1144" t="s">
        <v>88</v>
      </c>
      <c r="K1144" t="s">
        <v>1347</v>
      </c>
      <c r="L1144">
        <v>5.9</v>
      </c>
      <c r="M1144" s="5">
        <f t="shared" si="171"/>
        <v>18.631578947368425</v>
      </c>
      <c r="N1144" t="s">
        <v>24</v>
      </c>
      <c r="O1144" t="str">
        <f t="shared" si="172"/>
        <v>Temporary Site</v>
      </c>
    </row>
    <row r="1145" spans="1:15" x14ac:dyDescent="0.3">
      <c r="A1145" t="s">
        <v>1374</v>
      </c>
      <c r="B1145" s="2">
        <v>42724</v>
      </c>
      <c r="C1145" s="7">
        <v>0.57916666666666672</v>
      </c>
      <c r="D1145" t="s">
        <v>1375</v>
      </c>
      <c r="E1145" s="2">
        <v>42724</v>
      </c>
      <c r="F1145" s="8">
        <v>0.59513888888888888</v>
      </c>
      <c r="G1145" t="s">
        <v>7</v>
      </c>
      <c r="H1145" s="7">
        <f t="shared" si="169"/>
        <v>1.5972222222222165E-2</v>
      </c>
      <c r="I1145" s="13">
        <f t="shared" si="170"/>
        <v>0.38333333333333336</v>
      </c>
      <c r="J1145" t="s">
        <v>72</v>
      </c>
      <c r="K1145" t="s">
        <v>88</v>
      </c>
      <c r="L1145">
        <v>5.7</v>
      </c>
      <c r="M1145" s="5">
        <f t="shared" si="171"/>
        <v>14.869565217391305</v>
      </c>
      <c r="N1145" t="s">
        <v>24</v>
      </c>
      <c r="O1145" t="str">
        <f t="shared" si="172"/>
        <v>Temporary Site</v>
      </c>
    </row>
    <row r="1146" spans="1:15" x14ac:dyDescent="0.3">
      <c r="A1146" t="s">
        <v>1412</v>
      </c>
      <c r="B1146" s="2">
        <v>42726</v>
      </c>
      <c r="C1146" s="7">
        <v>0.77638888888888891</v>
      </c>
      <c r="D1146" t="s">
        <v>1413</v>
      </c>
      <c r="E1146" s="2">
        <v>42726</v>
      </c>
      <c r="F1146" s="8">
        <v>0.78263888888888899</v>
      </c>
      <c r="G1146" t="s">
        <v>7</v>
      </c>
      <c r="H1146" s="7">
        <f t="shared" si="169"/>
        <v>6.2500000000000888E-3</v>
      </c>
      <c r="I1146" s="13">
        <f t="shared" si="170"/>
        <v>0.15</v>
      </c>
      <c r="J1146" t="s">
        <v>72</v>
      </c>
      <c r="K1146" t="s">
        <v>72</v>
      </c>
      <c r="L1146">
        <v>12.3</v>
      </c>
      <c r="M1146" s="5">
        <f t="shared" si="171"/>
        <v>82.000000000000014</v>
      </c>
      <c r="N1146" t="s">
        <v>24</v>
      </c>
      <c r="O1146" t="str">
        <f t="shared" si="172"/>
        <v>Temporary Site</v>
      </c>
    </row>
    <row r="1147" spans="1:15" x14ac:dyDescent="0.3">
      <c r="A1147" t="s">
        <v>1462</v>
      </c>
      <c r="B1147" s="2">
        <v>42731</v>
      </c>
      <c r="C1147" s="7">
        <v>0.29305555555555557</v>
      </c>
      <c r="D1147" t="s">
        <v>1463</v>
      </c>
      <c r="E1147" s="2">
        <v>42731</v>
      </c>
      <c r="F1147" s="8">
        <v>0.30138888888888887</v>
      </c>
      <c r="G1147" t="s">
        <v>7</v>
      </c>
      <c r="H1147" s="7">
        <f t="shared" si="169"/>
        <v>8.3333333333333037E-3</v>
      </c>
      <c r="I1147" s="13">
        <f t="shared" si="170"/>
        <v>0.2</v>
      </c>
      <c r="J1147" t="s">
        <v>1464</v>
      </c>
      <c r="K1147" t="s">
        <v>1464</v>
      </c>
      <c r="L1147">
        <v>4.9000000000000004</v>
      </c>
      <c r="M1147" s="5">
        <f t="shared" si="171"/>
        <v>24.5</v>
      </c>
      <c r="N1147" t="s">
        <v>24</v>
      </c>
      <c r="O1147" t="str">
        <f t="shared" si="172"/>
        <v>Temporary Site</v>
      </c>
    </row>
    <row r="1148" spans="1:15" x14ac:dyDescent="0.3">
      <c r="A1148" t="s">
        <v>1527</v>
      </c>
      <c r="B1148" s="2">
        <v>42735</v>
      </c>
      <c r="C1148" s="7">
        <v>0.55833333333333335</v>
      </c>
      <c r="D1148" t="s">
        <v>1528</v>
      </c>
      <c r="E1148" s="2">
        <v>42735</v>
      </c>
      <c r="F1148" s="8">
        <v>0.5708333333333333</v>
      </c>
      <c r="G1148" t="s">
        <v>7</v>
      </c>
      <c r="H1148" s="7">
        <f t="shared" si="169"/>
        <v>1.2499999999999956E-2</v>
      </c>
      <c r="I1148" s="13">
        <f t="shared" si="170"/>
        <v>0.3</v>
      </c>
      <c r="J1148" t="s">
        <v>1464</v>
      </c>
      <c r="K1148" t="s">
        <v>72</v>
      </c>
      <c r="L1148">
        <v>3.9</v>
      </c>
      <c r="M1148" s="5">
        <f t="shared" si="171"/>
        <v>13</v>
      </c>
      <c r="N1148" t="s">
        <v>24</v>
      </c>
      <c r="O1148" t="str">
        <f t="shared" si="172"/>
        <v>Temporary Site</v>
      </c>
    </row>
    <row r="1149" spans="1:15" x14ac:dyDescent="0.3">
      <c r="A1149" t="s">
        <v>1531</v>
      </c>
      <c r="B1149" s="2">
        <v>42735</v>
      </c>
      <c r="C1149" s="7">
        <v>0.89722222222222225</v>
      </c>
      <c r="D1149" t="s">
        <v>1532</v>
      </c>
      <c r="E1149" s="2">
        <v>42735</v>
      </c>
      <c r="F1149" s="8">
        <v>0.90972222222222221</v>
      </c>
      <c r="G1149" t="s">
        <v>7</v>
      </c>
      <c r="H1149" s="7">
        <f t="shared" si="169"/>
        <v>1.2499999999999956E-2</v>
      </c>
      <c r="I1149" s="13">
        <f t="shared" si="170"/>
        <v>0.3</v>
      </c>
      <c r="J1149" t="s">
        <v>1533</v>
      </c>
      <c r="K1149" t="s">
        <v>1534</v>
      </c>
      <c r="L1149">
        <v>6.4</v>
      </c>
      <c r="M1149" s="5">
        <f t="shared" si="171"/>
        <v>21.333333333333336</v>
      </c>
      <c r="N1149" t="s">
        <v>24</v>
      </c>
      <c r="O1149" t="str">
        <f t="shared" si="172"/>
        <v>Temporary Site</v>
      </c>
    </row>
    <row r="1150" spans="1:15" x14ac:dyDescent="0.3">
      <c r="A1150" t="s">
        <v>1535</v>
      </c>
      <c r="B1150" s="2">
        <v>42735</v>
      </c>
      <c r="C1150" s="7">
        <v>0.92222222222222217</v>
      </c>
      <c r="D1150" t="s">
        <v>1536</v>
      </c>
      <c r="E1150" s="2">
        <v>42735</v>
      </c>
      <c r="F1150" s="8">
        <v>0.99375000000000002</v>
      </c>
      <c r="G1150" t="s">
        <v>7</v>
      </c>
      <c r="H1150" s="7">
        <f t="shared" si="169"/>
        <v>7.1527777777777857E-2</v>
      </c>
      <c r="I1150" s="13">
        <f t="shared" si="170"/>
        <v>1.7166666666666666</v>
      </c>
      <c r="J1150" t="s">
        <v>1534</v>
      </c>
      <c r="K1150" t="s">
        <v>1537</v>
      </c>
      <c r="L1150">
        <v>48.2</v>
      </c>
      <c r="M1150" s="5">
        <f t="shared" si="171"/>
        <v>28.077669902912625</v>
      </c>
      <c r="N1150" t="s">
        <v>24</v>
      </c>
      <c r="O1150" t="str">
        <f t="shared" si="172"/>
        <v>Temporary Site</v>
      </c>
    </row>
  </sheetData>
  <autoFilter ref="A1:O1" xr:uid="{00000000-0001-0000-0000-000000000000}"/>
  <sortState xmlns:xlrd2="http://schemas.microsoft.com/office/spreadsheetml/2017/richdata2" ref="O2:O1150">
    <sortCondition ref="O2:O1150"/>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6347F-6499-4D59-BEA7-780161BE6646}">
  <sheetPr codeName="Sheet4"/>
  <dimension ref="A1:F3"/>
  <sheetViews>
    <sheetView tabSelected="1" workbookViewId="0">
      <selection activeCell="B4" sqref="B4"/>
    </sheetView>
  </sheetViews>
  <sheetFormatPr defaultRowHeight="14.4" x14ac:dyDescent="0.3"/>
  <cols>
    <col min="1" max="16384" width="8.88671875" style="31"/>
  </cols>
  <sheetData>
    <row r="1" spans="1:6" ht="31.2" customHeight="1" x14ac:dyDescent="0.3">
      <c r="A1" s="32" t="s">
        <v>1592</v>
      </c>
      <c r="B1" s="32"/>
      <c r="C1" s="32"/>
      <c r="D1" s="32"/>
      <c r="E1" s="32"/>
      <c r="F1" s="32"/>
    </row>
    <row r="2" spans="1:6" ht="14.4" customHeight="1" x14ac:dyDescent="0.3">
      <c r="A2" s="32"/>
      <c r="B2" s="32"/>
      <c r="C2" s="32"/>
      <c r="D2" s="32"/>
      <c r="E2" s="32"/>
      <c r="F2" s="32"/>
    </row>
    <row r="3" spans="1:6" ht="14.4" customHeight="1" x14ac:dyDescent="0.3">
      <c r="A3" s="32"/>
      <c r="B3" s="32"/>
      <c r="C3" s="32"/>
      <c r="D3" s="32"/>
      <c r="E3" s="32"/>
      <c r="F3" s="32"/>
    </row>
  </sheetData>
  <mergeCells count="1">
    <mergeCell ref="A1:F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AD666-0312-4331-BC56-9BD3585E56F6}">
  <sheetPr codeName="Sheet5"/>
  <dimension ref="A1:X23"/>
  <sheetViews>
    <sheetView showGridLines="0" workbookViewId="0">
      <selection activeCell="A2" sqref="A2:W23"/>
    </sheetView>
  </sheetViews>
  <sheetFormatPr defaultRowHeight="14.4" x14ac:dyDescent="0.3"/>
  <sheetData>
    <row r="1" spans="1:24" ht="25.8" x14ac:dyDescent="0.5">
      <c r="A1" s="27" t="s">
        <v>1568</v>
      </c>
      <c r="B1" s="28"/>
      <c r="C1" s="28"/>
      <c r="D1" s="28"/>
      <c r="E1" s="28"/>
      <c r="F1" s="28"/>
      <c r="G1" s="28"/>
      <c r="H1" s="28"/>
      <c r="I1" s="28"/>
      <c r="J1" s="28"/>
      <c r="K1" s="28"/>
      <c r="L1" s="28"/>
      <c r="M1" s="28"/>
      <c r="N1" s="28"/>
      <c r="O1" s="28"/>
      <c r="P1" s="28"/>
      <c r="Q1" s="28"/>
      <c r="R1" s="28"/>
      <c r="S1" s="28"/>
      <c r="T1" s="28"/>
      <c r="U1" s="28"/>
      <c r="V1" s="28"/>
      <c r="W1" s="28"/>
      <c r="X1" s="28"/>
    </row>
    <row r="2" spans="1:24" s="18" customFormat="1" ht="21" x14ac:dyDescent="0.3">
      <c r="A2" s="25"/>
      <c r="B2" s="25"/>
      <c r="C2" s="25"/>
      <c r="D2" s="25"/>
      <c r="E2" s="25"/>
      <c r="F2" s="25"/>
      <c r="G2" s="25"/>
      <c r="H2" s="25"/>
      <c r="I2" s="25"/>
      <c r="J2" s="25"/>
      <c r="K2" s="25"/>
      <c r="L2" s="25"/>
      <c r="M2" s="25"/>
      <c r="N2" s="25"/>
      <c r="O2" s="25"/>
      <c r="P2" s="25"/>
      <c r="Q2" s="25"/>
      <c r="R2" s="25"/>
      <c r="S2" s="25"/>
      <c r="T2" s="25"/>
      <c r="U2" s="25"/>
      <c r="V2" s="25"/>
      <c r="W2" s="25"/>
      <c r="X2" s="20"/>
    </row>
    <row r="3" spans="1:24" s="19" customFormat="1" ht="21" x14ac:dyDescent="0.3">
      <c r="A3" s="26" t="s">
        <v>1581</v>
      </c>
      <c r="B3" s="26"/>
      <c r="C3" s="26"/>
      <c r="D3" s="26"/>
      <c r="E3" s="26"/>
      <c r="F3" s="26"/>
      <c r="G3" s="26"/>
      <c r="H3" s="26"/>
      <c r="I3" s="26"/>
      <c r="J3" s="26"/>
      <c r="K3" s="26"/>
      <c r="L3" s="26"/>
      <c r="M3" s="26"/>
      <c r="N3" s="26"/>
      <c r="O3" s="26"/>
      <c r="P3" s="26"/>
      <c r="Q3" s="26"/>
      <c r="R3" s="26"/>
      <c r="S3" s="26"/>
      <c r="T3" s="26"/>
      <c r="U3" s="26"/>
      <c r="V3" s="26"/>
    </row>
    <row r="4" spans="1:24" ht="21" x14ac:dyDescent="0.3">
      <c r="A4" s="25" t="s">
        <v>1569</v>
      </c>
      <c r="B4" s="25"/>
      <c r="C4" s="25"/>
      <c r="D4" s="25"/>
      <c r="E4" s="25"/>
      <c r="F4" s="25"/>
      <c r="G4" s="25"/>
      <c r="H4" s="25"/>
      <c r="I4" s="25"/>
      <c r="J4" s="25"/>
      <c r="K4" s="25"/>
      <c r="L4" s="25"/>
      <c r="M4" s="25"/>
      <c r="N4" s="25"/>
      <c r="O4" s="25"/>
      <c r="P4" s="25"/>
      <c r="Q4" s="25"/>
      <c r="R4" s="25"/>
      <c r="S4" s="25"/>
    </row>
    <row r="5" spans="1:24" ht="21" x14ac:dyDescent="0.3">
      <c r="A5" s="26" t="s">
        <v>1582</v>
      </c>
      <c r="B5" s="26"/>
      <c r="C5" s="26"/>
      <c r="D5" s="26"/>
      <c r="E5" s="26"/>
      <c r="F5" s="26"/>
      <c r="G5" s="26"/>
      <c r="H5" s="26"/>
      <c r="I5" s="26"/>
      <c r="J5" s="26"/>
      <c r="K5" s="26"/>
      <c r="L5" s="26"/>
      <c r="M5" s="26"/>
      <c r="N5" s="26"/>
      <c r="O5" s="26"/>
      <c r="P5" s="26"/>
      <c r="Q5" s="26"/>
      <c r="R5" s="26"/>
      <c r="S5" s="26"/>
      <c r="T5" s="26"/>
      <c r="U5" s="26"/>
      <c r="V5" s="26"/>
      <c r="W5" s="26"/>
    </row>
    <row r="6" spans="1:24" ht="21" x14ac:dyDescent="0.3">
      <c r="A6" s="21" t="s">
        <v>1570</v>
      </c>
      <c r="B6" s="21"/>
      <c r="C6" s="21"/>
      <c r="D6" s="21"/>
      <c r="E6" s="21"/>
      <c r="F6" s="21"/>
      <c r="G6" s="21"/>
      <c r="H6" s="21"/>
      <c r="I6" s="21"/>
      <c r="J6" s="21"/>
    </row>
    <row r="7" spans="1:24" ht="21" x14ac:dyDescent="0.3">
      <c r="A7" s="26" t="s">
        <v>1591</v>
      </c>
      <c r="B7" s="26"/>
      <c r="C7" s="26"/>
      <c r="D7" s="26"/>
      <c r="E7" s="26"/>
      <c r="F7" s="26"/>
      <c r="G7" s="26"/>
      <c r="H7" s="26"/>
      <c r="I7" s="26"/>
      <c r="J7" s="26"/>
      <c r="K7" s="26"/>
      <c r="L7" s="26"/>
      <c r="M7" s="26"/>
      <c r="N7" s="26"/>
      <c r="O7" s="26"/>
      <c r="P7" s="26"/>
      <c r="Q7" s="26"/>
      <c r="R7" s="26"/>
      <c r="S7" s="26"/>
      <c r="T7" s="26"/>
      <c r="U7" s="26"/>
    </row>
    <row r="8" spans="1:24" ht="21" x14ac:dyDescent="0.3">
      <c r="A8" s="21" t="s">
        <v>1571</v>
      </c>
      <c r="B8" s="21"/>
      <c r="C8" s="21"/>
      <c r="D8" s="21"/>
      <c r="E8" s="21"/>
      <c r="F8" s="21"/>
      <c r="G8" s="21"/>
      <c r="H8" s="21"/>
      <c r="I8" s="21"/>
      <c r="J8" s="21"/>
      <c r="M8" s="29"/>
      <c r="N8" s="29"/>
      <c r="O8" s="29"/>
      <c r="P8" s="29"/>
      <c r="Q8" s="29"/>
      <c r="R8" s="29"/>
      <c r="S8" s="29"/>
      <c r="T8" s="29"/>
      <c r="U8" s="29"/>
    </row>
    <row r="9" spans="1:24" ht="21" x14ac:dyDescent="0.3">
      <c r="A9" s="22" t="s">
        <v>1583</v>
      </c>
      <c r="B9" s="22"/>
      <c r="C9" s="22"/>
      <c r="D9" s="22"/>
      <c r="E9" s="22"/>
      <c r="F9" s="22"/>
      <c r="G9" s="22"/>
      <c r="H9" s="22"/>
      <c r="I9" s="22"/>
      <c r="J9" s="22"/>
    </row>
    <row r="10" spans="1:24" ht="21" x14ac:dyDescent="0.3">
      <c r="A10" s="21" t="s">
        <v>1572</v>
      </c>
      <c r="B10" s="21"/>
      <c r="C10" s="21"/>
      <c r="D10" s="21"/>
      <c r="E10" s="21"/>
      <c r="F10" s="21"/>
      <c r="G10" s="21"/>
      <c r="H10" s="21"/>
      <c r="I10" s="21"/>
      <c r="J10" s="21"/>
    </row>
    <row r="11" spans="1:24" ht="21" x14ac:dyDescent="0.3">
      <c r="A11" s="22" t="s">
        <v>1584</v>
      </c>
      <c r="B11" s="22"/>
      <c r="C11" s="22"/>
      <c r="D11" s="22"/>
      <c r="E11" s="22"/>
      <c r="F11" s="22"/>
      <c r="G11" s="22"/>
      <c r="H11" s="22"/>
      <c r="I11" s="22"/>
      <c r="J11" s="22"/>
    </row>
    <row r="12" spans="1:24" ht="21" x14ac:dyDescent="0.3">
      <c r="A12" s="21" t="s">
        <v>1573</v>
      </c>
      <c r="B12" s="21"/>
      <c r="C12" s="21"/>
      <c r="D12" s="21"/>
      <c r="E12" s="21"/>
      <c r="F12" s="21"/>
      <c r="G12" s="21"/>
      <c r="H12" s="21"/>
      <c r="I12" s="21"/>
      <c r="J12" s="21"/>
    </row>
    <row r="13" spans="1:24" ht="21" x14ac:dyDescent="0.3">
      <c r="A13" s="22" t="s">
        <v>1585</v>
      </c>
      <c r="B13" s="22"/>
      <c r="C13" s="22"/>
      <c r="D13" s="22"/>
      <c r="E13" s="22"/>
      <c r="F13" s="22"/>
      <c r="G13" s="22"/>
      <c r="H13" s="22"/>
      <c r="I13" s="22"/>
      <c r="J13" s="22"/>
    </row>
    <row r="14" spans="1:24" ht="21" x14ac:dyDescent="0.3">
      <c r="A14" s="21" t="s">
        <v>1574</v>
      </c>
      <c r="B14" s="21"/>
      <c r="C14" s="21"/>
      <c r="D14" s="21"/>
      <c r="E14" s="21"/>
      <c r="F14" s="21"/>
      <c r="G14" s="21"/>
      <c r="H14" s="21"/>
      <c r="I14" s="21"/>
      <c r="J14" s="21"/>
    </row>
    <row r="15" spans="1:24" ht="21" x14ac:dyDescent="0.3">
      <c r="A15" s="22" t="s">
        <v>1586</v>
      </c>
      <c r="B15" s="22"/>
      <c r="C15" s="22"/>
      <c r="D15" s="22"/>
      <c r="E15" s="22"/>
      <c r="F15" s="22"/>
      <c r="G15" s="22"/>
      <c r="H15" s="22"/>
      <c r="I15" s="22"/>
      <c r="J15" s="22"/>
    </row>
    <row r="16" spans="1:24" ht="21" x14ac:dyDescent="0.3">
      <c r="A16" s="21" t="s">
        <v>1575</v>
      </c>
      <c r="B16" s="21"/>
      <c r="C16" s="21"/>
      <c r="D16" s="21"/>
      <c r="E16" s="21"/>
      <c r="F16" s="21"/>
      <c r="G16" s="21"/>
      <c r="H16" s="21"/>
      <c r="I16" s="21"/>
      <c r="J16" s="21"/>
    </row>
    <row r="17" spans="1:10" ht="21" x14ac:dyDescent="0.3">
      <c r="A17" s="22" t="s">
        <v>1587</v>
      </c>
      <c r="B17" s="22"/>
      <c r="C17" s="22"/>
      <c r="D17" s="22"/>
      <c r="E17" s="22"/>
      <c r="F17" s="22"/>
      <c r="G17" s="22"/>
      <c r="H17" s="22"/>
      <c r="I17" s="22"/>
      <c r="J17" s="22"/>
    </row>
    <row r="18" spans="1:10" ht="21" x14ac:dyDescent="0.3">
      <c r="A18" s="21" t="s">
        <v>1576</v>
      </c>
      <c r="B18" s="21"/>
      <c r="C18" s="21"/>
      <c r="D18" s="21"/>
      <c r="E18" s="21"/>
      <c r="F18" s="21"/>
      <c r="G18" s="21"/>
      <c r="H18" s="21"/>
      <c r="I18" s="21"/>
      <c r="J18" s="21"/>
    </row>
    <row r="19" spans="1:10" ht="21" x14ac:dyDescent="0.3">
      <c r="A19" s="22" t="s">
        <v>1588</v>
      </c>
      <c r="B19" s="22"/>
      <c r="C19" s="22"/>
      <c r="D19" s="22"/>
      <c r="E19" s="22"/>
      <c r="F19" s="22"/>
      <c r="G19" s="22"/>
      <c r="H19" s="22"/>
      <c r="I19" s="22"/>
      <c r="J19" s="22"/>
    </row>
    <row r="20" spans="1:10" ht="21" x14ac:dyDescent="0.3">
      <c r="A20" s="21" t="s">
        <v>1577</v>
      </c>
      <c r="B20" s="21"/>
      <c r="C20" s="21"/>
      <c r="D20" s="21"/>
      <c r="E20" s="21"/>
      <c r="F20" s="21"/>
      <c r="G20" s="21"/>
      <c r="H20" s="21"/>
      <c r="I20" s="21"/>
      <c r="J20" s="21"/>
    </row>
    <row r="21" spans="1:10" ht="21" x14ac:dyDescent="0.3">
      <c r="A21" s="22" t="s">
        <v>1589</v>
      </c>
      <c r="B21" s="22"/>
      <c r="C21" s="22"/>
      <c r="D21" s="22"/>
      <c r="E21" s="22"/>
      <c r="F21" s="22"/>
      <c r="G21" s="22"/>
      <c r="H21" s="22"/>
      <c r="I21" s="22"/>
      <c r="J21" s="22"/>
    </row>
    <row r="22" spans="1:10" ht="21" x14ac:dyDescent="0.3">
      <c r="A22" s="21" t="s">
        <v>1578</v>
      </c>
      <c r="B22" s="21"/>
      <c r="C22" s="21"/>
      <c r="D22" s="21"/>
      <c r="E22" s="21"/>
      <c r="F22" s="21"/>
      <c r="G22" s="21"/>
      <c r="H22" s="21"/>
      <c r="I22" s="21"/>
      <c r="J22" s="21"/>
    </row>
    <row r="23" spans="1:10" ht="21" x14ac:dyDescent="0.3">
      <c r="A23" s="22" t="s">
        <v>1590</v>
      </c>
      <c r="B23" s="22"/>
      <c r="C23" s="22"/>
      <c r="D23" s="22"/>
      <c r="E23" s="22"/>
      <c r="F23" s="22"/>
      <c r="G23" s="22"/>
      <c r="H23" s="22"/>
      <c r="I23" s="22"/>
      <c r="J23" s="22"/>
    </row>
  </sheetData>
  <mergeCells count="7">
    <mergeCell ref="A2:W2"/>
    <mergeCell ref="A3:V3"/>
    <mergeCell ref="A1:X1"/>
    <mergeCell ref="M8:U8"/>
    <mergeCell ref="A4:S4"/>
    <mergeCell ref="A5:W5"/>
    <mergeCell ref="A7:U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BF282-C8B5-4D1D-9321-6D714FB28F93}">
  <sheetPr codeName="Sheet1"/>
  <dimension ref="A3:B11"/>
  <sheetViews>
    <sheetView workbookViewId="0">
      <selection activeCell="A3" sqref="A3"/>
    </sheetView>
  </sheetViews>
  <sheetFormatPr defaultRowHeight="14.4" x14ac:dyDescent="0.3"/>
  <cols>
    <col min="1" max="1" width="26.77734375" bestFit="1" customWidth="1"/>
    <col min="2" max="2" width="17.33203125" bestFit="1" customWidth="1"/>
    <col min="3" max="4" width="17.5546875" bestFit="1" customWidth="1"/>
  </cols>
  <sheetData>
    <row r="3" spans="1:2" x14ac:dyDescent="0.3">
      <c r="A3" s="14" t="s">
        <v>1596</v>
      </c>
      <c r="B3" t="s">
        <v>1594</v>
      </c>
    </row>
    <row r="4" spans="1:2" x14ac:dyDescent="0.3">
      <c r="A4" s="15" t="s">
        <v>1610</v>
      </c>
      <c r="B4" s="30">
        <v>172</v>
      </c>
    </row>
    <row r="5" spans="1:2" x14ac:dyDescent="0.3">
      <c r="A5" s="15" t="s">
        <v>1614</v>
      </c>
      <c r="B5" s="30">
        <v>172</v>
      </c>
    </row>
    <row r="6" spans="1:2" x14ac:dyDescent="0.3">
      <c r="A6" s="15" t="s">
        <v>1615</v>
      </c>
      <c r="B6" s="30">
        <v>137</v>
      </c>
    </row>
    <row r="7" spans="1:2" x14ac:dyDescent="0.3">
      <c r="A7" s="15" t="s">
        <v>1616</v>
      </c>
      <c r="B7" s="30">
        <v>156</v>
      </c>
    </row>
    <row r="8" spans="1:2" x14ac:dyDescent="0.3">
      <c r="A8" s="15" t="s">
        <v>1617</v>
      </c>
      <c r="B8" s="30">
        <v>184</v>
      </c>
    </row>
    <row r="9" spans="1:2" x14ac:dyDescent="0.3">
      <c r="A9" s="15" t="s">
        <v>1618</v>
      </c>
      <c r="B9" s="30">
        <v>155</v>
      </c>
    </row>
    <row r="10" spans="1:2" x14ac:dyDescent="0.3">
      <c r="A10" s="15" t="s">
        <v>1619</v>
      </c>
      <c r="B10" s="30">
        <v>173</v>
      </c>
    </row>
    <row r="11" spans="1:2" x14ac:dyDescent="0.3">
      <c r="A11" s="15" t="s">
        <v>1553</v>
      </c>
      <c r="B11" s="30">
        <v>1149</v>
      </c>
    </row>
  </sheetData>
  <sortState xmlns:xlrd2="http://schemas.microsoft.com/office/spreadsheetml/2017/richdata2" ref="A3:B296">
    <sortCondition ref="A4" customList="Monday,Tuesday,Wednesday,Thursday,Friday,Saturday,Sunday"/>
  </sortState>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A5154-E4F2-444E-BFE8-58C378269344}">
  <dimension ref="A3:B27"/>
  <sheetViews>
    <sheetView workbookViewId="0">
      <selection activeCell="A3" sqref="A3"/>
    </sheetView>
  </sheetViews>
  <sheetFormatPr defaultRowHeight="14.4" x14ac:dyDescent="0.3"/>
  <cols>
    <col min="1" max="1" width="12.5546875" bestFit="1" customWidth="1"/>
    <col min="2" max="2" width="17.5546875" bestFit="1" customWidth="1"/>
  </cols>
  <sheetData>
    <row r="3" spans="1:2" x14ac:dyDescent="0.3">
      <c r="A3" s="14" t="s">
        <v>1593</v>
      </c>
      <c r="B3" t="s">
        <v>1595</v>
      </c>
    </row>
    <row r="4" spans="1:2" x14ac:dyDescent="0.3">
      <c r="A4" s="23" t="s">
        <v>1599</v>
      </c>
      <c r="B4" s="30">
        <v>19</v>
      </c>
    </row>
    <row r="5" spans="1:2" x14ac:dyDescent="0.3">
      <c r="A5" s="23" t="s">
        <v>1611</v>
      </c>
      <c r="B5" s="30">
        <v>5</v>
      </c>
    </row>
    <row r="6" spans="1:2" x14ac:dyDescent="0.3">
      <c r="A6" s="23" t="s">
        <v>1620</v>
      </c>
      <c r="B6" s="30">
        <v>2</v>
      </c>
    </row>
    <row r="7" spans="1:2" x14ac:dyDescent="0.3">
      <c r="A7" s="23" t="s">
        <v>1600</v>
      </c>
      <c r="B7" s="30">
        <v>3</v>
      </c>
    </row>
    <row r="8" spans="1:2" x14ac:dyDescent="0.3">
      <c r="A8" s="23" t="s">
        <v>1612</v>
      </c>
      <c r="B8" s="30">
        <v>4</v>
      </c>
    </row>
    <row r="9" spans="1:2" x14ac:dyDescent="0.3">
      <c r="A9" s="23" t="s">
        <v>1601</v>
      </c>
      <c r="B9" s="30">
        <v>4</v>
      </c>
    </row>
    <row r="10" spans="1:2" x14ac:dyDescent="0.3">
      <c r="A10" s="23" t="s">
        <v>1602</v>
      </c>
      <c r="B10" s="30">
        <v>12</v>
      </c>
    </row>
    <row r="11" spans="1:2" x14ac:dyDescent="0.3">
      <c r="A11" s="23" t="s">
        <v>1603</v>
      </c>
      <c r="B11" s="30">
        <v>35</v>
      </c>
    </row>
    <row r="12" spans="1:2" x14ac:dyDescent="0.3">
      <c r="A12" s="23" t="s">
        <v>1604</v>
      </c>
      <c r="B12" s="30">
        <v>51</v>
      </c>
    </row>
    <row r="13" spans="1:2" x14ac:dyDescent="0.3">
      <c r="A13" s="23" t="s">
        <v>1554</v>
      </c>
      <c r="B13" s="30">
        <v>64</v>
      </c>
    </row>
    <row r="14" spans="1:2" x14ac:dyDescent="0.3">
      <c r="A14" s="23" t="s">
        <v>1555</v>
      </c>
      <c r="B14" s="30">
        <v>72</v>
      </c>
    </row>
    <row r="15" spans="1:2" x14ac:dyDescent="0.3">
      <c r="A15" s="23" t="s">
        <v>1556</v>
      </c>
      <c r="B15" s="30">
        <v>77</v>
      </c>
    </row>
    <row r="16" spans="1:2" x14ac:dyDescent="0.3">
      <c r="A16" s="23" t="s">
        <v>1605</v>
      </c>
      <c r="B16" s="30">
        <v>93</v>
      </c>
    </row>
    <row r="17" spans="1:2" x14ac:dyDescent="0.3">
      <c r="A17" s="23" t="s">
        <v>1606</v>
      </c>
      <c r="B17" s="30">
        <v>89</v>
      </c>
    </row>
    <row r="18" spans="1:2" x14ac:dyDescent="0.3">
      <c r="A18" s="23" t="s">
        <v>1557</v>
      </c>
      <c r="B18" s="30">
        <v>97</v>
      </c>
    </row>
    <row r="19" spans="1:2" x14ac:dyDescent="0.3">
      <c r="A19" s="23" t="s">
        <v>1607</v>
      </c>
      <c r="B19" s="30">
        <v>88</v>
      </c>
    </row>
    <row r="20" spans="1:2" x14ac:dyDescent="0.3">
      <c r="A20" s="23" t="s">
        <v>1558</v>
      </c>
      <c r="B20" s="30">
        <v>94</v>
      </c>
    </row>
    <row r="21" spans="1:2" x14ac:dyDescent="0.3">
      <c r="A21" s="23" t="s">
        <v>1608</v>
      </c>
      <c r="B21" s="30">
        <v>94</v>
      </c>
    </row>
    <row r="22" spans="1:2" x14ac:dyDescent="0.3">
      <c r="A22" s="23" t="s">
        <v>1559</v>
      </c>
      <c r="B22" s="30">
        <v>68</v>
      </c>
    </row>
    <row r="23" spans="1:2" x14ac:dyDescent="0.3">
      <c r="A23" s="23" t="s">
        <v>1560</v>
      </c>
      <c r="B23" s="30">
        <v>71</v>
      </c>
    </row>
    <row r="24" spans="1:2" x14ac:dyDescent="0.3">
      <c r="A24" s="23" t="s">
        <v>1561</v>
      </c>
      <c r="B24" s="30">
        <v>51</v>
      </c>
    </row>
    <row r="25" spans="1:2" x14ac:dyDescent="0.3">
      <c r="A25" s="23" t="s">
        <v>1562</v>
      </c>
      <c r="B25" s="30">
        <v>31</v>
      </c>
    </row>
    <row r="26" spans="1:2" x14ac:dyDescent="0.3">
      <c r="A26" s="23" t="s">
        <v>1609</v>
      </c>
      <c r="B26" s="30">
        <v>25</v>
      </c>
    </row>
    <row r="27" spans="1:2" x14ac:dyDescent="0.3">
      <c r="A27" s="23" t="s">
        <v>1553</v>
      </c>
      <c r="B27" s="30">
        <v>1149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A67B1-BFAB-459E-A7CC-16CD9CC9B913}">
  <sheetPr codeName="Sheet9"/>
  <dimension ref="A3:B9"/>
  <sheetViews>
    <sheetView showGridLines="0" showRowColHeaders="0" workbookViewId="0">
      <selection activeCell="A4" sqref="A4:A14"/>
    </sheetView>
  </sheetViews>
  <sheetFormatPr defaultRowHeight="14.4" x14ac:dyDescent="0.3"/>
  <cols>
    <col min="1" max="1" width="16.44140625" bestFit="1" customWidth="1"/>
    <col min="2" max="2" width="15.21875" bestFit="1" customWidth="1"/>
    <col min="3" max="3" width="14.33203125" bestFit="1" customWidth="1"/>
  </cols>
  <sheetData>
    <row r="3" spans="1:2" x14ac:dyDescent="0.3">
      <c r="A3" s="14" t="s">
        <v>1567</v>
      </c>
      <c r="B3" t="s">
        <v>1564</v>
      </c>
    </row>
    <row r="4" spans="1:2" x14ac:dyDescent="0.3">
      <c r="A4" s="15" t="s">
        <v>88</v>
      </c>
      <c r="B4" s="30">
        <v>56</v>
      </c>
    </row>
    <row r="5" spans="1:2" x14ac:dyDescent="0.3">
      <c r="A5" s="15" t="s">
        <v>38</v>
      </c>
      <c r="B5" s="30">
        <v>68</v>
      </c>
    </row>
    <row r="6" spans="1:2" x14ac:dyDescent="0.3">
      <c r="A6" s="15" t="s">
        <v>16</v>
      </c>
      <c r="B6" s="30">
        <v>85</v>
      </c>
    </row>
    <row r="7" spans="1:2" x14ac:dyDescent="0.3">
      <c r="A7" s="15" t="s">
        <v>72</v>
      </c>
      <c r="B7" s="30">
        <v>146</v>
      </c>
    </row>
    <row r="8" spans="1:2" x14ac:dyDescent="0.3">
      <c r="A8" s="15" t="s">
        <v>15</v>
      </c>
      <c r="B8" s="30">
        <v>201</v>
      </c>
    </row>
    <row r="9" spans="1:2" x14ac:dyDescent="0.3">
      <c r="A9" s="15" t="s">
        <v>1553</v>
      </c>
      <c r="B9" s="30">
        <v>556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24E26-A4C4-457B-9113-BAE602613FE5}">
  <sheetPr codeName="Sheet8"/>
  <dimension ref="A3:B9"/>
  <sheetViews>
    <sheetView showGridLines="0" topLeftCell="E1" workbookViewId="0">
      <selection activeCell="B2" sqref="B2"/>
    </sheetView>
  </sheetViews>
  <sheetFormatPr defaultRowHeight="14.4" x14ac:dyDescent="0.3"/>
  <cols>
    <col min="1" max="1" width="16.44140625" bestFit="1" customWidth="1"/>
    <col min="2" max="3" width="14.33203125" bestFit="1" customWidth="1"/>
  </cols>
  <sheetData>
    <row r="3" spans="1:2" x14ac:dyDescent="0.3">
      <c r="A3" s="14" t="s">
        <v>1566</v>
      </c>
      <c r="B3" t="s">
        <v>1565</v>
      </c>
    </row>
    <row r="4" spans="1:2" x14ac:dyDescent="0.3">
      <c r="A4" s="15" t="s">
        <v>88</v>
      </c>
      <c r="B4" s="30">
        <v>57</v>
      </c>
    </row>
    <row r="5" spans="1:2" x14ac:dyDescent="0.3">
      <c r="A5" s="15" t="s">
        <v>38</v>
      </c>
      <c r="B5" s="30">
        <v>65</v>
      </c>
    </row>
    <row r="6" spans="1:2" x14ac:dyDescent="0.3">
      <c r="A6" s="15" t="s">
        <v>16</v>
      </c>
      <c r="B6" s="30">
        <v>84</v>
      </c>
    </row>
    <row r="7" spans="1:2" x14ac:dyDescent="0.3">
      <c r="A7" s="15" t="s">
        <v>72</v>
      </c>
      <c r="B7" s="30">
        <v>147</v>
      </c>
    </row>
    <row r="8" spans="1:2" x14ac:dyDescent="0.3">
      <c r="A8" s="15" t="s">
        <v>15</v>
      </c>
      <c r="B8" s="30">
        <v>203</v>
      </c>
    </row>
    <row r="9" spans="1:2" x14ac:dyDescent="0.3">
      <c r="A9" s="15" t="s">
        <v>1553</v>
      </c>
      <c r="B9" s="30">
        <v>556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7C610-1380-4895-8E3C-65D9FD3B688B}">
  <sheetPr codeName="Sheet3"/>
  <dimension ref="A3:B15"/>
  <sheetViews>
    <sheetView workbookViewId="0">
      <selection activeCell="F30" sqref="F30"/>
    </sheetView>
  </sheetViews>
  <sheetFormatPr defaultRowHeight="14.4" x14ac:dyDescent="0.3"/>
  <cols>
    <col min="1" max="1" width="14.5546875" bestFit="1" customWidth="1"/>
    <col min="2" max="2" width="16.88671875" bestFit="1" customWidth="1"/>
    <col min="3" max="4" width="17.5546875" bestFit="1" customWidth="1"/>
  </cols>
  <sheetData>
    <row r="3" spans="1:2" x14ac:dyDescent="0.3">
      <c r="A3" s="14" t="s">
        <v>1613</v>
      </c>
      <c r="B3" t="s">
        <v>1598</v>
      </c>
    </row>
    <row r="4" spans="1:2" x14ac:dyDescent="0.3">
      <c r="A4" s="15" t="s">
        <v>837</v>
      </c>
      <c r="B4" s="30">
        <v>3</v>
      </c>
    </row>
    <row r="5" spans="1:2" x14ac:dyDescent="0.3">
      <c r="A5" s="15" t="s">
        <v>53</v>
      </c>
      <c r="B5" s="30">
        <v>18</v>
      </c>
    </row>
    <row r="6" spans="1:2" x14ac:dyDescent="0.3">
      <c r="A6" s="15" t="s">
        <v>658</v>
      </c>
      <c r="B6" s="30">
        <v>1</v>
      </c>
    </row>
    <row r="7" spans="1:2" x14ac:dyDescent="0.3">
      <c r="A7" s="15" t="s">
        <v>661</v>
      </c>
      <c r="B7" s="30">
        <v>1</v>
      </c>
    </row>
    <row r="8" spans="1:2" x14ac:dyDescent="0.3">
      <c r="A8" s="15" t="s">
        <v>13</v>
      </c>
      <c r="B8" s="30">
        <v>101</v>
      </c>
    </row>
    <row r="9" spans="1:2" x14ac:dyDescent="0.3">
      <c r="A9" s="15" t="s">
        <v>10</v>
      </c>
      <c r="B9" s="30">
        <v>128</v>
      </c>
    </row>
    <row r="10" spans="1:2" x14ac:dyDescent="0.3">
      <c r="A10" s="15" t="s">
        <v>9</v>
      </c>
      <c r="B10" s="30">
        <v>160</v>
      </c>
    </row>
    <row r="11" spans="1:2" x14ac:dyDescent="0.3">
      <c r="A11" s="15" t="s">
        <v>11</v>
      </c>
      <c r="B11" s="30">
        <v>187</v>
      </c>
    </row>
    <row r="12" spans="1:2" x14ac:dyDescent="0.3">
      <c r="A12" s="15" t="s">
        <v>664</v>
      </c>
      <c r="B12" s="30">
        <v>4</v>
      </c>
    </row>
    <row r="13" spans="1:2" x14ac:dyDescent="0.3">
      <c r="A13" s="15" t="s">
        <v>1597</v>
      </c>
      <c r="B13" s="30">
        <v>496</v>
      </c>
    </row>
    <row r="14" spans="1:2" x14ac:dyDescent="0.3">
      <c r="A14" s="15" t="s">
        <v>24</v>
      </c>
      <c r="B14" s="30">
        <v>50</v>
      </c>
    </row>
    <row r="15" spans="1:2" x14ac:dyDescent="0.3">
      <c r="A15" s="15" t="s">
        <v>1553</v>
      </c>
      <c r="B15" s="30">
        <v>1149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03D0E-B4D5-4B16-B4CB-F6023B3C1979}">
  <sheetPr codeName="Sheet7"/>
  <dimension ref="A3:B6"/>
  <sheetViews>
    <sheetView showGridLines="0" workbookViewId="0">
      <selection activeCell="L23" sqref="L23"/>
    </sheetView>
  </sheetViews>
  <sheetFormatPr defaultRowHeight="14.4" x14ac:dyDescent="0.3"/>
  <cols>
    <col min="1" max="1" width="12" bestFit="1" customWidth="1"/>
    <col min="2" max="2" width="19" bestFit="1" customWidth="1"/>
    <col min="3" max="191" width="11.5546875" bestFit="1" customWidth="1"/>
    <col min="192" max="688" width="11.44140625" bestFit="1" customWidth="1"/>
    <col min="689" max="689" width="10.77734375" bestFit="1" customWidth="1"/>
  </cols>
  <sheetData>
    <row r="3" spans="1:2" x14ac:dyDescent="0.3">
      <c r="A3" s="14" t="s">
        <v>1579</v>
      </c>
      <c r="B3" t="s">
        <v>1563</v>
      </c>
    </row>
    <row r="4" spans="1:2" x14ac:dyDescent="0.3">
      <c r="A4" s="15" t="s">
        <v>7</v>
      </c>
      <c r="B4" s="30">
        <v>1073</v>
      </c>
    </row>
    <row r="5" spans="1:2" x14ac:dyDescent="0.3">
      <c r="A5" s="15" t="s">
        <v>55</v>
      </c>
      <c r="B5" s="30">
        <v>76</v>
      </c>
    </row>
    <row r="6" spans="1:2" x14ac:dyDescent="0.3">
      <c r="A6" s="15" t="s">
        <v>1553</v>
      </c>
      <c r="B6" s="30">
        <v>1149</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7A5CC-DED5-4093-83D0-5F56E5721CA1}">
  <sheetPr codeName="Sheet11"/>
  <dimension ref="A3:B296"/>
  <sheetViews>
    <sheetView showGridLines="0" workbookViewId="0">
      <selection sqref="A1:F3"/>
    </sheetView>
  </sheetViews>
  <sheetFormatPr defaultRowHeight="14.4" x14ac:dyDescent="0.3"/>
  <cols>
    <col min="1" max="1" width="10.77734375" bestFit="1" customWidth="1"/>
    <col min="2" max="2" width="17.33203125" bestFit="1" customWidth="1"/>
    <col min="3" max="3" width="25" bestFit="1" customWidth="1"/>
  </cols>
  <sheetData>
    <row r="3" spans="1:2" x14ac:dyDescent="0.3">
      <c r="A3" s="14" t="s">
        <v>1580</v>
      </c>
      <c r="B3" t="s">
        <v>1594</v>
      </c>
    </row>
    <row r="4" spans="1:2" x14ac:dyDescent="0.3">
      <c r="A4" s="24">
        <v>42370</v>
      </c>
      <c r="B4" s="30">
        <v>1</v>
      </c>
    </row>
    <row r="5" spans="1:2" x14ac:dyDescent="0.3">
      <c r="A5" s="24">
        <v>42371</v>
      </c>
      <c r="B5" s="30">
        <v>3</v>
      </c>
    </row>
    <row r="6" spans="1:2" x14ac:dyDescent="0.3">
      <c r="A6" s="24">
        <v>42372</v>
      </c>
      <c r="B6" s="30">
        <v>2</v>
      </c>
    </row>
    <row r="7" spans="1:2" x14ac:dyDescent="0.3">
      <c r="A7" s="24">
        <v>42373</v>
      </c>
      <c r="B7" s="30">
        <v>4</v>
      </c>
    </row>
    <row r="8" spans="1:2" x14ac:dyDescent="0.3">
      <c r="A8" s="24">
        <v>42374</v>
      </c>
      <c r="B8" s="30">
        <v>5</v>
      </c>
    </row>
    <row r="9" spans="1:2" x14ac:dyDescent="0.3">
      <c r="A9" s="24">
        <v>42375</v>
      </c>
      <c r="B9" s="30">
        <v>2</v>
      </c>
    </row>
    <row r="10" spans="1:2" x14ac:dyDescent="0.3">
      <c r="A10" s="24">
        <v>42376</v>
      </c>
      <c r="B10" s="30">
        <v>5</v>
      </c>
    </row>
    <row r="11" spans="1:2" x14ac:dyDescent="0.3">
      <c r="A11" s="24">
        <v>42377</v>
      </c>
      <c r="B11" s="30">
        <v>8</v>
      </c>
    </row>
    <row r="12" spans="1:2" x14ac:dyDescent="0.3">
      <c r="A12" s="24">
        <v>42378</v>
      </c>
      <c r="B12" s="30">
        <v>3</v>
      </c>
    </row>
    <row r="13" spans="1:2" x14ac:dyDescent="0.3">
      <c r="A13" s="24">
        <v>42380</v>
      </c>
      <c r="B13" s="30">
        <v>6</v>
      </c>
    </row>
    <row r="14" spans="1:2" x14ac:dyDescent="0.3">
      <c r="A14" s="24">
        <v>42381</v>
      </c>
      <c r="B14" s="30">
        <v>4</v>
      </c>
    </row>
    <row r="15" spans="1:2" x14ac:dyDescent="0.3">
      <c r="A15" s="24">
        <v>42382</v>
      </c>
      <c r="B15" s="30">
        <v>2</v>
      </c>
    </row>
    <row r="16" spans="1:2" x14ac:dyDescent="0.3">
      <c r="A16" s="24">
        <v>42383</v>
      </c>
      <c r="B16" s="30">
        <v>2</v>
      </c>
    </row>
    <row r="17" spans="1:2" x14ac:dyDescent="0.3">
      <c r="A17" s="24">
        <v>42384</v>
      </c>
      <c r="B17" s="30">
        <v>3</v>
      </c>
    </row>
    <row r="18" spans="1:2" x14ac:dyDescent="0.3">
      <c r="A18" s="24">
        <v>42387</v>
      </c>
      <c r="B18" s="30">
        <v>2</v>
      </c>
    </row>
    <row r="19" spans="1:2" x14ac:dyDescent="0.3">
      <c r="A19" s="24">
        <v>42388</v>
      </c>
      <c r="B19" s="30">
        <v>2</v>
      </c>
    </row>
    <row r="20" spans="1:2" x14ac:dyDescent="0.3">
      <c r="A20" s="24">
        <v>42389</v>
      </c>
      <c r="B20" s="30">
        <v>3</v>
      </c>
    </row>
    <row r="21" spans="1:2" x14ac:dyDescent="0.3">
      <c r="A21" s="24">
        <v>42390</v>
      </c>
      <c r="B21" s="30">
        <v>3</v>
      </c>
    </row>
    <row r="22" spans="1:2" x14ac:dyDescent="0.3">
      <c r="A22" s="24">
        <v>42395</v>
      </c>
      <c r="B22" s="30">
        <v>5</v>
      </c>
    </row>
    <row r="23" spans="1:2" x14ac:dyDescent="0.3">
      <c r="A23" s="24">
        <v>42396</v>
      </c>
      <c r="B23" s="30">
        <v>5</v>
      </c>
    </row>
    <row r="24" spans="1:2" x14ac:dyDescent="0.3">
      <c r="A24" s="24">
        <v>42397</v>
      </c>
      <c r="B24" s="30">
        <v>3</v>
      </c>
    </row>
    <row r="25" spans="1:2" x14ac:dyDescent="0.3">
      <c r="A25" s="24">
        <v>42398</v>
      </c>
      <c r="B25" s="30">
        <v>6</v>
      </c>
    </row>
    <row r="26" spans="1:2" x14ac:dyDescent="0.3">
      <c r="A26" s="24">
        <v>42399</v>
      </c>
      <c r="B26" s="30">
        <v>2</v>
      </c>
    </row>
    <row r="27" spans="1:2" x14ac:dyDescent="0.3">
      <c r="A27" s="24">
        <v>42401</v>
      </c>
      <c r="B27" s="30">
        <v>2</v>
      </c>
    </row>
    <row r="28" spans="1:2" x14ac:dyDescent="0.3">
      <c r="A28" s="24">
        <v>42402</v>
      </c>
      <c r="B28" s="30">
        <v>3</v>
      </c>
    </row>
    <row r="29" spans="1:2" x14ac:dyDescent="0.3">
      <c r="A29" s="24">
        <v>42404</v>
      </c>
      <c r="B29" s="30">
        <v>6</v>
      </c>
    </row>
    <row r="30" spans="1:2" x14ac:dyDescent="0.3">
      <c r="A30" s="24">
        <v>42405</v>
      </c>
      <c r="B30" s="30">
        <v>2</v>
      </c>
    </row>
    <row r="31" spans="1:2" x14ac:dyDescent="0.3">
      <c r="A31" s="24">
        <v>42407</v>
      </c>
      <c r="B31" s="30">
        <v>2</v>
      </c>
    </row>
    <row r="32" spans="1:2" x14ac:dyDescent="0.3">
      <c r="A32" s="24">
        <v>42408</v>
      </c>
      <c r="B32" s="30">
        <v>4</v>
      </c>
    </row>
    <row r="33" spans="1:2" x14ac:dyDescent="0.3">
      <c r="A33" s="24">
        <v>42409</v>
      </c>
      <c r="B33" s="30">
        <v>2</v>
      </c>
    </row>
    <row r="34" spans="1:2" x14ac:dyDescent="0.3">
      <c r="A34" s="24">
        <v>42411</v>
      </c>
      <c r="B34" s="30">
        <v>5</v>
      </c>
    </row>
    <row r="35" spans="1:2" x14ac:dyDescent="0.3">
      <c r="A35" s="24">
        <v>42412</v>
      </c>
      <c r="B35" s="30">
        <v>4</v>
      </c>
    </row>
    <row r="36" spans="1:2" x14ac:dyDescent="0.3">
      <c r="A36" s="24">
        <v>42413</v>
      </c>
      <c r="B36" s="30">
        <v>1</v>
      </c>
    </row>
    <row r="37" spans="1:2" x14ac:dyDescent="0.3">
      <c r="A37" s="24">
        <v>42414</v>
      </c>
      <c r="B37" s="30">
        <v>5</v>
      </c>
    </row>
    <row r="38" spans="1:2" x14ac:dyDescent="0.3">
      <c r="A38" s="24">
        <v>42416</v>
      </c>
      <c r="B38" s="30">
        <v>8</v>
      </c>
    </row>
    <row r="39" spans="1:2" x14ac:dyDescent="0.3">
      <c r="A39" s="24">
        <v>42417</v>
      </c>
      <c r="B39" s="30">
        <v>4</v>
      </c>
    </row>
    <row r="40" spans="1:2" x14ac:dyDescent="0.3">
      <c r="A40" s="24">
        <v>42418</v>
      </c>
      <c r="B40" s="30">
        <v>5</v>
      </c>
    </row>
    <row r="41" spans="1:2" x14ac:dyDescent="0.3">
      <c r="A41" s="24">
        <v>42419</v>
      </c>
      <c r="B41" s="30">
        <v>10</v>
      </c>
    </row>
    <row r="42" spans="1:2" x14ac:dyDescent="0.3">
      <c r="A42" s="24">
        <v>42420</v>
      </c>
      <c r="B42" s="30">
        <v>8</v>
      </c>
    </row>
    <row r="43" spans="1:2" x14ac:dyDescent="0.3">
      <c r="A43" s="24">
        <v>42421</v>
      </c>
      <c r="B43" s="30">
        <v>11</v>
      </c>
    </row>
    <row r="44" spans="1:2" x14ac:dyDescent="0.3">
      <c r="A44" s="24">
        <v>42422</v>
      </c>
      <c r="B44" s="30">
        <v>1</v>
      </c>
    </row>
    <row r="45" spans="1:2" x14ac:dyDescent="0.3">
      <c r="A45" s="24">
        <v>42424</v>
      </c>
      <c r="B45" s="30">
        <v>2</v>
      </c>
    </row>
    <row r="46" spans="1:2" x14ac:dyDescent="0.3">
      <c r="A46" s="24">
        <v>42425</v>
      </c>
      <c r="B46" s="30">
        <v>4</v>
      </c>
    </row>
    <row r="47" spans="1:2" x14ac:dyDescent="0.3">
      <c r="A47" s="24">
        <v>42426</v>
      </c>
      <c r="B47" s="30">
        <v>7</v>
      </c>
    </row>
    <row r="48" spans="1:2" x14ac:dyDescent="0.3">
      <c r="A48" s="24">
        <v>42428</v>
      </c>
      <c r="B48" s="30">
        <v>2</v>
      </c>
    </row>
    <row r="49" spans="1:2" x14ac:dyDescent="0.3">
      <c r="A49" s="24">
        <v>42429</v>
      </c>
      <c r="B49" s="30">
        <v>5</v>
      </c>
    </row>
    <row r="50" spans="1:2" x14ac:dyDescent="0.3">
      <c r="A50" s="24">
        <v>42432</v>
      </c>
      <c r="B50" s="30">
        <v>5</v>
      </c>
    </row>
    <row r="51" spans="1:2" x14ac:dyDescent="0.3">
      <c r="A51" s="24">
        <v>42433</v>
      </c>
      <c r="B51" s="30">
        <v>1</v>
      </c>
    </row>
    <row r="52" spans="1:2" x14ac:dyDescent="0.3">
      <c r="A52" s="24">
        <v>42434</v>
      </c>
      <c r="B52" s="30">
        <v>1</v>
      </c>
    </row>
    <row r="53" spans="1:2" x14ac:dyDescent="0.3">
      <c r="A53" s="24">
        <v>42435</v>
      </c>
      <c r="B53" s="30">
        <v>7</v>
      </c>
    </row>
    <row r="54" spans="1:2" x14ac:dyDescent="0.3">
      <c r="A54" s="24">
        <v>42436</v>
      </c>
      <c r="B54" s="30">
        <v>3</v>
      </c>
    </row>
    <row r="55" spans="1:2" x14ac:dyDescent="0.3">
      <c r="A55" s="24">
        <v>42437</v>
      </c>
      <c r="B55" s="30">
        <v>3</v>
      </c>
    </row>
    <row r="56" spans="1:2" x14ac:dyDescent="0.3">
      <c r="A56" s="24">
        <v>42439</v>
      </c>
      <c r="B56" s="30">
        <v>4</v>
      </c>
    </row>
    <row r="57" spans="1:2" x14ac:dyDescent="0.3">
      <c r="A57" s="24">
        <v>42440</v>
      </c>
      <c r="B57" s="30">
        <v>6</v>
      </c>
    </row>
    <row r="58" spans="1:2" x14ac:dyDescent="0.3">
      <c r="A58" s="24">
        <v>42441</v>
      </c>
      <c r="B58" s="30">
        <v>3</v>
      </c>
    </row>
    <row r="59" spans="1:2" x14ac:dyDescent="0.3">
      <c r="A59" s="24">
        <v>42442</v>
      </c>
      <c r="B59" s="30">
        <v>6</v>
      </c>
    </row>
    <row r="60" spans="1:2" x14ac:dyDescent="0.3">
      <c r="A60" s="24">
        <v>42443</v>
      </c>
      <c r="B60" s="30">
        <v>2</v>
      </c>
    </row>
    <row r="61" spans="1:2" x14ac:dyDescent="0.3">
      <c r="A61" s="24">
        <v>42444</v>
      </c>
      <c r="B61" s="30">
        <v>2</v>
      </c>
    </row>
    <row r="62" spans="1:2" x14ac:dyDescent="0.3">
      <c r="A62" s="24">
        <v>42445</v>
      </c>
      <c r="B62" s="30">
        <v>3</v>
      </c>
    </row>
    <row r="63" spans="1:2" x14ac:dyDescent="0.3">
      <c r="A63" s="24">
        <v>42446</v>
      </c>
      <c r="B63" s="30">
        <v>7</v>
      </c>
    </row>
    <row r="64" spans="1:2" x14ac:dyDescent="0.3">
      <c r="A64" s="24">
        <v>42447</v>
      </c>
      <c r="B64" s="30">
        <v>5</v>
      </c>
    </row>
    <row r="65" spans="1:2" x14ac:dyDescent="0.3">
      <c r="A65" s="24">
        <v>42448</v>
      </c>
      <c r="B65" s="30">
        <v>9</v>
      </c>
    </row>
    <row r="66" spans="1:2" x14ac:dyDescent="0.3">
      <c r="A66" s="24">
        <v>42449</v>
      </c>
      <c r="B66" s="30">
        <v>5</v>
      </c>
    </row>
    <row r="67" spans="1:2" x14ac:dyDescent="0.3">
      <c r="A67" s="24">
        <v>42450</v>
      </c>
      <c r="B67" s="30">
        <v>4</v>
      </c>
    </row>
    <row r="68" spans="1:2" x14ac:dyDescent="0.3">
      <c r="A68" s="24">
        <v>42451</v>
      </c>
      <c r="B68" s="30">
        <v>3</v>
      </c>
    </row>
    <row r="69" spans="1:2" x14ac:dyDescent="0.3">
      <c r="A69" s="24">
        <v>42452</v>
      </c>
      <c r="B69" s="30">
        <v>2</v>
      </c>
    </row>
    <row r="70" spans="1:2" x14ac:dyDescent="0.3">
      <c r="A70" s="24">
        <v>42453</v>
      </c>
      <c r="B70" s="30">
        <v>2</v>
      </c>
    </row>
    <row r="71" spans="1:2" x14ac:dyDescent="0.3">
      <c r="A71" s="24">
        <v>42454</v>
      </c>
      <c r="B71" s="30">
        <v>3</v>
      </c>
    </row>
    <row r="72" spans="1:2" x14ac:dyDescent="0.3">
      <c r="A72" s="24">
        <v>42455</v>
      </c>
      <c r="B72" s="30">
        <v>3</v>
      </c>
    </row>
    <row r="73" spans="1:2" x14ac:dyDescent="0.3">
      <c r="A73" s="24">
        <v>42456</v>
      </c>
      <c r="B73" s="30">
        <v>5</v>
      </c>
    </row>
    <row r="74" spans="1:2" x14ac:dyDescent="0.3">
      <c r="A74" s="24">
        <v>42457</v>
      </c>
      <c r="B74" s="30">
        <v>3</v>
      </c>
    </row>
    <row r="75" spans="1:2" x14ac:dyDescent="0.3">
      <c r="A75" s="24">
        <v>42458</v>
      </c>
      <c r="B75" s="30">
        <v>4</v>
      </c>
    </row>
    <row r="76" spans="1:2" x14ac:dyDescent="0.3">
      <c r="A76" s="24">
        <v>42459</v>
      </c>
      <c r="B76" s="30">
        <v>1</v>
      </c>
    </row>
    <row r="77" spans="1:2" x14ac:dyDescent="0.3">
      <c r="A77" s="24">
        <v>42460</v>
      </c>
      <c r="B77" s="30">
        <v>2</v>
      </c>
    </row>
    <row r="78" spans="1:2" x14ac:dyDescent="0.3">
      <c r="A78" s="24">
        <v>42462</v>
      </c>
      <c r="B78" s="30">
        <v>7</v>
      </c>
    </row>
    <row r="79" spans="1:2" x14ac:dyDescent="0.3">
      <c r="A79" s="24">
        <v>42463</v>
      </c>
      <c r="B79" s="30">
        <v>10</v>
      </c>
    </row>
    <row r="80" spans="1:2" x14ac:dyDescent="0.3">
      <c r="A80" s="24">
        <v>42465</v>
      </c>
      <c r="B80" s="30">
        <v>4</v>
      </c>
    </row>
    <row r="81" spans="1:2" x14ac:dyDescent="0.3">
      <c r="A81" s="24">
        <v>42467</v>
      </c>
      <c r="B81" s="30">
        <v>4</v>
      </c>
    </row>
    <row r="82" spans="1:2" x14ac:dyDescent="0.3">
      <c r="A82" s="24">
        <v>42470</v>
      </c>
      <c r="B82" s="30">
        <v>2</v>
      </c>
    </row>
    <row r="83" spans="1:2" x14ac:dyDescent="0.3">
      <c r="A83" s="24">
        <v>42471</v>
      </c>
      <c r="B83" s="30">
        <v>4</v>
      </c>
    </row>
    <row r="84" spans="1:2" x14ac:dyDescent="0.3">
      <c r="A84" s="24">
        <v>42472</v>
      </c>
      <c r="B84" s="30">
        <v>2</v>
      </c>
    </row>
    <row r="85" spans="1:2" x14ac:dyDescent="0.3">
      <c r="A85" s="24">
        <v>42474</v>
      </c>
      <c r="B85" s="30">
        <v>2</v>
      </c>
    </row>
    <row r="86" spans="1:2" x14ac:dyDescent="0.3">
      <c r="A86" s="24">
        <v>42475</v>
      </c>
      <c r="B86" s="30">
        <v>3</v>
      </c>
    </row>
    <row r="87" spans="1:2" x14ac:dyDescent="0.3">
      <c r="A87" s="24">
        <v>42476</v>
      </c>
      <c r="B87" s="30">
        <v>2</v>
      </c>
    </row>
    <row r="88" spans="1:2" x14ac:dyDescent="0.3">
      <c r="A88" s="24">
        <v>42479</v>
      </c>
      <c r="B88" s="30">
        <v>2</v>
      </c>
    </row>
    <row r="89" spans="1:2" x14ac:dyDescent="0.3">
      <c r="A89" s="24">
        <v>42482</v>
      </c>
      <c r="B89" s="30">
        <v>4</v>
      </c>
    </row>
    <row r="90" spans="1:2" x14ac:dyDescent="0.3">
      <c r="A90" s="24">
        <v>42483</v>
      </c>
      <c r="B90" s="30">
        <v>2</v>
      </c>
    </row>
    <row r="91" spans="1:2" x14ac:dyDescent="0.3">
      <c r="A91" s="24">
        <v>42484</v>
      </c>
      <c r="B91" s="30">
        <v>3</v>
      </c>
    </row>
    <row r="92" spans="1:2" x14ac:dyDescent="0.3">
      <c r="A92" s="24">
        <v>42487</v>
      </c>
      <c r="B92" s="30">
        <v>2</v>
      </c>
    </row>
    <row r="93" spans="1:2" x14ac:dyDescent="0.3">
      <c r="A93" s="24">
        <v>42488</v>
      </c>
      <c r="B93" s="30">
        <v>3</v>
      </c>
    </row>
    <row r="94" spans="1:2" x14ac:dyDescent="0.3">
      <c r="A94" s="24">
        <v>42489</v>
      </c>
      <c r="B94" s="30">
        <v>4</v>
      </c>
    </row>
    <row r="95" spans="1:2" x14ac:dyDescent="0.3">
      <c r="A95" s="24">
        <v>42490</v>
      </c>
      <c r="B95" s="30">
        <v>2</v>
      </c>
    </row>
    <row r="96" spans="1:2" x14ac:dyDescent="0.3">
      <c r="A96" s="24">
        <v>42491</v>
      </c>
      <c r="B96" s="30">
        <v>1</v>
      </c>
    </row>
    <row r="97" spans="1:2" x14ac:dyDescent="0.3">
      <c r="A97" s="24">
        <v>42492</v>
      </c>
      <c r="B97" s="30">
        <v>2</v>
      </c>
    </row>
    <row r="98" spans="1:2" x14ac:dyDescent="0.3">
      <c r="A98" s="24">
        <v>42493</v>
      </c>
      <c r="B98" s="30">
        <v>6</v>
      </c>
    </row>
    <row r="99" spans="1:2" x14ac:dyDescent="0.3">
      <c r="A99" s="24">
        <v>42494</v>
      </c>
      <c r="B99" s="30">
        <v>1</v>
      </c>
    </row>
    <row r="100" spans="1:2" x14ac:dyDescent="0.3">
      <c r="A100" s="24">
        <v>42495</v>
      </c>
      <c r="B100" s="30">
        <v>3</v>
      </c>
    </row>
    <row r="101" spans="1:2" x14ac:dyDescent="0.3">
      <c r="A101" s="24">
        <v>42496</v>
      </c>
      <c r="B101" s="30">
        <v>6</v>
      </c>
    </row>
    <row r="102" spans="1:2" x14ac:dyDescent="0.3">
      <c r="A102" s="24">
        <v>42497</v>
      </c>
      <c r="B102" s="30">
        <v>5</v>
      </c>
    </row>
    <row r="103" spans="1:2" x14ac:dyDescent="0.3">
      <c r="A103" s="24">
        <v>42498</v>
      </c>
      <c r="B103" s="30">
        <v>3</v>
      </c>
    </row>
    <row r="104" spans="1:2" x14ac:dyDescent="0.3">
      <c r="A104" s="24">
        <v>42499</v>
      </c>
      <c r="B104" s="30">
        <v>1</v>
      </c>
    </row>
    <row r="105" spans="1:2" x14ac:dyDescent="0.3">
      <c r="A105" s="24">
        <v>42501</v>
      </c>
      <c r="B105" s="30">
        <v>3</v>
      </c>
    </row>
    <row r="106" spans="1:2" x14ac:dyDescent="0.3">
      <c r="A106" s="24">
        <v>42502</v>
      </c>
      <c r="B106" s="30">
        <v>2</v>
      </c>
    </row>
    <row r="107" spans="1:2" x14ac:dyDescent="0.3">
      <c r="A107" s="24">
        <v>42504</v>
      </c>
      <c r="B107" s="30">
        <v>2</v>
      </c>
    </row>
    <row r="108" spans="1:2" x14ac:dyDescent="0.3">
      <c r="A108" s="24">
        <v>42507</v>
      </c>
      <c r="B108" s="30">
        <v>3</v>
      </c>
    </row>
    <row r="109" spans="1:2" x14ac:dyDescent="0.3">
      <c r="A109" s="24">
        <v>42508</v>
      </c>
      <c r="B109" s="30">
        <v>2</v>
      </c>
    </row>
    <row r="110" spans="1:2" x14ac:dyDescent="0.3">
      <c r="A110" s="24">
        <v>42509</v>
      </c>
      <c r="B110" s="30">
        <v>1</v>
      </c>
    </row>
    <row r="111" spans="1:2" x14ac:dyDescent="0.3">
      <c r="A111" s="24">
        <v>42510</v>
      </c>
      <c r="B111" s="30">
        <v>2</v>
      </c>
    </row>
    <row r="112" spans="1:2" x14ac:dyDescent="0.3">
      <c r="A112" s="24">
        <v>42512</v>
      </c>
      <c r="B112" s="30">
        <v>2</v>
      </c>
    </row>
    <row r="113" spans="1:2" x14ac:dyDescent="0.3">
      <c r="A113" s="24">
        <v>42513</v>
      </c>
      <c r="B113" s="30">
        <v>2</v>
      </c>
    </row>
    <row r="114" spans="1:2" x14ac:dyDescent="0.3">
      <c r="A114" s="24">
        <v>42517</v>
      </c>
      <c r="B114" s="30">
        <v>3</v>
      </c>
    </row>
    <row r="115" spans="1:2" x14ac:dyDescent="0.3">
      <c r="A115" s="24">
        <v>42518</v>
      </c>
      <c r="B115" s="30">
        <v>3</v>
      </c>
    </row>
    <row r="116" spans="1:2" x14ac:dyDescent="0.3">
      <c r="A116" s="24">
        <v>42521</v>
      </c>
      <c r="B116" s="30">
        <v>3</v>
      </c>
    </row>
    <row r="117" spans="1:2" x14ac:dyDescent="0.3">
      <c r="A117" s="24">
        <v>42522</v>
      </c>
      <c r="B117" s="30">
        <v>3</v>
      </c>
    </row>
    <row r="118" spans="1:2" x14ac:dyDescent="0.3">
      <c r="A118" s="24">
        <v>42523</v>
      </c>
      <c r="B118" s="30">
        <v>3</v>
      </c>
    </row>
    <row r="119" spans="1:2" x14ac:dyDescent="0.3">
      <c r="A119" s="24">
        <v>42525</v>
      </c>
      <c r="B119" s="30">
        <v>1</v>
      </c>
    </row>
    <row r="120" spans="1:2" x14ac:dyDescent="0.3">
      <c r="A120" s="24">
        <v>42526</v>
      </c>
      <c r="B120" s="30">
        <v>3</v>
      </c>
    </row>
    <row r="121" spans="1:2" x14ac:dyDescent="0.3">
      <c r="A121" s="24">
        <v>42527</v>
      </c>
      <c r="B121" s="30">
        <v>6</v>
      </c>
    </row>
    <row r="122" spans="1:2" x14ac:dyDescent="0.3">
      <c r="A122" s="24">
        <v>42528</v>
      </c>
      <c r="B122" s="30">
        <v>5</v>
      </c>
    </row>
    <row r="123" spans="1:2" x14ac:dyDescent="0.3">
      <c r="A123" s="24">
        <v>42529</v>
      </c>
      <c r="B123" s="30">
        <v>2</v>
      </c>
    </row>
    <row r="124" spans="1:2" x14ac:dyDescent="0.3">
      <c r="A124" s="24">
        <v>42531</v>
      </c>
      <c r="B124" s="30">
        <v>4</v>
      </c>
    </row>
    <row r="125" spans="1:2" x14ac:dyDescent="0.3">
      <c r="A125" s="24">
        <v>42532</v>
      </c>
      <c r="B125" s="30">
        <v>5</v>
      </c>
    </row>
    <row r="126" spans="1:2" x14ac:dyDescent="0.3">
      <c r="A126" s="24">
        <v>42534</v>
      </c>
      <c r="B126" s="30">
        <v>5</v>
      </c>
    </row>
    <row r="127" spans="1:2" x14ac:dyDescent="0.3">
      <c r="A127" s="24">
        <v>42535</v>
      </c>
      <c r="B127" s="30">
        <v>4</v>
      </c>
    </row>
    <row r="128" spans="1:2" x14ac:dyDescent="0.3">
      <c r="A128" s="24">
        <v>42536</v>
      </c>
      <c r="B128" s="30">
        <v>5</v>
      </c>
    </row>
    <row r="129" spans="1:2" x14ac:dyDescent="0.3">
      <c r="A129" s="24">
        <v>42537</v>
      </c>
      <c r="B129" s="30">
        <v>5</v>
      </c>
    </row>
    <row r="130" spans="1:2" x14ac:dyDescent="0.3">
      <c r="A130" s="24">
        <v>42538</v>
      </c>
      <c r="B130" s="30">
        <v>1</v>
      </c>
    </row>
    <row r="131" spans="1:2" x14ac:dyDescent="0.3">
      <c r="A131" s="24">
        <v>42539</v>
      </c>
      <c r="B131" s="30">
        <v>1</v>
      </c>
    </row>
    <row r="132" spans="1:2" x14ac:dyDescent="0.3">
      <c r="A132" s="24">
        <v>42540</v>
      </c>
      <c r="B132" s="30">
        <v>2</v>
      </c>
    </row>
    <row r="133" spans="1:2" x14ac:dyDescent="0.3">
      <c r="A133" s="24">
        <v>42542</v>
      </c>
      <c r="B133" s="30">
        <v>2</v>
      </c>
    </row>
    <row r="134" spans="1:2" x14ac:dyDescent="0.3">
      <c r="A134" s="24">
        <v>42545</v>
      </c>
      <c r="B134" s="30">
        <v>7</v>
      </c>
    </row>
    <row r="135" spans="1:2" x14ac:dyDescent="0.3">
      <c r="A135" s="24">
        <v>42546</v>
      </c>
      <c r="B135" s="30">
        <v>8</v>
      </c>
    </row>
    <row r="136" spans="1:2" x14ac:dyDescent="0.3">
      <c r="A136" s="24">
        <v>42547</v>
      </c>
      <c r="B136" s="30">
        <v>4</v>
      </c>
    </row>
    <row r="137" spans="1:2" x14ac:dyDescent="0.3">
      <c r="A137" s="24">
        <v>42548</v>
      </c>
      <c r="B137" s="30">
        <v>11</v>
      </c>
    </row>
    <row r="138" spans="1:2" x14ac:dyDescent="0.3">
      <c r="A138" s="24">
        <v>42549</v>
      </c>
      <c r="B138" s="30">
        <v>4</v>
      </c>
    </row>
    <row r="139" spans="1:2" x14ac:dyDescent="0.3">
      <c r="A139" s="24">
        <v>42550</v>
      </c>
      <c r="B139" s="30">
        <v>6</v>
      </c>
    </row>
    <row r="140" spans="1:2" x14ac:dyDescent="0.3">
      <c r="A140" s="24">
        <v>42551</v>
      </c>
      <c r="B140" s="30">
        <v>1</v>
      </c>
    </row>
    <row r="141" spans="1:2" x14ac:dyDescent="0.3">
      <c r="A141" s="24">
        <v>42552</v>
      </c>
      <c r="B141" s="30">
        <v>1</v>
      </c>
    </row>
    <row r="142" spans="1:2" x14ac:dyDescent="0.3">
      <c r="A142" s="24">
        <v>42553</v>
      </c>
      <c r="B142" s="30">
        <v>4</v>
      </c>
    </row>
    <row r="143" spans="1:2" x14ac:dyDescent="0.3">
      <c r="A143" s="24">
        <v>42554</v>
      </c>
      <c r="B143" s="30">
        <v>5</v>
      </c>
    </row>
    <row r="144" spans="1:2" x14ac:dyDescent="0.3">
      <c r="A144" s="24">
        <v>42555</v>
      </c>
      <c r="B144" s="30">
        <v>2</v>
      </c>
    </row>
    <row r="145" spans="1:2" x14ac:dyDescent="0.3">
      <c r="A145" s="24">
        <v>42557</v>
      </c>
      <c r="B145" s="30">
        <v>2</v>
      </c>
    </row>
    <row r="146" spans="1:2" x14ac:dyDescent="0.3">
      <c r="A146" s="24">
        <v>42558</v>
      </c>
      <c r="B146" s="30">
        <v>3</v>
      </c>
    </row>
    <row r="147" spans="1:2" x14ac:dyDescent="0.3">
      <c r="A147" s="24">
        <v>42559</v>
      </c>
      <c r="B147" s="30">
        <v>4</v>
      </c>
    </row>
    <row r="148" spans="1:2" x14ac:dyDescent="0.3">
      <c r="A148" s="24">
        <v>42561</v>
      </c>
      <c r="B148" s="30">
        <v>7</v>
      </c>
    </row>
    <row r="149" spans="1:2" x14ac:dyDescent="0.3">
      <c r="A149" s="24">
        <v>42562</v>
      </c>
      <c r="B149" s="30">
        <v>2</v>
      </c>
    </row>
    <row r="150" spans="1:2" x14ac:dyDescent="0.3">
      <c r="A150" s="24">
        <v>42563</v>
      </c>
      <c r="B150" s="30">
        <v>4</v>
      </c>
    </row>
    <row r="151" spans="1:2" x14ac:dyDescent="0.3">
      <c r="A151" s="24">
        <v>42564</v>
      </c>
      <c r="B151" s="30">
        <v>3</v>
      </c>
    </row>
    <row r="152" spans="1:2" x14ac:dyDescent="0.3">
      <c r="A152" s="24">
        <v>42565</v>
      </c>
      <c r="B152" s="30">
        <v>3</v>
      </c>
    </row>
    <row r="153" spans="1:2" x14ac:dyDescent="0.3">
      <c r="A153" s="24">
        <v>42566</v>
      </c>
      <c r="B153" s="30">
        <v>5</v>
      </c>
    </row>
    <row r="154" spans="1:2" x14ac:dyDescent="0.3">
      <c r="A154" s="24">
        <v>42567</v>
      </c>
      <c r="B154" s="30">
        <v>6</v>
      </c>
    </row>
    <row r="155" spans="1:2" x14ac:dyDescent="0.3">
      <c r="A155" s="24">
        <v>42568</v>
      </c>
      <c r="B155" s="30">
        <v>2</v>
      </c>
    </row>
    <row r="156" spans="1:2" x14ac:dyDescent="0.3">
      <c r="A156" s="24">
        <v>42569</v>
      </c>
      <c r="B156" s="30">
        <v>9</v>
      </c>
    </row>
    <row r="157" spans="1:2" x14ac:dyDescent="0.3">
      <c r="A157" s="24">
        <v>42570</v>
      </c>
      <c r="B157" s="30">
        <v>5</v>
      </c>
    </row>
    <row r="158" spans="1:2" x14ac:dyDescent="0.3">
      <c r="A158" s="24">
        <v>42571</v>
      </c>
      <c r="B158" s="30">
        <v>3</v>
      </c>
    </row>
    <row r="159" spans="1:2" x14ac:dyDescent="0.3">
      <c r="A159" s="24">
        <v>42572</v>
      </c>
      <c r="B159" s="30">
        <v>4</v>
      </c>
    </row>
    <row r="160" spans="1:2" x14ac:dyDescent="0.3">
      <c r="A160" s="24">
        <v>42573</v>
      </c>
      <c r="B160" s="30">
        <v>8</v>
      </c>
    </row>
    <row r="161" spans="1:2" x14ac:dyDescent="0.3">
      <c r="A161" s="24">
        <v>42574</v>
      </c>
      <c r="B161" s="30">
        <v>6</v>
      </c>
    </row>
    <row r="162" spans="1:2" x14ac:dyDescent="0.3">
      <c r="A162" s="24">
        <v>42576</v>
      </c>
      <c r="B162" s="30">
        <v>4</v>
      </c>
    </row>
    <row r="163" spans="1:2" x14ac:dyDescent="0.3">
      <c r="A163" s="24">
        <v>42577</v>
      </c>
      <c r="B163" s="30">
        <v>4</v>
      </c>
    </row>
    <row r="164" spans="1:2" x14ac:dyDescent="0.3">
      <c r="A164" s="24">
        <v>42578</v>
      </c>
      <c r="B164" s="30">
        <v>3</v>
      </c>
    </row>
    <row r="165" spans="1:2" x14ac:dyDescent="0.3">
      <c r="A165" s="24">
        <v>42579</v>
      </c>
      <c r="B165" s="30">
        <v>1</v>
      </c>
    </row>
    <row r="166" spans="1:2" x14ac:dyDescent="0.3">
      <c r="A166" s="24">
        <v>42580</v>
      </c>
      <c r="B166" s="30">
        <v>2</v>
      </c>
    </row>
    <row r="167" spans="1:2" x14ac:dyDescent="0.3">
      <c r="A167" s="24">
        <v>42581</v>
      </c>
      <c r="B167" s="30">
        <v>2</v>
      </c>
    </row>
    <row r="168" spans="1:2" x14ac:dyDescent="0.3">
      <c r="A168" s="24">
        <v>42582</v>
      </c>
      <c r="B168" s="30">
        <v>1</v>
      </c>
    </row>
    <row r="169" spans="1:2" x14ac:dyDescent="0.3">
      <c r="A169" s="24">
        <v>42584</v>
      </c>
      <c r="B169" s="30">
        <v>2</v>
      </c>
    </row>
    <row r="170" spans="1:2" x14ac:dyDescent="0.3">
      <c r="A170" s="24">
        <v>42585</v>
      </c>
      <c r="B170" s="30">
        <v>3</v>
      </c>
    </row>
    <row r="171" spans="1:2" x14ac:dyDescent="0.3">
      <c r="A171" s="24">
        <v>42586</v>
      </c>
      <c r="B171" s="30">
        <v>5</v>
      </c>
    </row>
    <row r="172" spans="1:2" x14ac:dyDescent="0.3">
      <c r="A172" s="24">
        <v>42588</v>
      </c>
      <c r="B172" s="30">
        <v>8</v>
      </c>
    </row>
    <row r="173" spans="1:2" x14ac:dyDescent="0.3">
      <c r="A173" s="24">
        <v>42589</v>
      </c>
      <c r="B173" s="30">
        <v>4</v>
      </c>
    </row>
    <row r="174" spans="1:2" x14ac:dyDescent="0.3">
      <c r="A174" s="24">
        <v>42590</v>
      </c>
      <c r="B174" s="30">
        <v>5</v>
      </c>
    </row>
    <row r="175" spans="1:2" x14ac:dyDescent="0.3">
      <c r="A175" s="24">
        <v>42592</v>
      </c>
      <c r="B175" s="30">
        <v>1</v>
      </c>
    </row>
    <row r="176" spans="1:2" x14ac:dyDescent="0.3">
      <c r="A176" s="24">
        <v>42593</v>
      </c>
      <c r="B176" s="30">
        <v>4</v>
      </c>
    </row>
    <row r="177" spans="1:2" x14ac:dyDescent="0.3">
      <c r="A177" s="24">
        <v>42594</v>
      </c>
      <c r="B177" s="30">
        <v>4</v>
      </c>
    </row>
    <row r="178" spans="1:2" x14ac:dyDescent="0.3">
      <c r="A178" s="24">
        <v>42595</v>
      </c>
      <c r="B178" s="30">
        <v>1</v>
      </c>
    </row>
    <row r="179" spans="1:2" x14ac:dyDescent="0.3">
      <c r="A179" s="24">
        <v>42597</v>
      </c>
      <c r="B179" s="30">
        <v>4</v>
      </c>
    </row>
    <row r="180" spans="1:2" x14ac:dyDescent="0.3">
      <c r="A180" s="24">
        <v>42598</v>
      </c>
      <c r="B180" s="30">
        <v>7</v>
      </c>
    </row>
    <row r="181" spans="1:2" x14ac:dyDescent="0.3">
      <c r="A181" s="24">
        <v>42599</v>
      </c>
      <c r="B181" s="30">
        <v>8</v>
      </c>
    </row>
    <row r="182" spans="1:2" x14ac:dyDescent="0.3">
      <c r="A182" s="24">
        <v>42600</v>
      </c>
      <c r="B182" s="30">
        <v>1</v>
      </c>
    </row>
    <row r="183" spans="1:2" x14ac:dyDescent="0.3">
      <c r="A183" s="24">
        <v>42601</v>
      </c>
      <c r="B183" s="30">
        <v>7</v>
      </c>
    </row>
    <row r="184" spans="1:2" x14ac:dyDescent="0.3">
      <c r="A184" s="24">
        <v>42603</v>
      </c>
      <c r="B184" s="30">
        <v>5</v>
      </c>
    </row>
    <row r="185" spans="1:2" x14ac:dyDescent="0.3">
      <c r="A185" s="24">
        <v>42604</v>
      </c>
      <c r="B185" s="30">
        <v>10</v>
      </c>
    </row>
    <row r="186" spans="1:2" x14ac:dyDescent="0.3">
      <c r="A186" s="24">
        <v>42605</v>
      </c>
      <c r="B186" s="30">
        <v>8</v>
      </c>
    </row>
    <row r="187" spans="1:2" x14ac:dyDescent="0.3">
      <c r="A187" s="24">
        <v>42606</v>
      </c>
      <c r="B187" s="30">
        <v>2</v>
      </c>
    </row>
    <row r="188" spans="1:2" x14ac:dyDescent="0.3">
      <c r="A188" s="24">
        <v>42607</v>
      </c>
      <c r="B188" s="30">
        <v>5</v>
      </c>
    </row>
    <row r="189" spans="1:2" x14ac:dyDescent="0.3">
      <c r="A189" s="24">
        <v>42608</v>
      </c>
      <c r="B189" s="30">
        <v>10</v>
      </c>
    </row>
    <row r="190" spans="1:2" x14ac:dyDescent="0.3">
      <c r="A190" s="24">
        <v>42609</v>
      </c>
      <c r="B190" s="30">
        <v>5</v>
      </c>
    </row>
    <row r="191" spans="1:2" x14ac:dyDescent="0.3">
      <c r="A191" s="24">
        <v>42610</v>
      </c>
      <c r="B191" s="30">
        <v>4</v>
      </c>
    </row>
    <row r="192" spans="1:2" x14ac:dyDescent="0.3">
      <c r="A192" s="24">
        <v>42611</v>
      </c>
      <c r="B192" s="30">
        <v>8</v>
      </c>
    </row>
    <row r="193" spans="1:2" x14ac:dyDescent="0.3">
      <c r="A193" s="24">
        <v>42612</v>
      </c>
      <c r="B193" s="30">
        <v>5</v>
      </c>
    </row>
    <row r="194" spans="1:2" x14ac:dyDescent="0.3">
      <c r="A194" s="24">
        <v>42615</v>
      </c>
      <c r="B194" s="30">
        <v>6</v>
      </c>
    </row>
    <row r="195" spans="1:2" x14ac:dyDescent="0.3">
      <c r="A195" s="24">
        <v>42618</v>
      </c>
      <c r="B195" s="30">
        <v>4</v>
      </c>
    </row>
    <row r="196" spans="1:2" x14ac:dyDescent="0.3">
      <c r="A196" s="24">
        <v>42620</v>
      </c>
      <c r="B196" s="30">
        <v>3</v>
      </c>
    </row>
    <row r="197" spans="1:2" x14ac:dyDescent="0.3">
      <c r="A197" s="24">
        <v>42621</v>
      </c>
      <c r="B197" s="30">
        <v>3</v>
      </c>
    </row>
    <row r="198" spans="1:2" x14ac:dyDescent="0.3">
      <c r="A198" s="24">
        <v>42623</v>
      </c>
      <c r="B198" s="30">
        <v>1</v>
      </c>
    </row>
    <row r="199" spans="1:2" x14ac:dyDescent="0.3">
      <c r="A199" s="24">
        <v>42624</v>
      </c>
      <c r="B199" s="30">
        <v>8</v>
      </c>
    </row>
    <row r="200" spans="1:2" x14ac:dyDescent="0.3">
      <c r="A200" s="24">
        <v>42625</v>
      </c>
      <c r="B200" s="30">
        <v>4</v>
      </c>
    </row>
    <row r="201" spans="1:2" x14ac:dyDescent="0.3">
      <c r="A201" s="24">
        <v>42626</v>
      </c>
      <c r="B201" s="30">
        <v>1</v>
      </c>
    </row>
    <row r="202" spans="1:2" x14ac:dyDescent="0.3">
      <c r="A202" s="24">
        <v>42627</v>
      </c>
      <c r="B202" s="30">
        <v>1</v>
      </c>
    </row>
    <row r="203" spans="1:2" x14ac:dyDescent="0.3">
      <c r="A203" s="24">
        <v>42628</v>
      </c>
      <c r="B203" s="30">
        <v>1</v>
      </c>
    </row>
    <row r="204" spans="1:2" x14ac:dyDescent="0.3">
      <c r="A204" s="24">
        <v>42631</v>
      </c>
      <c r="B204" s="30">
        <v>1</v>
      </c>
    </row>
    <row r="205" spans="1:2" x14ac:dyDescent="0.3">
      <c r="A205" s="24">
        <v>42632</v>
      </c>
      <c r="B205" s="30">
        <v>5</v>
      </c>
    </row>
    <row r="206" spans="1:2" x14ac:dyDescent="0.3">
      <c r="A206" s="24">
        <v>42633</v>
      </c>
      <c r="B206" s="30">
        <v>2</v>
      </c>
    </row>
    <row r="207" spans="1:2" x14ac:dyDescent="0.3">
      <c r="A207" s="24">
        <v>42636</v>
      </c>
      <c r="B207" s="30">
        <v>1</v>
      </c>
    </row>
    <row r="208" spans="1:2" x14ac:dyDescent="0.3">
      <c r="A208" s="24">
        <v>42637</v>
      </c>
      <c r="B208" s="30">
        <v>2</v>
      </c>
    </row>
    <row r="209" spans="1:2" x14ac:dyDescent="0.3">
      <c r="A209" s="24">
        <v>42640</v>
      </c>
      <c r="B209" s="30">
        <v>4</v>
      </c>
    </row>
    <row r="210" spans="1:2" x14ac:dyDescent="0.3">
      <c r="A210" s="24">
        <v>42641</v>
      </c>
      <c r="B210" s="30">
        <v>1</v>
      </c>
    </row>
    <row r="211" spans="1:2" x14ac:dyDescent="0.3">
      <c r="A211" s="24">
        <v>42642</v>
      </c>
      <c r="B211" s="30">
        <v>1</v>
      </c>
    </row>
    <row r="212" spans="1:2" x14ac:dyDescent="0.3">
      <c r="A212" s="24">
        <v>42643</v>
      </c>
      <c r="B212" s="30">
        <v>2</v>
      </c>
    </row>
    <row r="213" spans="1:2" x14ac:dyDescent="0.3">
      <c r="A213" s="24">
        <v>42644</v>
      </c>
      <c r="B213" s="30">
        <v>5</v>
      </c>
    </row>
    <row r="214" spans="1:2" x14ac:dyDescent="0.3">
      <c r="A214" s="24">
        <v>42646</v>
      </c>
      <c r="B214" s="30">
        <v>4</v>
      </c>
    </row>
    <row r="215" spans="1:2" x14ac:dyDescent="0.3">
      <c r="A215" s="24">
        <v>42648</v>
      </c>
      <c r="B215" s="30">
        <v>2</v>
      </c>
    </row>
    <row r="216" spans="1:2" x14ac:dyDescent="0.3">
      <c r="A216" s="24">
        <v>42649</v>
      </c>
      <c r="B216" s="30">
        <v>3</v>
      </c>
    </row>
    <row r="217" spans="1:2" x14ac:dyDescent="0.3">
      <c r="A217" s="24">
        <v>42650</v>
      </c>
      <c r="B217" s="30">
        <v>4</v>
      </c>
    </row>
    <row r="218" spans="1:2" x14ac:dyDescent="0.3">
      <c r="A218" s="24">
        <v>42651</v>
      </c>
      <c r="B218" s="30">
        <v>4</v>
      </c>
    </row>
    <row r="219" spans="1:2" x14ac:dyDescent="0.3">
      <c r="A219" s="24">
        <v>42652</v>
      </c>
      <c r="B219" s="30">
        <v>1</v>
      </c>
    </row>
    <row r="220" spans="1:2" x14ac:dyDescent="0.3">
      <c r="A220" s="24">
        <v>42653</v>
      </c>
      <c r="B220" s="30">
        <v>2</v>
      </c>
    </row>
    <row r="221" spans="1:2" x14ac:dyDescent="0.3">
      <c r="A221" s="24">
        <v>42654</v>
      </c>
      <c r="B221" s="30">
        <v>6</v>
      </c>
    </row>
    <row r="222" spans="1:2" x14ac:dyDescent="0.3">
      <c r="A222" s="24">
        <v>42655</v>
      </c>
      <c r="B222" s="30">
        <v>4</v>
      </c>
    </row>
    <row r="223" spans="1:2" x14ac:dyDescent="0.3">
      <c r="A223" s="24">
        <v>42656</v>
      </c>
      <c r="B223" s="30">
        <v>4</v>
      </c>
    </row>
    <row r="224" spans="1:2" x14ac:dyDescent="0.3">
      <c r="A224" s="24">
        <v>42657</v>
      </c>
      <c r="B224" s="30">
        <v>4</v>
      </c>
    </row>
    <row r="225" spans="1:2" x14ac:dyDescent="0.3">
      <c r="A225" s="24">
        <v>42658</v>
      </c>
      <c r="B225" s="30">
        <v>1</v>
      </c>
    </row>
    <row r="226" spans="1:2" x14ac:dyDescent="0.3">
      <c r="A226" s="24">
        <v>42659</v>
      </c>
      <c r="B226" s="30">
        <v>7</v>
      </c>
    </row>
    <row r="227" spans="1:2" x14ac:dyDescent="0.3">
      <c r="A227" s="24">
        <v>42660</v>
      </c>
      <c r="B227" s="30">
        <v>5</v>
      </c>
    </row>
    <row r="228" spans="1:2" x14ac:dyDescent="0.3">
      <c r="A228" s="24">
        <v>42661</v>
      </c>
      <c r="B228" s="30">
        <v>6</v>
      </c>
    </row>
    <row r="229" spans="1:2" x14ac:dyDescent="0.3">
      <c r="A229" s="24">
        <v>42662</v>
      </c>
      <c r="B229" s="30">
        <v>7</v>
      </c>
    </row>
    <row r="230" spans="1:2" x14ac:dyDescent="0.3">
      <c r="A230" s="24">
        <v>42663</v>
      </c>
      <c r="B230" s="30">
        <v>3</v>
      </c>
    </row>
    <row r="231" spans="1:2" x14ac:dyDescent="0.3">
      <c r="A231" s="24">
        <v>42664</v>
      </c>
      <c r="B231" s="30">
        <v>1</v>
      </c>
    </row>
    <row r="232" spans="1:2" x14ac:dyDescent="0.3">
      <c r="A232" s="24">
        <v>42665</v>
      </c>
      <c r="B232" s="30">
        <v>3</v>
      </c>
    </row>
    <row r="233" spans="1:2" x14ac:dyDescent="0.3">
      <c r="A233" s="24">
        <v>42666</v>
      </c>
      <c r="B233" s="30">
        <v>4</v>
      </c>
    </row>
    <row r="234" spans="1:2" x14ac:dyDescent="0.3">
      <c r="A234" s="24">
        <v>42667</v>
      </c>
      <c r="B234" s="30">
        <v>3</v>
      </c>
    </row>
    <row r="235" spans="1:2" x14ac:dyDescent="0.3">
      <c r="A235" s="24">
        <v>42668</v>
      </c>
      <c r="B235" s="30">
        <v>6</v>
      </c>
    </row>
    <row r="236" spans="1:2" x14ac:dyDescent="0.3">
      <c r="A236" s="24">
        <v>42669</v>
      </c>
      <c r="B236" s="30">
        <v>2</v>
      </c>
    </row>
    <row r="237" spans="1:2" x14ac:dyDescent="0.3">
      <c r="A237" s="24">
        <v>42670</v>
      </c>
      <c r="B237" s="30">
        <v>5</v>
      </c>
    </row>
    <row r="238" spans="1:2" x14ac:dyDescent="0.3">
      <c r="A238" s="24">
        <v>42671</v>
      </c>
      <c r="B238" s="30">
        <v>5</v>
      </c>
    </row>
    <row r="239" spans="1:2" x14ac:dyDescent="0.3">
      <c r="A239" s="24">
        <v>42672</v>
      </c>
      <c r="B239" s="30">
        <v>2</v>
      </c>
    </row>
    <row r="240" spans="1:2" x14ac:dyDescent="0.3">
      <c r="A240" s="24">
        <v>42673</v>
      </c>
      <c r="B240" s="30">
        <v>9</v>
      </c>
    </row>
    <row r="241" spans="1:2" x14ac:dyDescent="0.3">
      <c r="A241" s="24">
        <v>42674</v>
      </c>
      <c r="B241" s="30">
        <v>4</v>
      </c>
    </row>
    <row r="242" spans="1:2" x14ac:dyDescent="0.3">
      <c r="A242" s="24">
        <v>42675</v>
      </c>
      <c r="B242" s="30">
        <v>4</v>
      </c>
    </row>
    <row r="243" spans="1:2" x14ac:dyDescent="0.3">
      <c r="A243" s="24">
        <v>42676</v>
      </c>
      <c r="B243" s="30">
        <v>4</v>
      </c>
    </row>
    <row r="244" spans="1:2" x14ac:dyDescent="0.3">
      <c r="A244" s="24">
        <v>42677</v>
      </c>
      <c r="B244" s="30">
        <v>5</v>
      </c>
    </row>
    <row r="245" spans="1:2" x14ac:dyDescent="0.3">
      <c r="A245" s="24">
        <v>42679</v>
      </c>
      <c r="B245" s="30">
        <v>2</v>
      </c>
    </row>
    <row r="246" spans="1:2" x14ac:dyDescent="0.3">
      <c r="A246" s="24">
        <v>42680</v>
      </c>
      <c r="B246" s="30">
        <v>5</v>
      </c>
    </row>
    <row r="247" spans="1:2" x14ac:dyDescent="0.3">
      <c r="A247" s="24">
        <v>42682</v>
      </c>
      <c r="B247" s="30">
        <v>5</v>
      </c>
    </row>
    <row r="248" spans="1:2" x14ac:dyDescent="0.3">
      <c r="A248" s="24">
        <v>42683</v>
      </c>
      <c r="B248" s="30">
        <v>2</v>
      </c>
    </row>
    <row r="249" spans="1:2" x14ac:dyDescent="0.3">
      <c r="A249" s="24">
        <v>42684</v>
      </c>
      <c r="B249" s="30">
        <v>1</v>
      </c>
    </row>
    <row r="250" spans="1:2" x14ac:dyDescent="0.3">
      <c r="A250" s="24">
        <v>42685</v>
      </c>
      <c r="B250" s="30">
        <v>6</v>
      </c>
    </row>
    <row r="251" spans="1:2" x14ac:dyDescent="0.3">
      <c r="A251" s="24">
        <v>42686</v>
      </c>
      <c r="B251" s="30">
        <v>3</v>
      </c>
    </row>
    <row r="252" spans="1:2" x14ac:dyDescent="0.3">
      <c r="A252" s="24">
        <v>42687</v>
      </c>
      <c r="B252" s="30">
        <v>10</v>
      </c>
    </row>
    <row r="253" spans="1:2" x14ac:dyDescent="0.3">
      <c r="A253" s="24">
        <v>42688</v>
      </c>
      <c r="B253" s="30">
        <v>4</v>
      </c>
    </row>
    <row r="254" spans="1:2" x14ac:dyDescent="0.3">
      <c r="A254" s="24">
        <v>42689</v>
      </c>
      <c r="B254" s="30">
        <v>3</v>
      </c>
    </row>
    <row r="255" spans="1:2" x14ac:dyDescent="0.3">
      <c r="A255" s="24">
        <v>42690</v>
      </c>
      <c r="B255" s="30">
        <v>2</v>
      </c>
    </row>
    <row r="256" spans="1:2" x14ac:dyDescent="0.3">
      <c r="A256" s="24">
        <v>42691</v>
      </c>
      <c r="B256" s="30">
        <v>1</v>
      </c>
    </row>
    <row r="257" spans="1:2" x14ac:dyDescent="0.3">
      <c r="A257" s="24">
        <v>42692</v>
      </c>
      <c r="B257" s="30">
        <v>3</v>
      </c>
    </row>
    <row r="258" spans="1:2" x14ac:dyDescent="0.3">
      <c r="A258" s="24">
        <v>42693</v>
      </c>
      <c r="B258" s="30">
        <v>6</v>
      </c>
    </row>
    <row r="259" spans="1:2" x14ac:dyDescent="0.3">
      <c r="A259" s="24">
        <v>42694</v>
      </c>
      <c r="B259" s="30">
        <v>4</v>
      </c>
    </row>
    <row r="260" spans="1:2" x14ac:dyDescent="0.3">
      <c r="A260" s="24">
        <v>42695</v>
      </c>
      <c r="B260" s="30">
        <v>5</v>
      </c>
    </row>
    <row r="261" spans="1:2" x14ac:dyDescent="0.3">
      <c r="A261" s="24">
        <v>42696</v>
      </c>
      <c r="B261" s="30">
        <v>5</v>
      </c>
    </row>
    <row r="262" spans="1:2" x14ac:dyDescent="0.3">
      <c r="A262" s="24">
        <v>42697</v>
      </c>
      <c r="B262" s="30">
        <v>4</v>
      </c>
    </row>
    <row r="263" spans="1:2" x14ac:dyDescent="0.3">
      <c r="A263" s="24">
        <v>42699</v>
      </c>
      <c r="B263" s="30">
        <v>2</v>
      </c>
    </row>
    <row r="264" spans="1:2" x14ac:dyDescent="0.3">
      <c r="A264" s="24">
        <v>42700</v>
      </c>
      <c r="B264" s="30">
        <v>5</v>
      </c>
    </row>
    <row r="265" spans="1:2" x14ac:dyDescent="0.3">
      <c r="A265" s="24">
        <v>42701</v>
      </c>
      <c r="B265" s="30">
        <v>2</v>
      </c>
    </row>
    <row r="266" spans="1:2" x14ac:dyDescent="0.3">
      <c r="A266" s="24">
        <v>42704</v>
      </c>
      <c r="B266" s="30">
        <v>3</v>
      </c>
    </row>
    <row r="267" spans="1:2" x14ac:dyDescent="0.3">
      <c r="A267" s="24">
        <v>42705</v>
      </c>
      <c r="B267" s="30">
        <v>6</v>
      </c>
    </row>
    <row r="268" spans="1:2" x14ac:dyDescent="0.3">
      <c r="A268" s="24">
        <v>42706</v>
      </c>
      <c r="B268" s="30">
        <v>6</v>
      </c>
    </row>
    <row r="269" spans="1:2" x14ac:dyDescent="0.3">
      <c r="A269" s="24">
        <v>42707</v>
      </c>
      <c r="B269" s="30">
        <v>2</v>
      </c>
    </row>
    <row r="270" spans="1:2" x14ac:dyDescent="0.3">
      <c r="A270" s="24">
        <v>42708</v>
      </c>
      <c r="B270" s="30">
        <v>5</v>
      </c>
    </row>
    <row r="271" spans="1:2" x14ac:dyDescent="0.3">
      <c r="A271" s="24">
        <v>42710</v>
      </c>
      <c r="B271" s="30">
        <v>3</v>
      </c>
    </row>
    <row r="272" spans="1:2" x14ac:dyDescent="0.3">
      <c r="A272" s="24">
        <v>42711</v>
      </c>
      <c r="B272" s="30">
        <v>3</v>
      </c>
    </row>
    <row r="273" spans="1:2" x14ac:dyDescent="0.3">
      <c r="A273" s="24">
        <v>42712</v>
      </c>
      <c r="B273" s="30">
        <v>2</v>
      </c>
    </row>
    <row r="274" spans="1:2" x14ac:dyDescent="0.3">
      <c r="A274" s="24">
        <v>42713</v>
      </c>
      <c r="B274" s="30">
        <v>3</v>
      </c>
    </row>
    <row r="275" spans="1:2" x14ac:dyDescent="0.3">
      <c r="A275" s="24">
        <v>42714</v>
      </c>
      <c r="B275" s="30">
        <v>1</v>
      </c>
    </row>
    <row r="276" spans="1:2" x14ac:dyDescent="0.3">
      <c r="A276" s="24">
        <v>42715</v>
      </c>
      <c r="B276" s="30">
        <v>8</v>
      </c>
    </row>
    <row r="277" spans="1:2" x14ac:dyDescent="0.3">
      <c r="A277" s="24">
        <v>42716</v>
      </c>
      <c r="B277" s="30">
        <v>5</v>
      </c>
    </row>
    <row r="278" spans="1:2" x14ac:dyDescent="0.3">
      <c r="A278" s="24">
        <v>42717</v>
      </c>
      <c r="B278" s="30">
        <v>2</v>
      </c>
    </row>
    <row r="279" spans="1:2" x14ac:dyDescent="0.3">
      <c r="A279" s="24">
        <v>42718</v>
      </c>
      <c r="B279" s="30">
        <v>4</v>
      </c>
    </row>
    <row r="280" spans="1:2" x14ac:dyDescent="0.3">
      <c r="A280" s="24">
        <v>42719</v>
      </c>
      <c r="B280" s="30">
        <v>1</v>
      </c>
    </row>
    <row r="281" spans="1:2" x14ac:dyDescent="0.3">
      <c r="A281" s="24">
        <v>42721</v>
      </c>
      <c r="B281" s="30">
        <v>2</v>
      </c>
    </row>
    <row r="282" spans="1:2" x14ac:dyDescent="0.3">
      <c r="A282" s="24">
        <v>42722</v>
      </c>
      <c r="B282" s="30">
        <v>3</v>
      </c>
    </row>
    <row r="283" spans="1:2" x14ac:dyDescent="0.3">
      <c r="A283" s="24">
        <v>42723</v>
      </c>
      <c r="B283" s="30">
        <v>11</v>
      </c>
    </row>
    <row r="284" spans="1:2" x14ac:dyDescent="0.3">
      <c r="A284" s="24">
        <v>42724</v>
      </c>
      <c r="B284" s="30">
        <v>8</v>
      </c>
    </row>
    <row r="285" spans="1:2" x14ac:dyDescent="0.3">
      <c r="A285" s="24">
        <v>42725</v>
      </c>
      <c r="B285" s="30">
        <v>10</v>
      </c>
    </row>
    <row r="286" spans="1:2" x14ac:dyDescent="0.3">
      <c r="A286" s="24">
        <v>42726</v>
      </c>
      <c r="B286" s="30">
        <v>9</v>
      </c>
    </row>
    <row r="287" spans="1:2" x14ac:dyDescent="0.3">
      <c r="A287" s="24">
        <v>42727</v>
      </c>
      <c r="B287" s="30">
        <v>5</v>
      </c>
    </row>
    <row r="288" spans="1:2" x14ac:dyDescent="0.3">
      <c r="A288" s="24">
        <v>42728</v>
      </c>
      <c r="B288" s="30">
        <v>8</v>
      </c>
    </row>
    <row r="289" spans="1:2" x14ac:dyDescent="0.3">
      <c r="A289" s="24">
        <v>42729</v>
      </c>
      <c r="B289" s="30">
        <v>3</v>
      </c>
    </row>
    <row r="290" spans="1:2" x14ac:dyDescent="0.3">
      <c r="A290" s="24">
        <v>42730</v>
      </c>
      <c r="B290" s="30">
        <v>5</v>
      </c>
    </row>
    <row r="291" spans="1:2" x14ac:dyDescent="0.3">
      <c r="A291" s="24">
        <v>42731</v>
      </c>
      <c r="B291" s="30">
        <v>6</v>
      </c>
    </row>
    <row r="292" spans="1:2" x14ac:dyDescent="0.3">
      <c r="A292" s="24">
        <v>42732</v>
      </c>
      <c r="B292" s="30">
        <v>7</v>
      </c>
    </row>
    <row r="293" spans="1:2" x14ac:dyDescent="0.3">
      <c r="A293" s="24">
        <v>42733</v>
      </c>
      <c r="B293" s="30">
        <v>13</v>
      </c>
    </row>
    <row r="294" spans="1:2" x14ac:dyDescent="0.3">
      <c r="A294" s="24">
        <v>42734</v>
      </c>
      <c r="B294" s="30">
        <v>5</v>
      </c>
    </row>
    <row r="295" spans="1:2" x14ac:dyDescent="0.3">
      <c r="A295" s="24">
        <v>42735</v>
      </c>
      <c r="B295" s="30">
        <v>5</v>
      </c>
    </row>
    <row r="296" spans="1:2" x14ac:dyDescent="0.3">
      <c r="A296" s="24" t="s">
        <v>1553</v>
      </c>
      <c r="B296" s="30">
        <v>1149</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My Uber Drives - 2016</vt:lpstr>
      <vt:lpstr>Dashboard</vt:lpstr>
      <vt:lpstr>Case</vt:lpstr>
      <vt:lpstr>Days</vt:lpstr>
      <vt:lpstr>Time</vt:lpstr>
      <vt:lpstr>Start Point</vt:lpstr>
      <vt:lpstr>Stop Point</vt:lpstr>
      <vt:lpstr>Purpose</vt:lpstr>
      <vt:lpstr>Category</vt:lpstr>
      <vt:lpstr>Trend</vt:lpstr>
      <vt:lpstr>Category</vt:lpstr>
      <vt:lpstr>EndPoint</vt:lpstr>
      <vt:lpstr>HourDiff</vt:lpstr>
      <vt:lpstr>Miles</vt:lpstr>
      <vt:lpstr>Purpose</vt:lpstr>
      <vt:lpstr>Speed</vt:lpstr>
      <vt:lpstr>StartDate</vt:lpstr>
      <vt:lpstr>StartPoint</vt:lpstr>
      <vt:lpstr>StartTime</vt:lpstr>
      <vt:lpstr>TimeDiff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 Tiwary</dc:creator>
  <cp:lastModifiedBy>Brijesh Babariya</cp:lastModifiedBy>
  <dcterms:created xsi:type="dcterms:W3CDTF">2022-10-08T07:42:49Z</dcterms:created>
  <dcterms:modified xsi:type="dcterms:W3CDTF">2023-12-10T15:08:20Z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2023-10-08T11:30:27Z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d0e914a9-3583-4820-b48c-287d5b8ace03</vt:lpwstr>
  </property>
  <property fmtid="{D5CDD505-2E9C-101B-9397-08002B2CF9AE}" pid="7" name="MSIP_Label_defa4170-0d19-0005-0004-bc88714345d2_ActionId">
    <vt:lpwstr>b2fa5b6f-392b-454c-b648-2711ab3fe73c</vt:lpwstr>
  </property>
  <property fmtid="{D5CDD505-2E9C-101B-9397-08002B2CF9AE}" pid="8" name="MSIP_Label_defa4170-0d19-0005-0004-bc88714345d2_ContentBits">
    <vt:lpwstr>0</vt:lpwstr>
  </property>
</Properties>
</file>